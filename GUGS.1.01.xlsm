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研究\多型解析\GUGS\リリース版\1.01\"/>
    </mc:Choice>
  </mc:AlternateContent>
  <bookViews>
    <workbookView xWindow="-120" yWindow="-120" windowWidth="38640" windowHeight="21840" tabRatio="834" firstSheet="2" activeTab="7"/>
  </bookViews>
  <sheets>
    <sheet name="Summary" sheetId="1" r:id="rId1"/>
    <sheet name="Function summary" sheetId="12" r:id="rId2"/>
    <sheet name="Data conversion" sheetId="5" r:id="rId3"/>
    <sheet name="Basic analysis" sheetId="4" r:id="rId4"/>
    <sheet name="Linkage analysis" sheetId="7" r:id="rId5"/>
    <sheet name="Data set analysis" sheetId="8" r:id="rId6"/>
    <sheet name="Freq analysis" sheetId="9" r:id="rId7"/>
    <sheet name="Genetic data analysis" sheetId="10" r:id="rId8"/>
    <sheet name="Sequence manipulation" sheetId="13" r:id="rId9"/>
  </sheets>
  <functionGroups builtInGroupCount="18"/>
  <definedNames>
    <definedName name="_xlnm.Print_Area" localSheetId="3">'Basic analysis'!$D$1</definedName>
    <definedName name="_xlnm.Print_Area" localSheetId="1">'Function summary'!$A$1:$F$65</definedName>
    <definedName name="_xlnm.Print_Area" localSheetId="0">Summary!$B$1:$K$48</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60" i="13" l="1"/>
  <c r="E553" i="13"/>
  <c r="E505" i="13"/>
  <c r="E449" i="13"/>
  <c r="E425" i="13"/>
  <c r="E558" i="13"/>
  <c r="E552" i="13"/>
  <c r="E116" i="13"/>
  <c r="E547" i="13"/>
  <c r="E559" i="13"/>
  <c r="E562" i="13"/>
  <c r="E561" i="13"/>
  <c r="E555" i="13"/>
  <c r="E554" i="13"/>
  <c r="E564" i="13" l="1"/>
  <c r="E566" i="13"/>
  <c r="E568" i="13"/>
  <c r="E570" i="13"/>
  <c r="E549" i="13" l="1"/>
  <c r="AE314" i="10"/>
  <c r="AD313" i="10"/>
  <c r="AC312" i="10"/>
  <c r="AB311" i="10"/>
  <c r="AA310" i="10"/>
  <c r="Z309" i="10"/>
  <c r="Y308" i="10"/>
  <c r="X307" i="10"/>
  <c r="W306" i="10"/>
  <c r="V305" i="10"/>
  <c r="U304" i="10"/>
  <c r="T303" i="10"/>
  <c r="S302" i="10"/>
  <c r="R301" i="10"/>
  <c r="Q300" i="10"/>
  <c r="P299" i="10"/>
  <c r="O298" i="10"/>
  <c r="N297" i="10"/>
  <c r="M296" i="10"/>
  <c r="L295" i="10"/>
  <c r="K294" i="10"/>
  <c r="J293" i="10"/>
  <c r="I292" i="10"/>
  <c r="H291" i="10"/>
  <c r="G290" i="10"/>
  <c r="F289" i="10"/>
  <c r="E288" i="10"/>
  <c r="D287" i="10"/>
  <c r="AE275" i="10"/>
  <c r="AD274" i="10"/>
  <c r="AC273" i="10"/>
  <c r="AB272" i="10"/>
  <c r="AA271" i="10"/>
  <c r="Z270" i="10"/>
  <c r="Y269" i="10"/>
  <c r="X268" i="10"/>
  <c r="W267" i="10"/>
  <c r="V266" i="10"/>
  <c r="U265" i="10"/>
  <c r="T264" i="10"/>
  <c r="S263" i="10"/>
  <c r="R262" i="10"/>
  <c r="Q261" i="10"/>
  <c r="P260" i="10"/>
  <c r="O259" i="10"/>
  <c r="N258" i="10"/>
  <c r="M257" i="10"/>
  <c r="L256" i="10"/>
  <c r="K255" i="10"/>
  <c r="J254" i="10"/>
  <c r="I253" i="10"/>
  <c r="H252" i="10"/>
  <c r="G251" i="10"/>
  <c r="F250" i="10"/>
  <c r="E249" i="10"/>
  <c r="D248" i="10"/>
  <c r="AE236" i="10"/>
  <c r="AD235" i="10"/>
  <c r="AC234" i="10"/>
  <c r="AB233" i="10"/>
  <c r="AA232" i="10"/>
  <c r="Z231" i="10"/>
  <c r="Y230" i="10"/>
  <c r="X229" i="10"/>
  <c r="W228" i="10"/>
  <c r="V227" i="10"/>
  <c r="U226" i="10"/>
  <c r="T225" i="10"/>
  <c r="S224" i="10"/>
  <c r="R223" i="10"/>
  <c r="Q222" i="10"/>
  <c r="P221" i="10"/>
  <c r="O220" i="10"/>
  <c r="N219" i="10"/>
  <c r="M218" i="10"/>
  <c r="L217" i="10"/>
  <c r="K216" i="10"/>
  <c r="J215" i="10"/>
  <c r="I214" i="10"/>
  <c r="H213" i="10"/>
  <c r="G212" i="10"/>
  <c r="F211" i="10"/>
  <c r="E210" i="10"/>
  <c r="D209" i="10"/>
  <c r="AE197" i="10"/>
  <c r="AD196" i="10"/>
  <c r="AC195" i="10"/>
  <c r="AB194" i="10"/>
  <c r="AA193" i="10"/>
  <c r="Z192" i="10"/>
  <c r="Y191" i="10"/>
  <c r="X190" i="10"/>
  <c r="W189" i="10"/>
  <c r="V188" i="10"/>
  <c r="U187" i="10"/>
  <c r="T186" i="10"/>
  <c r="S185" i="10"/>
  <c r="R184" i="10"/>
  <c r="Q183" i="10"/>
  <c r="P182" i="10"/>
  <c r="O181" i="10"/>
  <c r="N180" i="10"/>
  <c r="M179" i="10"/>
  <c r="L178" i="10"/>
  <c r="K177" i="10"/>
  <c r="J176" i="10"/>
  <c r="I175" i="10"/>
  <c r="H174" i="10"/>
  <c r="G173" i="10"/>
  <c r="F172" i="10"/>
  <c r="E171" i="10"/>
  <c r="D170" i="10"/>
  <c r="S311" i="10"/>
  <c r="O306" i="10"/>
  <c r="AA300" i="10"/>
  <c r="W295" i="10"/>
  <c r="S290" i="10"/>
  <c r="L304" i="10"/>
  <c r="F311" i="10"/>
  <c r="R305" i="10"/>
  <c r="N300" i="10"/>
  <c r="Z294" i="10"/>
  <c r="V289" i="10"/>
  <c r="U290" i="10"/>
  <c r="AC311" i="10"/>
  <c r="Y306" i="10"/>
  <c r="I301" i="10"/>
  <c r="E296" i="10"/>
  <c r="Q290" i="10"/>
  <c r="M298" i="10"/>
  <c r="X312" i="10"/>
  <c r="H307" i="10"/>
  <c r="D302" i="10"/>
  <c r="P296" i="10"/>
  <c r="L291" i="10"/>
  <c r="M307" i="10"/>
  <c r="G313" i="10"/>
  <c r="AE307" i="10"/>
  <c r="O302" i="10"/>
  <c r="K297" i="10"/>
  <c r="W291" i="10"/>
  <c r="S288" i="10"/>
  <c r="N314" i="10"/>
  <c r="Z308" i="10"/>
  <c r="V303" i="10"/>
  <c r="F298" i="10"/>
  <c r="AD292" i="10"/>
  <c r="E289" i="10"/>
  <c r="AB303" i="10"/>
  <c r="M311" i="10"/>
  <c r="Y305" i="10"/>
  <c r="U300" i="10"/>
  <c r="E295" i="10"/>
  <c r="Q289" i="10"/>
  <c r="L314" i="10"/>
  <c r="H309" i="10"/>
  <c r="D304" i="10"/>
  <c r="P298" i="10"/>
  <c r="L293" i="10"/>
  <c r="AE297" i="10"/>
  <c r="W314" i="10"/>
  <c r="G309" i="10"/>
  <c r="AE303" i="10"/>
  <c r="AA298" i="10"/>
  <c r="J314" i="10"/>
  <c r="F309" i="10"/>
  <c r="R303" i="10"/>
  <c r="N298" i="10"/>
  <c r="Z292" i="10"/>
  <c r="U314" i="10"/>
  <c r="T314" i="10"/>
  <c r="P309" i="10"/>
  <c r="X292" i="10"/>
  <c r="AA287" i="10"/>
  <c r="I287" i="10"/>
  <c r="S272" i="10"/>
  <c r="O267" i="10"/>
  <c r="AA261" i="10"/>
  <c r="W256" i="10"/>
  <c r="S251" i="10"/>
  <c r="D263" i="10"/>
  <c r="F275" i="10"/>
  <c r="R269" i="10"/>
  <c r="N264" i="10"/>
  <c r="J259" i="10"/>
  <c r="V253" i="10"/>
  <c r="E260" i="10"/>
  <c r="X258" i="10"/>
  <c r="I274" i="10"/>
  <c r="E269" i="10"/>
  <c r="Q263" i="10"/>
  <c r="E251" i="10"/>
  <c r="AE250" i="10"/>
  <c r="X270" i="10"/>
  <c r="T265" i="10"/>
  <c r="X249" i="10"/>
  <c r="AE271" i="10"/>
  <c r="O266" i="10"/>
  <c r="K261" i="10"/>
  <c r="V273" i="10"/>
  <c r="R268" i="10"/>
  <c r="N263" i="10"/>
  <c r="Z257" i="10"/>
  <c r="V252" i="10"/>
  <c r="AD252" i="10"/>
  <c r="Y275" i="10"/>
  <c r="U270" i="10"/>
  <c r="E265" i="10"/>
  <c r="AC259" i="10"/>
  <c r="M254" i="10"/>
  <c r="I249" i="10"/>
  <c r="L250" i="10"/>
  <c r="AB271" i="10"/>
  <c r="X266" i="10"/>
  <c r="H261" i="10"/>
  <c r="D256" i="10"/>
  <c r="P250" i="10"/>
  <c r="T263" i="10"/>
  <c r="AE273" i="10"/>
  <c r="O268" i="10"/>
  <c r="K263" i="10"/>
  <c r="W257" i="10"/>
  <c r="S252" i="10"/>
  <c r="N253" i="10"/>
  <c r="L249" i="10"/>
  <c r="Z271" i="10"/>
  <c r="J266" i="10"/>
  <c r="Z259" i="10"/>
  <c r="T257" i="10"/>
  <c r="I272" i="10"/>
  <c r="E267" i="10"/>
  <c r="AC261" i="10"/>
  <c r="M256" i="10"/>
  <c r="I251" i="10"/>
  <c r="T272" i="10"/>
  <c r="S256" i="10"/>
  <c r="Z248" i="10"/>
  <c r="I248" i="10"/>
  <c r="G311" i="10"/>
  <c r="AE305" i="10"/>
  <c r="O300" i="10"/>
  <c r="K295" i="10"/>
  <c r="W289" i="10"/>
  <c r="D297" i="10"/>
  <c r="V310" i="10"/>
  <c r="F305" i="10"/>
  <c r="AD299" i="10"/>
  <c r="N294" i="10"/>
  <c r="J289" i="10"/>
  <c r="T302" i="10"/>
  <c r="Q311" i="10"/>
  <c r="M306" i="10"/>
  <c r="Y300" i="10"/>
  <c r="U295" i="10"/>
  <c r="E290" i="10"/>
  <c r="Y292" i="10"/>
  <c r="L312" i="10"/>
  <c r="X306" i="10"/>
  <c r="T301" i="10"/>
  <c r="D296" i="10"/>
  <c r="AB290" i="10"/>
  <c r="I302" i="10"/>
  <c r="W312" i="10"/>
  <c r="S307" i="10"/>
  <c r="AE301" i="10"/>
  <c r="AA296" i="10"/>
  <c r="K291" i="10"/>
  <c r="I314" i="10"/>
  <c r="R313" i="10"/>
  <c r="N308" i="10"/>
  <c r="J303" i="10"/>
  <c r="V297" i="10"/>
  <c r="R292" i="10"/>
  <c r="I288" i="10"/>
  <c r="AB297" i="10"/>
  <c r="AC310" i="10"/>
  <c r="M305" i="10"/>
  <c r="I300" i="10"/>
  <c r="U294" i="10"/>
  <c r="U288" i="10"/>
  <c r="AB313" i="10"/>
  <c r="X308" i="10"/>
  <c r="H303" i="10"/>
  <c r="D298" i="10"/>
  <c r="AB292" i="10"/>
  <c r="G294" i="10"/>
  <c r="K314" i="10"/>
  <c r="W308" i="10"/>
  <c r="S303" i="10"/>
  <c r="M310" i="10"/>
  <c r="Z313" i="10"/>
  <c r="V308" i="10"/>
  <c r="F303" i="10"/>
  <c r="AD297" i="10"/>
  <c r="N292" i="10"/>
  <c r="Y310" i="10"/>
  <c r="H314" i="10"/>
  <c r="D309" i="10"/>
  <c r="D288" i="10"/>
  <c r="Z287" i="10"/>
  <c r="T287" i="10"/>
  <c r="G272" i="10"/>
  <c r="AE266" i="10"/>
  <c r="O261" i="10"/>
  <c r="K256" i="10"/>
  <c r="W250" i="10"/>
  <c r="AB260" i="10"/>
  <c r="V274" i="10"/>
  <c r="F269" i="10"/>
  <c r="AD263" i="10"/>
  <c r="Z258" i="10"/>
  <c r="J253" i="10"/>
  <c r="Y258" i="10"/>
  <c r="D257" i="10"/>
  <c r="Y273" i="10"/>
  <c r="U268" i="10"/>
  <c r="E263" i="10"/>
  <c r="I250" i="10"/>
  <c r="AB275" i="10"/>
  <c r="L270" i="10"/>
  <c r="H265" i="10"/>
  <c r="AA254" i="10"/>
  <c r="S271" i="10"/>
  <c r="AE265" i="10"/>
  <c r="AA260" i="10"/>
  <c r="J273" i="10"/>
  <c r="F268" i="10"/>
  <c r="AD262" i="10"/>
  <c r="N257" i="10"/>
  <c r="J252" i="10"/>
  <c r="Z250" i="10"/>
  <c r="M275" i="10"/>
  <c r="I270" i="10"/>
  <c r="U264" i="10"/>
  <c r="Q259" i="10"/>
  <c r="AC253" i="10"/>
  <c r="N259" i="10"/>
  <c r="K258" i="10"/>
  <c r="P271" i="10"/>
  <c r="L266" i="10"/>
  <c r="X260" i="10"/>
  <c r="T255" i="10"/>
  <c r="D250" i="10"/>
  <c r="D261" i="10"/>
  <c r="S273" i="10"/>
  <c r="AE267" i="10"/>
  <c r="AA262" i="10"/>
  <c r="K257" i="10"/>
  <c r="G252" i="10"/>
  <c r="J251" i="10"/>
  <c r="AE256" i="10"/>
  <c r="N271" i="10"/>
  <c r="Z265" i="10"/>
  <c r="AD258" i="10"/>
  <c r="T254" i="10"/>
  <c r="Y271" i="10"/>
  <c r="U266" i="10"/>
  <c r="E261" i="10"/>
  <c r="AC255" i="10"/>
  <c r="Y250" i="10"/>
  <c r="D270" i="10"/>
  <c r="G253" i="10"/>
  <c r="N248" i="10"/>
  <c r="AE248" i="10"/>
  <c r="W310" i="10"/>
  <c r="S305" i="10"/>
  <c r="AE299" i="10"/>
  <c r="AA294" i="10"/>
  <c r="K289" i="10"/>
  <c r="P291" i="10"/>
  <c r="J310" i="10"/>
  <c r="V304" i="10"/>
  <c r="R299" i="10"/>
  <c r="AD293" i="10"/>
  <c r="Z288" i="10"/>
  <c r="T299" i="10"/>
  <c r="E311" i="10"/>
  <c r="AC305" i="10"/>
  <c r="M300" i="10"/>
  <c r="I295" i="10"/>
  <c r="U289" i="10"/>
  <c r="Q288" i="10"/>
  <c r="P311" i="10"/>
  <c r="L306" i="10"/>
  <c r="H301" i="10"/>
  <c r="T295" i="10"/>
  <c r="P290" i="10"/>
  <c r="Q297" i="10"/>
  <c r="K312" i="10"/>
  <c r="G307" i="10"/>
  <c r="S301" i="10"/>
  <c r="O296" i="10"/>
  <c r="AA290" i="10"/>
  <c r="I308" i="10"/>
  <c r="F313" i="10"/>
  <c r="AD307" i="10"/>
  <c r="Z302" i="10"/>
  <c r="J297" i="10"/>
  <c r="F292" i="10"/>
  <c r="W296" i="10"/>
  <c r="H293" i="10"/>
  <c r="Q310" i="10"/>
  <c r="AC304" i="10"/>
  <c r="Y299" i="10"/>
  <c r="I294" i="10"/>
  <c r="O295" i="10"/>
  <c r="P313" i="10"/>
  <c r="L308" i="10"/>
  <c r="X302" i="10"/>
  <c r="T297" i="10"/>
  <c r="P292" i="10"/>
  <c r="K290" i="10"/>
  <c r="AA313" i="10"/>
  <c r="K308" i="10"/>
  <c r="G303" i="10"/>
  <c r="Q306" i="10"/>
  <c r="N313" i="10"/>
  <c r="J308" i="10"/>
  <c r="V302" i="10"/>
  <c r="R297" i="10"/>
  <c r="AD291" i="10"/>
  <c r="AC309" i="10"/>
  <c r="X313" i="10"/>
  <c r="T308" i="10"/>
  <c r="AE287" i="10"/>
  <c r="N287" i="10"/>
  <c r="H287" i="10"/>
  <c r="W271" i="10"/>
  <c r="S266" i="10"/>
  <c r="AE260" i="10"/>
  <c r="AA255" i="10"/>
  <c r="K250" i="10"/>
  <c r="H259" i="10"/>
  <c r="J274" i="10"/>
  <c r="V268" i="10"/>
  <c r="R263" i="10"/>
  <c r="AD257" i="10"/>
  <c r="Z252" i="10"/>
  <c r="Q257" i="10"/>
  <c r="L255" i="10"/>
  <c r="M273" i="10"/>
  <c r="I268" i="10"/>
  <c r="U262" i="10"/>
  <c r="M249" i="10"/>
  <c r="P275" i="10"/>
  <c r="AB269" i="10"/>
  <c r="X264" i="10"/>
  <c r="W249" i="10"/>
  <c r="G271" i="10"/>
  <c r="S265" i="10"/>
  <c r="O260" i="10"/>
  <c r="Z272" i="10"/>
  <c r="V267" i="10"/>
  <c r="F262" i="10"/>
  <c r="AD256" i="10"/>
  <c r="Z251" i="10"/>
  <c r="AB270" i="10"/>
  <c r="AC274" i="10"/>
  <c r="M269" i="10"/>
  <c r="I264" i="10"/>
  <c r="E259" i="10"/>
  <c r="Q253" i="10"/>
  <c r="Z256" i="10"/>
  <c r="O251" i="10"/>
  <c r="D271" i="10"/>
  <c r="AB265" i="10"/>
  <c r="L260" i="10"/>
  <c r="H255" i="10"/>
  <c r="T249" i="10"/>
  <c r="P258" i="10"/>
  <c r="G273" i="10"/>
  <c r="S267" i="10"/>
  <c r="O262" i="10"/>
  <c r="AA256" i="10"/>
  <c r="W251" i="10"/>
  <c r="F249" i="10"/>
  <c r="S250" i="10"/>
  <c r="AD270" i="10"/>
  <c r="N265" i="10"/>
  <c r="V257" i="10"/>
  <c r="T251" i="10"/>
  <c r="M271" i="10"/>
  <c r="I266" i="10"/>
  <c r="U260" i="10"/>
  <c r="Q255" i="10"/>
  <c r="M250" i="10"/>
  <c r="T269" i="10"/>
  <c r="AD248" i="10"/>
  <c r="L248" i="10"/>
  <c r="T248" i="10"/>
  <c r="K310" i="10"/>
  <c r="G305" i="10"/>
  <c r="S299" i="10"/>
  <c r="O294" i="10"/>
  <c r="AA288" i="10"/>
  <c r="AD314" i="10"/>
  <c r="N309" i="10"/>
  <c r="J304" i="10"/>
  <c r="F299" i="10"/>
  <c r="R293" i="10"/>
  <c r="N288" i="10"/>
  <c r="P294" i="10"/>
  <c r="U310" i="10"/>
  <c r="Q305" i="10"/>
  <c r="AC299" i="10"/>
  <c r="Y294" i="10"/>
  <c r="I289" i="10"/>
  <c r="X301" i="10"/>
  <c r="D311" i="10"/>
  <c r="AB305" i="10"/>
  <c r="X300" i="10"/>
  <c r="H295" i="10"/>
  <c r="D290" i="10"/>
  <c r="I293" i="10"/>
  <c r="AA311" i="10"/>
  <c r="K306" i="10"/>
  <c r="G301" i="10"/>
  <c r="AE295" i="10"/>
  <c r="O290" i="10"/>
  <c r="AC303" i="10"/>
  <c r="V312" i="10"/>
  <c r="R307" i="10"/>
  <c r="N302" i="10"/>
  <c r="Z296" i="10"/>
  <c r="V291" i="10"/>
  <c r="W293" i="10"/>
  <c r="AB288" i="10"/>
  <c r="E310" i="10"/>
  <c r="Q304" i="10"/>
  <c r="M299" i="10"/>
  <c r="Y293" i="10"/>
  <c r="G291" i="10"/>
  <c r="D313" i="10"/>
  <c r="AB307" i="10"/>
  <c r="L302" i="10"/>
  <c r="H297" i="10"/>
  <c r="D292" i="10"/>
  <c r="Q309" i="10"/>
  <c r="O313" i="10"/>
  <c r="AA307" i="10"/>
  <c r="W302" i="10"/>
  <c r="E303" i="10"/>
  <c r="AD312" i="10"/>
  <c r="Z307" i="10"/>
  <c r="J302" i="10"/>
  <c r="F297" i="10"/>
  <c r="R291" i="10"/>
  <c r="E309" i="10"/>
  <c r="L313" i="10"/>
  <c r="H308" i="10"/>
  <c r="S287" i="10"/>
  <c r="K287" i="10"/>
  <c r="R287" i="10"/>
  <c r="K271" i="10"/>
  <c r="G266" i="10"/>
  <c r="S260" i="10"/>
  <c r="O255" i="10"/>
  <c r="AA249" i="10"/>
  <c r="P257" i="10"/>
  <c r="Z273" i="10"/>
  <c r="J268" i="10"/>
  <c r="F263" i="10"/>
  <c r="R257" i="10"/>
  <c r="N252" i="10"/>
  <c r="I256" i="10"/>
  <c r="T253" i="10"/>
  <c r="AC272" i="10"/>
  <c r="Y267" i="10"/>
  <c r="M261" i="10"/>
  <c r="P263" i="10"/>
  <c r="D275" i="10"/>
  <c r="P269" i="10"/>
  <c r="AB263" i="10"/>
  <c r="AA275" i="10"/>
  <c r="W270" i="10"/>
  <c r="G265" i="10"/>
  <c r="AE259" i="10"/>
  <c r="N272" i="10"/>
  <c r="J267" i="10"/>
  <c r="V261" i="10"/>
  <c r="R256" i="10"/>
  <c r="N251" i="10"/>
  <c r="T266" i="10"/>
  <c r="Q274" i="10"/>
  <c r="AC268" i="10"/>
  <c r="Y263" i="10"/>
  <c r="U258" i="10"/>
  <c r="E253" i="10"/>
  <c r="F252" i="10"/>
  <c r="X275" i="10"/>
  <c r="T270" i="10"/>
  <c r="P265" i="10"/>
  <c r="AB259" i="10"/>
  <c r="X254" i="10"/>
  <c r="H249" i="10"/>
  <c r="H254" i="10"/>
  <c r="W272" i="10"/>
  <c r="G267" i="10"/>
  <c r="AE261" i="10"/>
  <c r="O256" i="10"/>
  <c r="K251" i="10"/>
  <c r="X271" i="10"/>
  <c r="V275" i="10"/>
  <c r="R270" i="10"/>
  <c r="AD264" i="10"/>
  <c r="AD255" i="10"/>
  <c r="G259" i="10"/>
  <c r="AC270" i="10"/>
  <c r="Y265" i="10"/>
  <c r="I260" i="10"/>
  <c r="E255" i="10"/>
  <c r="AC249" i="10"/>
  <c r="AB267" i="10"/>
  <c r="R248" i="10"/>
  <c r="Y248" i="10"/>
  <c r="H248" i="10"/>
  <c r="AA309" i="10"/>
  <c r="W304" i="10"/>
  <c r="G299" i="10"/>
  <c r="AE293" i="10"/>
  <c r="O288" i="10"/>
  <c r="R314" i="10"/>
  <c r="AD308" i="10"/>
  <c r="Z303" i="10"/>
  <c r="V298" i="10"/>
  <c r="F293" i="10"/>
  <c r="S297" i="10"/>
  <c r="L289" i="10"/>
  <c r="I310" i="10"/>
  <c r="E305" i="10"/>
  <c r="Q299" i="10"/>
  <c r="M294" i="10"/>
  <c r="Y288" i="10"/>
  <c r="L298" i="10"/>
  <c r="T310" i="10"/>
  <c r="P305" i="10"/>
  <c r="L300" i="10"/>
  <c r="X294" i="10"/>
  <c r="T289" i="10"/>
  <c r="M289" i="10"/>
  <c r="O311" i="10"/>
  <c r="AA305" i="10"/>
  <c r="W300" i="10"/>
  <c r="S295" i="10"/>
  <c r="AE289" i="10"/>
  <c r="E300" i="10"/>
  <c r="J312" i="10"/>
  <c r="F307" i="10"/>
  <c r="AD301" i="10"/>
  <c r="N296" i="10"/>
  <c r="J291" i="10"/>
  <c r="S291" i="10"/>
  <c r="Y314" i="10"/>
  <c r="U309" i="10"/>
  <c r="E304" i="10"/>
  <c r="AC298" i="10"/>
  <c r="M293" i="10"/>
  <c r="E312" i="10"/>
  <c r="T312" i="10"/>
  <c r="P307" i="10"/>
  <c r="AB301" i="10"/>
  <c r="X296" i="10"/>
  <c r="T291" i="10"/>
  <c r="Y304" i="10"/>
  <c r="AE312" i="10"/>
  <c r="O307" i="10"/>
  <c r="K302" i="10"/>
  <c r="Y298" i="10"/>
  <c r="R312" i="10"/>
  <c r="N307" i="10"/>
  <c r="Z301" i="10"/>
  <c r="V296" i="10"/>
  <c r="F291" i="10"/>
  <c r="I305" i="10"/>
  <c r="AB312" i="10"/>
  <c r="L307" i="10"/>
  <c r="G287" i="10"/>
  <c r="Y287" i="10"/>
  <c r="F287" i="10"/>
  <c r="AA270" i="10"/>
  <c r="W265" i="10"/>
  <c r="G260" i="10"/>
  <c r="AE254" i="10"/>
  <c r="O249" i="10"/>
  <c r="H256" i="10"/>
  <c r="N273" i="10"/>
  <c r="Z267" i="10"/>
  <c r="V262" i="10"/>
  <c r="F257" i="10"/>
  <c r="AD251" i="10"/>
  <c r="AC254" i="10"/>
  <c r="AB251" i="10"/>
  <c r="Q272" i="10"/>
  <c r="M267" i="10"/>
  <c r="AC260" i="10"/>
  <c r="L261" i="10"/>
  <c r="T274" i="10"/>
  <c r="D269" i="10"/>
  <c r="T262" i="10"/>
  <c r="O275" i="10"/>
  <c r="K270" i="10"/>
  <c r="W264" i="10"/>
  <c r="S259" i="10"/>
  <c r="AD271" i="10"/>
  <c r="Z266" i="10"/>
  <c r="J261" i="10"/>
  <c r="F256" i="10"/>
  <c r="AD250" i="10"/>
  <c r="D264" i="10"/>
  <c r="E274" i="10"/>
  <c r="Q268" i="10"/>
  <c r="M263" i="10"/>
  <c r="I258" i="10"/>
  <c r="U252" i="10"/>
  <c r="AD249" i="10"/>
  <c r="L275" i="10"/>
  <c r="H270" i="10"/>
  <c r="D265" i="10"/>
  <c r="P259" i="10"/>
  <c r="L254" i="10"/>
  <c r="V260" i="10"/>
  <c r="D252" i="10"/>
  <c r="K272" i="10"/>
  <c r="W266" i="10"/>
  <c r="S261" i="10"/>
  <c r="AE255" i="10"/>
  <c r="AA250" i="10"/>
  <c r="L268" i="10"/>
  <c r="J275" i="10"/>
  <c r="F270" i="10"/>
  <c r="R264" i="10"/>
  <c r="Z253" i="10"/>
  <c r="AE253" i="10"/>
  <c r="S314" i="10"/>
  <c r="O309" i="10"/>
  <c r="K304" i="10"/>
  <c r="W298" i="10"/>
  <c r="S293" i="10"/>
  <c r="K293" i="10"/>
  <c r="F314" i="10"/>
  <c r="R308" i="10"/>
  <c r="N303" i="10"/>
  <c r="J298" i="10"/>
  <c r="V292" i="10"/>
  <c r="S294" i="10"/>
  <c r="AC314" i="10"/>
  <c r="Y309" i="10"/>
  <c r="I304" i="10"/>
  <c r="E299" i="10"/>
  <c r="AC293" i="10"/>
  <c r="M288" i="10"/>
  <c r="T293" i="10"/>
  <c r="H310" i="10"/>
  <c r="D305" i="10"/>
  <c r="AB299" i="10"/>
  <c r="L294" i="10"/>
  <c r="H289" i="10"/>
  <c r="X304" i="10"/>
  <c r="AE310" i="10"/>
  <c r="O305" i="10"/>
  <c r="K300" i="10"/>
  <c r="G295" i="10"/>
  <c r="S289" i="10"/>
  <c r="Y295" i="10"/>
  <c r="Z311" i="10"/>
  <c r="V306" i="10"/>
  <c r="F301" i="10"/>
  <c r="AD295" i="10"/>
  <c r="Z290" i="10"/>
  <c r="G288" i="10"/>
  <c r="M314" i="10"/>
  <c r="I309" i="10"/>
  <c r="U303" i="10"/>
  <c r="Q298" i="10"/>
  <c r="AC292" i="10"/>
  <c r="U305" i="10"/>
  <c r="H312" i="10"/>
  <c r="D307" i="10"/>
  <c r="P301" i="10"/>
  <c r="L296" i="10"/>
  <c r="X290" i="10"/>
  <c r="AC300" i="10"/>
  <c r="S312" i="10"/>
  <c r="AE306" i="10"/>
  <c r="AA301" i="10"/>
  <c r="AC294" i="10"/>
  <c r="F312" i="10"/>
  <c r="AD306" i="10"/>
  <c r="N301" i="10"/>
  <c r="J296" i="10"/>
  <c r="V290" i="10"/>
  <c r="Y301" i="10"/>
  <c r="P312" i="10"/>
  <c r="AB306" i="10"/>
  <c r="AD287" i="10"/>
  <c r="M287" i="10"/>
  <c r="S275" i="10"/>
  <c r="O270" i="10"/>
  <c r="K265" i="10"/>
  <c r="W259" i="10"/>
  <c r="S254" i="10"/>
  <c r="Y261" i="10"/>
  <c r="P254" i="10"/>
  <c r="AD272" i="10"/>
  <c r="N267" i="10"/>
  <c r="J262" i="10"/>
  <c r="V256" i="10"/>
  <c r="R251" i="10"/>
  <c r="U253" i="10"/>
  <c r="H250" i="10"/>
  <c r="E272" i="10"/>
  <c r="AC266" i="10"/>
  <c r="Q260" i="10"/>
  <c r="T259" i="10"/>
  <c r="H274" i="10"/>
  <c r="T268" i="10"/>
  <c r="X261" i="10"/>
  <c r="AE274" i="10"/>
  <c r="AA269" i="10"/>
  <c r="K264" i="10"/>
  <c r="W255" i="10"/>
  <c r="R271" i="10"/>
  <c r="N266" i="10"/>
  <c r="Z260" i="10"/>
  <c r="V255" i="10"/>
  <c r="R250" i="10"/>
  <c r="P261" i="10"/>
  <c r="U273" i="10"/>
  <c r="E268" i="10"/>
  <c r="AC262" i="10"/>
  <c r="Y257" i="10"/>
  <c r="I252" i="10"/>
  <c r="H272" i="10"/>
  <c r="AB274" i="10"/>
  <c r="X269" i="10"/>
  <c r="H264" i="10"/>
  <c r="D259" i="10"/>
  <c r="AB253" i="10"/>
  <c r="J257" i="10"/>
  <c r="P249" i="10"/>
  <c r="O271" i="10"/>
  <c r="K266" i="10"/>
  <c r="G261" i="10"/>
  <c r="S255" i="10"/>
  <c r="O250" i="10"/>
  <c r="L265" i="10"/>
  <c r="Z274" i="10"/>
  <c r="V269" i="10"/>
  <c r="F264" i="10"/>
  <c r="V251" i="10"/>
  <c r="U275" i="10"/>
  <c r="E270" i="10"/>
  <c r="AC264" i="10"/>
  <c r="M259" i="10"/>
  <c r="I254" i="10"/>
  <c r="T275" i="10"/>
  <c r="H263" i="10"/>
  <c r="G314" i="10"/>
  <c r="AE308" i="10"/>
  <c r="AA303" i="10"/>
  <c r="K298" i="10"/>
  <c r="G293" i="10"/>
  <c r="AE288" i="10"/>
  <c r="V313" i="10"/>
  <c r="F308" i="10"/>
  <c r="AD302" i="10"/>
  <c r="Z297" i="10"/>
  <c r="J292" i="10"/>
  <c r="W290" i="10"/>
  <c r="Q314" i="10"/>
  <c r="M309" i="10"/>
  <c r="Y303" i="10"/>
  <c r="U298" i="10"/>
  <c r="Q293" i="10"/>
  <c r="AA295" i="10"/>
  <c r="X289" i="10"/>
  <c r="X309" i="10"/>
  <c r="T304" i="10"/>
  <c r="D299" i="10"/>
  <c r="AB293" i="10"/>
  <c r="X288" i="10"/>
  <c r="T296" i="10"/>
  <c r="S310" i="10"/>
  <c r="AE304" i="10"/>
  <c r="AA299" i="10"/>
  <c r="W294" i="10"/>
  <c r="G289" i="10"/>
  <c r="Q291" i="10"/>
  <c r="N311" i="10"/>
  <c r="J306" i="10"/>
  <c r="V300" i="10"/>
  <c r="R295" i="10"/>
  <c r="N290" i="10"/>
  <c r="I311" i="10"/>
  <c r="AC313" i="10"/>
  <c r="M308" i="10"/>
  <c r="I303" i="10"/>
  <c r="E298" i="10"/>
  <c r="Q292" i="10"/>
  <c r="I296" i="10"/>
  <c r="X311" i="10"/>
  <c r="T306" i="10"/>
  <c r="D301" i="10"/>
  <c r="AB295" i="10"/>
  <c r="L290" i="10"/>
  <c r="U296" i="10"/>
  <c r="G312" i="10"/>
  <c r="S306" i="10"/>
  <c r="O301" i="10"/>
  <c r="I290" i="10"/>
  <c r="V311" i="10"/>
  <c r="R306" i="10"/>
  <c r="AD300" i="10"/>
  <c r="Z295" i="10"/>
  <c r="J290" i="10"/>
  <c r="AC297" i="10"/>
  <c r="D312" i="10"/>
  <c r="P306" i="10"/>
  <c r="AC287" i="10"/>
  <c r="X287" i="10"/>
  <c r="G275" i="10"/>
  <c r="AE269" i="10"/>
  <c r="AA264" i="10"/>
  <c r="K259" i="10"/>
  <c r="G254" i="10"/>
  <c r="U259" i="10"/>
  <c r="X252" i="10"/>
  <c r="R272" i="10"/>
  <c r="AD266" i="10"/>
  <c r="Z261" i="10"/>
  <c r="J256" i="10"/>
  <c r="F251" i="10"/>
  <c r="M252" i="10"/>
  <c r="O257" i="10"/>
  <c r="U271" i="10"/>
  <c r="Q266" i="10"/>
  <c r="I259" i="10"/>
  <c r="AB257" i="10"/>
  <c r="X273" i="10"/>
  <c r="H268" i="10"/>
  <c r="D260" i="10"/>
  <c r="S274" i="10"/>
  <c r="O269" i="10"/>
  <c r="AA263" i="10"/>
  <c r="O254" i="10"/>
  <c r="F271" i="10"/>
  <c r="AD265" i="10"/>
  <c r="N260" i="10"/>
  <c r="J255" i="10"/>
  <c r="V249" i="10"/>
  <c r="AB258" i="10"/>
  <c r="I273" i="10"/>
  <c r="U267" i="10"/>
  <c r="Q262" i="10"/>
  <c r="AC256" i="10"/>
  <c r="Y251" i="10"/>
  <c r="D267" i="10"/>
  <c r="P274" i="10"/>
  <c r="L269" i="10"/>
  <c r="X263" i="10"/>
  <c r="T258" i="10"/>
  <c r="P253" i="10"/>
  <c r="F255" i="10"/>
  <c r="AA257" i="10"/>
  <c r="AE270" i="10"/>
  <c r="AA265" i="10"/>
  <c r="W260" i="10"/>
  <c r="G255" i="10"/>
  <c r="AE249" i="10"/>
  <c r="L262" i="10"/>
  <c r="N274" i="10"/>
  <c r="J269" i="10"/>
  <c r="V263" i="10"/>
  <c r="R249" i="10"/>
  <c r="I275" i="10"/>
  <c r="U269" i="10"/>
  <c r="Q264" i="10"/>
  <c r="AC258" i="10"/>
  <c r="Y253" i="10"/>
  <c r="H275" i="10"/>
  <c r="T260" i="10"/>
  <c r="Q248" i="10"/>
  <c r="W248" i="10"/>
  <c r="G236" i="10"/>
  <c r="W313" i="10"/>
  <c r="S308" i="10"/>
  <c r="O303" i="10"/>
  <c r="AA297" i="10"/>
  <c r="W292" i="10"/>
  <c r="Y313" i="10"/>
  <c r="J313" i="10"/>
  <c r="V307" i="10"/>
  <c r="R302" i="10"/>
  <c r="AD296" i="10"/>
  <c r="Z291" i="10"/>
  <c r="Q312" i="10"/>
  <c r="E314" i="10"/>
  <c r="AC308" i="10"/>
  <c r="M303" i="10"/>
  <c r="I298" i="10"/>
  <c r="E293" i="10"/>
  <c r="AA292" i="10"/>
  <c r="AB314" i="10"/>
  <c r="L309" i="10"/>
  <c r="H304" i="10"/>
  <c r="T298" i="10"/>
  <c r="P293" i="10"/>
  <c r="L288" i="10"/>
  <c r="H290" i="10"/>
  <c r="G310" i="10"/>
  <c r="S304" i="10"/>
  <c r="O299" i="10"/>
  <c r="AA293" i="10"/>
  <c r="W288" i="10"/>
  <c r="H302" i="10"/>
  <c r="AD310" i="10"/>
  <c r="Z305" i="10"/>
  <c r="J300" i="10"/>
  <c r="F295" i="10"/>
  <c r="AD289" i="10"/>
  <c r="AC306" i="10"/>
  <c r="Q313" i="10"/>
  <c r="AC307" i="10"/>
  <c r="Y302" i="10"/>
  <c r="U297" i="10"/>
  <c r="E292" i="10"/>
  <c r="AC291" i="10"/>
  <c r="L311" i="10"/>
  <c r="H306" i="10"/>
  <c r="T300" i="10"/>
  <c r="P295" i="10"/>
  <c r="AB289" i="10"/>
  <c r="E294" i="10"/>
  <c r="W311" i="10"/>
  <c r="G306" i="10"/>
  <c r="AE300" i="10"/>
  <c r="AB300" i="10"/>
  <c r="J311" i="10"/>
  <c r="F306" i="10"/>
  <c r="R300" i="10"/>
  <c r="N295" i="10"/>
  <c r="Z289" i="10"/>
  <c r="U293" i="10"/>
  <c r="T311" i="10"/>
  <c r="D306" i="10"/>
  <c r="Q287" i="10"/>
  <c r="L287" i="10"/>
  <c r="W274" i="10"/>
  <c r="S269" i="10"/>
  <c r="O264" i="10"/>
  <c r="AA258" i="10"/>
  <c r="W253" i="10"/>
  <c r="M258" i="10"/>
  <c r="D251" i="10"/>
  <c r="F272" i="10"/>
  <c r="R266" i="10"/>
  <c r="N261" i="10"/>
  <c r="Z255" i="10"/>
  <c r="V250" i="10"/>
  <c r="Q251" i="10"/>
  <c r="K252" i="10"/>
  <c r="I271" i="10"/>
  <c r="E266" i="10"/>
  <c r="AC257" i="10"/>
  <c r="X255" i="10"/>
  <c r="L273" i="10"/>
  <c r="X267" i="10"/>
  <c r="L258" i="10"/>
  <c r="G274" i="10"/>
  <c r="AE268" i="10"/>
  <c r="O263" i="10"/>
  <c r="G250" i="10"/>
  <c r="V270" i="10"/>
  <c r="R265" i="10"/>
  <c r="AD259" i="10"/>
  <c r="Z254" i="10"/>
  <c r="J249" i="10"/>
  <c r="P255" i="10"/>
  <c r="Y272" i="10"/>
  <c r="I267" i="10"/>
  <c r="E262" i="10"/>
  <c r="Q256" i="10"/>
  <c r="M251" i="10"/>
  <c r="P264" i="10"/>
  <c r="D274" i="10"/>
  <c r="AB268" i="10"/>
  <c r="L263" i="10"/>
  <c r="H258" i="10"/>
  <c r="D253" i="10"/>
  <c r="R252" i="10"/>
  <c r="W252" i="10"/>
  <c r="S270" i="10"/>
  <c r="O265" i="10"/>
  <c r="K260" i="10"/>
  <c r="W254" i="10"/>
  <c r="S249" i="10"/>
  <c r="X259" i="10"/>
  <c r="AD273" i="10"/>
  <c r="Z268" i="10"/>
  <c r="J263" i="10"/>
  <c r="P270" i="10"/>
  <c r="Y274" i="10"/>
  <c r="I269" i="10"/>
  <c r="E264" i="10"/>
  <c r="Q258" i="10"/>
  <c r="M253" i="10"/>
  <c r="X274" i="10"/>
  <c r="D258" i="10"/>
  <c r="E248" i="10"/>
  <c r="K248" i="10"/>
  <c r="W235" i="10"/>
  <c r="K313" i="10"/>
  <c r="G308" i="10"/>
  <c r="AE302" i="10"/>
  <c r="O297" i="10"/>
  <c r="K292" i="10"/>
  <c r="Y307" i="10"/>
  <c r="Z312" i="10"/>
  <c r="J307" i="10"/>
  <c r="F302" i="10"/>
  <c r="R296" i="10"/>
  <c r="N291" i="10"/>
  <c r="U308" i="10"/>
  <c r="U313" i="10"/>
  <c r="Q308" i="10"/>
  <c r="AC302" i="10"/>
  <c r="Y297" i="10"/>
  <c r="U292" i="10"/>
  <c r="AA289" i="10"/>
  <c r="P314" i="10"/>
  <c r="AB308" i="10"/>
  <c r="X303" i="10"/>
  <c r="H298" i="10"/>
  <c r="D293" i="10"/>
  <c r="G297" i="10"/>
  <c r="AA314" i="10"/>
  <c r="W309" i="10"/>
  <c r="G304" i="10"/>
  <c r="AE298" i="10"/>
  <c r="O293" i="10"/>
  <c r="K288" i="10"/>
  <c r="H299" i="10"/>
  <c r="R310" i="10"/>
  <c r="N305" i="10"/>
  <c r="Z299" i="10"/>
  <c r="V294" i="10"/>
  <c r="R289" i="10"/>
  <c r="Q303" i="10"/>
  <c r="E313" i="10"/>
  <c r="Q307" i="10"/>
  <c r="M302" i="10"/>
  <c r="I297" i="10"/>
  <c r="U291" i="10"/>
  <c r="L301" i="10"/>
  <c r="AB310" i="10"/>
  <c r="X305" i="10"/>
  <c r="H300" i="10"/>
  <c r="D295" i="10"/>
  <c r="P289" i="10"/>
  <c r="E291" i="10"/>
  <c r="K311" i="10"/>
  <c r="W305" i="10"/>
  <c r="S300" i="10"/>
  <c r="X298" i="10"/>
  <c r="Z310" i="10"/>
  <c r="J305" i="10"/>
  <c r="F300" i="10"/>
  <c r="AD294" i="10"/>
  <c r="N289" i="10"/>
  <c r="Y289" i="10"/>
  <c r="H311" i="10"/>
  <c r="T305" i="10"/>
  <c r="E287" i="10"/>
  <c r="W287" i="10"/>
  <c r="K274" i="10"/>
  <c r="G269" i="10"/>
  <c r="AE263" i="10"/>
  <c r="O258" i="10"/>
  <c r="K253" i="10"/>
  <c r="E257" i="10"/>
  <c r="S253" i="10"/>
  <c r="V271" i="10"/>
  <c r="F266" i="10"/>
  <c r="AD260" i="10"/>
  <c r="N255" i="10"/>
  <c r="J250" i="10"/>
  <c r="U250" i="10"/>
  <c r="AC275" i="10"/>
  <c r="Y270" i="10"/>
  <c r="I265" i="10"/>
  <c r="U256" i="10"/>
  <c r="D254" i="10"/>
  <c r="P272" i="10"/>
  <c r="L267" i="10"/>
  <c r="T256" i="10"/>
  <c r="W273" i="10"/>
  <c r="S268" i="10"/>
  <c r="AE262" i="10"/>
  <c r="Z275" i="10"/>
  <c r="J270" i="10"/>
  <c r="F265" i="10"/>
  <c r="R259" i="10"/>
  <c r="N254" i="10"/>
  <c r="J260" i="10"/>
  <c r="X253" i="10"/>
  <c r="M272" i="10"/>
  <c r="Y266" i="10"/>
  <c r="U261" i="10"/>
  <c r="E256" i="10"/>
  <c r="AC250" i="10"/>
  <c r="AB261" i="10"/>
  <c r="T273" i="10"/>
  <c r="P268" i="10"/>
  <c r="AB262" i="10"/>
  <c r="X257" i="10"/>
  <c r="T252" i="10"/>
  <c r="N250" i="10"/>
  <c r="W275" i="10"/>
  <c r="G270" i="10"/>
  <c r="AE264" i="10"/>
  <c r="AA259" i="10"/>
  <c r="K254" i="10"/>
  <c r="G249" i="10"/>
  <c r="H257" i="10"/>
  <c r="R273" i="10"/>
  <c r="N268" i="10"/>
  <c r="Z262" i="10"/>
  <c r="P267" i="10"/>
  <c r="M274" i="10"/>
  <c r="Y268" i="10"/>
  <c r="U263" i="10"/>
  <c r="E258" i="10"/>
  <c r="AC252" i="10"/>
  <c r="L274" i="10"/>
  <c r="AB255" i="10"/>
  <c r="AB248" i="10"/>
  <c r="V248" i="10"/>
  <c r="K235" i="10"/>
  <c r="AA312" i="10"/>
  <c r="W307" i="10"/>
  <c r="G302" i="10"/>
  <c r="AE296" i="10"/>
  <c r="AA291" i="10"/>
  <c r="U302" i="10"/>
  <c r="N312" i="10"/>
  <c r="Z306" i="10"/>
  <c r="V301" i="10"/>
  <c r="F296" i="10"/>
  <c r="AD290" i="10"/>
  <c r="M304" i="10"/>
  <c r="I313" i="10"/>
  <c r="E308" i="10"/>
  <c r="Q302" i="10"/>
  <c r="M297" i="10"/>
  <c r="Y291" i="10"/>
  <c r="U311" i="10"/>
  <c r="D314" i="10"/>
  <c r="P308" i="10"/>
  <c r="L303" i="10"/>
  <c r="X297" i="10"/>
  <c r="T292" i="10"/>
  <c r="O292" i="10"/>
  <c r="O314" i="10"/>
  <c r="K309" i="10"/>
  <c r="W303" i="10"/>
  <c r="S298" i="10"/>
  <c r="AE292" i="10"/>
  <c r="K296" i="10"/>
  <c r="D294" i="10"/>
  <c r="F310" i="10"/>
  <c r="AD304" i="10"/>
  <c r="N299" i="10"/>
  <c r="J294" i="10"/>
  <c r="V288" i="10"/>
  <c r="I299" i="10"/>
  <c r="U312" i="10"/>
  <c r="E307" i="10"/>
  <c r="AC301" i="10"/>
  <c r="Y296" i="10"/>
  <c r="I291" i="10"/>
  <c r="H296" i="10"/>
  <c r="P310" i="10"/>
  <c r="L305" i="10"/>
  <c r="X299" i="10"/>
  <c r="T294" i="10"/>
  <c r="D289" i="10"/>
  <c r="P303" i="10"/>
  <c r="O310" i="10"/>
  <c r="K305" i="10"/>
  <c r="G300" i="10"/>
  <c r="AB294" i="10"/>
  <c r="N310" i="10"/>
  <c r="Z304" i="10"/>
  <c r="V299" i="10"/>
  <c r="R294" i="10"/>
  <c r="AD288" i="10"/>
  <c r="H305" i="10"/>
  <c r="X310" i="10"/>
  <c r="D303" i="10"/>
  <c r="O287" i="10"/>
  <c r="V287" i="10"/>
  <c r="AA273" i="10"/>
  <c r="W268" i="10"/>
  <c r="G263" i="10"/>
  <c r="AE257" i="10"/>
  <c r="AA252" i="10"/>
  <c r="Y255" i="10"/>
  <c r="K249" i="10"/>
  <c r="J271" i="10"/>
  <c r="V265" i="10"/>
  <c r="R260" i="10"/>
  <c r="AD254" i="10"/>
  <c r="Z249" i="10"/>
  <c r="Y249" i="10"/>
  <c r="Q275" i="10"/>
  <c r="M270" i="10"/>
  <c r="Y264" i="10"/>
  <c r="M255" i="10"/>
  <c r="L252" i="10"/>
  <c r="D272" i="10"/>
  <c r="AB266" i="10"/>
  <c r="AB254" i="10"/>
  <c r="K273" i="10"/>
  <c r="G268" i="10"/>
  <c r="S262" i="10"/>
  <c r="N275" i="10"/>
  <c r="Z269" i="10"/>
  <c r="V264" i="10"/>
  <c r="F259" i="10"/>
  <c r="AD253" i="10"/>
  <c r="R258" i="10"/>
  <c r="X250" i="10"/>
  <c r="AC271" i="10"/>
  <c r="M266" i="10"/>
  <c r="I261" i="10"/>
  <c r="U255" i="10"/>
  <c r="Q250" i="10"/>
  <c r="L259" i="10"/>
  <c r="H273" i="10"/>
  <c r="D268" i="10"/>
  <c r="P262" i="10"/>
  <c r="L257" i="10"/>
  <c r="X251" i="10"/>
  <c r="L271" i="10"/>
  <c r="K275" i="10"/>
  <c r="W269" i="10"/>
  <c r="S264" i="10"/>
  <c r="AE258" i="10"/>
  <c r="AA253" i="10"/>
  <c r="F261" i="10"/>
  <c r="D255" i="10"/>
  <c r="F273" i="10"/>
  <c r="AD267" i="10"/>
  <c r="N262" i="10"/>
  <c r="AB264" i="10"/>
  <c r="Q273" i="10"/>
  <c r="M268" i="10"/>
  <c r="I263" i="10"/>
  <c r="U257" i="10"/>
  <c r="Q252" i="10"/>
  <c r="AB273" i="10"/>
  <c r="L253" i="10"/>
  <c r="P248" i="10"/>
  <c r="J248" i="10"/>
  <c r="AA234" i="10"/>
  <c r="O312" i="10"/>
  <c r="K307" i="10"/>
  <c r="W301" i="10"/>
  <c r="S296" i="10"/>
  <c r="O291" i="10"/>
  <c r="E297" i="10"/>
  <c r="AD311" i="10"/>
  <c r="N306" i="10"/>
  <c r="J301" i="10"/>
  <c r="V295" i="10"/>
  <c r="R290" i="10"/>
  <c r="U299" i="10"/>
  <c r="Y312" i="10"/>
  <c r="U307" i="10"/>
  <c r="E302" i="10"/>
  <c r="AC296" i="10"/>
  <c r="M291" i="10"/>
  <c r="E306" i="10"/>
  <c r="T313" i="10"/>
  <c r="D308" i="10"/>
  <c r="AB302" i="10"/>
  <c r="L297" i="10"/>
  <c r="H292" i="10"/>
  <c r="O289" i="10"/>
  <c r="AE313" i="10"/>
  <c r="AA308" i="10"/>
  <c r="K303" i="10"/>
  <c r="G298" i="10"/>
  <c r="S292" i="10"/>
  <c r="AE294" i="10"/>
  <c r="P288" i="10"/>
  <c r="V309" i="10"/>
  <c r="R304" i="10"/>
  <c r="AD298" i="10"/>
  <c r="Z293" i="10"/>
  <c r="J288" i="10"/>
  <c r="Q294" i="10"/>
  <c r="I312" i="10"/>
  <c r="U306" i="10"/>
  <c r="Q301" i="10"/>
  <c r="AC295" i="10"/>
  <c r="M290" i="10"/>
  <c r="AB291" i="10"/>
  <c r="D310" i="10"/>
  <c r="AB304" i="10"/>
  <c r="L299" i="10"/>
  <c r="H294" i="10"/>
  <c r="T288" i="10"/>
  <c r="P297" i="10"/>
  <c r="AE309" i="10"/>
  <c r="AA304" i="10"/>
  <c r="W299" i="10"/>
  <c r="T290" i="10"/>
  <c r="AD309" i="10"/>
  <c r="N304" i="10"/>
  <c r="J299" i="10"/>
  <c r="F294" i="10"/>
  <c r="R288" i="10"/>
  <c r="X295" i="10"/>
  <c r="L310" i="10"/>
  <c r="P300" i="10"/>
  <c r="AB287" i="10"/>
  <c r="J287" i="10"/>
  <c r="O273" i="10"/>
  <c r="K268" i="10"/>
  <c r="W262" i="10"/>
  <c r="S257" i="10"/>
  <c r="O252" i="10"/>
  <c r="Q254" i="10"/>
  <c r="AD275" i="10"/>
  <c r="N270" i="10"/>
  <c r="J265" i="10"/>
  <c r="F260" i="10"/>
  <c r="R254" i="10"/>
  <c r="N249" i="10"/>
  <c r="L264" i="10"/>
  <c r="E275" i="10"/>
  <c r="AC269" i="10"/>
  <c r="M264" i="10"/>
  <c r="E254" i="10"/>
  <c r="T250" i="10"/>
  <c r="T271" i="10"/>
  <c r="P266" i="10"/>
  <c r="H253" i="10"/>
  <c r="AA272" i="10"/>
  <c r="K267" i="10"/>
  <c r="G262" i="10"/>
  <c r="R274" i="10"/>
  <c r="N269" i="10"/>
  <c r="J264" i="10"/>
  <c r="V258" i="10"/>
  <c r="R253" i="10"/>
  <c r="N256" i="10"/>
  <c r="W258" i="10"/>
  <c r="Q271" i="10"/>
  <c r="AC265" i="10"/>
  <c r="Y260" i="10"/>
  <c r="I255" i="10"/>
  <c r="E250" i="10"/>
  <c r="X256" i="10"/>
  <c r="X272" i="10"/>
  <c r="T267" i="10"/>
  <c r="D262" i="10"/>
  <c r="AB256" i="10"/>
  <c r="L251" i="10"/>
  <c r="H269" i="10"/>
  <c r="AA274" i="10"/>
  <c r="K269" i="10"/>
  <c r="G264" i="10"/>
  <c r="S258" i="10"/>
  <c r="O253" i="10"/>
  <c r="F258" i="10"/>
  <c r="P252" i="10"/>
  <c r="V272" i="10"/>
  <c r="R267" i="10"/>
  <c r="AD261" i="10"/>
  <c r="X262" i="10"/>
  <c r="E273" i="10"/>
  <c r="AC267" i="10"/>
  <c r="Y262" i="10"/>
  <c r="I257" i="10"/>
  <c r="E252" i="10"/>
  <c r="P273" i="10"/>
  <c r="H251" i="10"/>
  <c r="AA248" i="10"/>
  <c r="S248" i="10"/>
  <c r="O234" i="10"/>
  <c r="R311" i="10"/>
  <c r="H313" i="10"/>
  <c r="Z314" i="10"/>
  <c r="X314" i="10"/>
  <c r="AD303" i="10"/>
  <c r="G257" i="10"/>
  <c r="AC263" i="10"/>
  <c r="J258" i="10"/>
  <c r="T261" i="10"/>
  <c r="F267" i="10"/>
  <c r="Q249" i="10"/>
  <c r="AE233" i="10"/>
  <c r="AA228" i="10"/>
  <c r="K223" i="10"/>
  <c r="G218" i="10"/>
  <c r="AE212" i="10"/>
  <c r="M210" i="10"/>
  <c r="F233" i="10"/>
  <c r="R227" i="10"/>
  <c r="N222" i="10"/>
  <c r="Z216" i="10"/>
  <c r="V211" i="10"/>
  <c r="Q212" i="10"/>
  <c r="Q233" i="10"/>
  <c r="M228" i="10"/>
  <c r="Y222" i="10"/>
  <c r="AE211" i="10"/>
  <c r="X231" i="10"/>
  <c r="T226" i="10"/>
  <c r="D221" i="10"/>
  <c r="AB215" i="10"/>
  <c r="X210" i="10"/>
  <c r="AE235" i="10"/>
  <c r="AA230" i="10"/>
  <c r="K225" i="10"/>
  <c r="K219" i="10"/>
  <c r="R235" i="10"/>
  <c r="N230" i="10"/>
  <c r="J225" i="10"/>
  <c r="V219" i="10"/>
  <c r="R214" i="10"/>
  <c r="P231" i="10"/>
  <c r="Q235" i="10"/>
  <c r="AC229" i="10"/>
  <c r="Y224" i="10"/>
  <c r="U219" i="10"/>
  <c r="E214" i="10"/>
  <c r="T227" i="10"/>
  <c r="H234" i="10"/>
  <c r="D229" i="10"/>
  <c r="P223" i="10"/>
  <c r="L218" i="10"/>
  <c r="X212" i="10"/>
  <c r="T221" i="10"/>
  <c r="W233" i="10"/>
  <c r="G228" i="10"/>
  <c r="AE222" i="10"/>
  <c r="O217" i="10"/>
  <c r="K212" i="10"/>
  <c r="H221" i="10"/>
  <c r="V233" i="10"/>
  <c r="R228" i="10"/>
  <c r="AD222" i="10"/>
  <c r="Z217" i="10"/>
  <c r="J212" i="10"/>
  <c r="P219" i="10"/>
  <c r="Y232" i="10"/>
  <c r="U227" i="10"/>
  <c r="E222" i="10"/>
  <c r="AC216" i="10"/>
  <c r="Y211" i="10"/>
  <c r="T215" i="10"/>
  <c r="N209" i="10"/>
  <c r="AB209" i="10"/>
  <c r="O195" i="10"/>
  <c r="K190" i="10"/>
  <c r="W184" i="10"/>
  <c r="S179" i="10"/>
  <c r="R197" i="10"/>
  <c r="AD191" i="10"/>
  <c r="Z186" i="10"/>
  <c r="V181" i="10"/>
  <c r="F176" i="10"/>
  <c r="D174" i="10"/>
  <c r="U193" i="10"/>
  <c r="Q188" i="10"/>
  <c r="AC182" i="10"/>
  <c r="M177" i="10"/>
  <c r="Y171" i="10"/>
  <c r="E192" i="10"/>
  <c r="T196" i="10"/>
  <c r="D191" i="10"/>
  <c r="AB185" i="10"/>
  <c r="L180" i="10"/>
  <c r="H175" i="10"/>
  <c r="K183" i="10"/>
  <c r="AC192" i="10"/>
  <c r="AE196" i="10"/>
  <c r="AA191" i="10"/>
  <c r="K186" i="10"/>
  <c r="AA173" i="10"/>
  <c r="AB171" i="10"/>
  <c r="F193" i="10"/>
  <c r="AD187" i="10"/>
  <c r="N182" i="10"/>
  <c r="J177" i="10"/>
  <c r="V171" i="10"/>
  <c r="O172" i="10"/>
  <c r="N181" i="10"/>
  <c r="I185" i="10"/>
  <c r="AC196" i="10"/>
  <c r="M191" i="10"/>
  <c r="I186" i="10"/>
  <c r="E181" i="10"/>
  <c r="Q175" i="10"/>
  <c r="R189" i="10"/>
  <c r="M181" i="10"/>
  <c r="H195" i="10"/>
  <c r="D190" i="10"/>
  <c r="P184" i="10"/>
  <c r="L179" i="10"/>
  <c r="X173" i="10"/>
  <c r="Z181" i="10"/>
  <c r="AD305" i="10"/>
  <c r="T307" i="10"/>
  <c r="J309" i="10"/>
  <c r="T309" i="10"/>
  <c r="Z298" i="10"/>
  <c r="AE251" i="10"/>
  <c r="AC251" i="10"/>
  <c r="F253" i="10"/>
  <c r="P256" i="10"/>
  <c r="R261" i="10"/>
  <c r="D273" i="10"/>
  <c r="S233" i="10"/>
  <c r="O228" i="10"/>
  <c r="AA222" i="10"/>
  <c r="W217" i="10"/>
  <c r="S212" i="10"/>
  <c r="AA212" i="10"/>
  <c r="V232" i="10"/>
  <c r="F227" i="10"/>
  <c r="AD221" i="10"/>
  <c r="N216" i="10"/>
  <c r="J211" i="10"/>
  <c r="I211" i="10"/>
  <c r="E233" i="10"/>
  <c r="AC227" i="10"/>
  <c r="AC221" i="10"/>
  <c r="AB236" i="10"/>
  <c r="L231" i="10"/>
  <c r="H226" i="10"/>
  <c r="T220" i="10"/>
  <c r="P215" i="10"/>
  <c r="L210" i="10"/>
  <c r="S235" i="10"/>
  <c r="O230" i="10"/>
  <c r="AA224" i="10"/>
  <c r="AA218" i="10"/>
  <c r="F235" i="10"/>
  <c r="AD229" i="10"/>
  <c r="Z224" i="10"/>
  <c r="J219" i="10"/>
  <c r="F214" i="10"/>
  <c r="L229" i="10"/>
  <c r="E235" i="10"/>
  <c r="Q229" i="10"/>
  <c r="M224" i="10"/>
  <c r="I219" i="10"/>
  <c r="U213" i="10"/>
  <c r="D225" i="10"/>
  <c r="X233" i="10"/>
  <c r="T228" i="10"/>
  <c r="D223" i="10"/>
  <c r="AB217" i="10"/>
  <c r="L212" i="10"/>
  <c r="T218" i="10"/>
  <c r="K233" i="10"/>
  <c r="W227" i="10"/>
  <c r="S222" i="10"/>
  <c r="AE216" i="10"/>
  <c r="AA211" i="10"/>
  <c r="D219" i="10"/>
  <c r="J233" i="10"/>
  <c r="F228" i="10"/>
  <c r="R222" i="10"/>
  <c r="N217" i="10"/>
  <c r="Z211" i="10"/>
  <c r="AB216" i="10"/>
  <c r="M232" i="10"/>
  <c r="I227" i="10"/>
  <c r="U221" i="10"/>
  <c r="Q216" i="10"/>
  <c r="M211" i="10"/>
  <c r="P213" i="10"/>
  <c r="Y209" i="10"/>
  <c r="T209" i="10"/>
  <c r="AE194" i="10"/>
  <c r="AA189" i="10"/>
  <c r="K184" i="10"/>
  <c r="G179" i="10"/>
  <c r="F197" i="10"/>
  <c r="R191" i="10"/>
  <c r="N186" i="10"/>
  <c r="J181" i="10"/>
  <c r="V175" i="10"/>
  <c r="W175" i="10"/>
  <c r="I193" i="10"/>
  <c r="E188" i="10"/>
  <c r="Q182" i="10"/>
  <c r="AC176" i="10"/>
  <c r="M171" i="10"/>
  <c r="Q189" i="10"/>
  <c r="H196" i="10"/>
  <c r="T190" i="10"/>
  <c r="P185" i="10"/>
  <c r="AB179" i="10"/>
  <c r="X174" i="10"/>
  <c r="O182" i="10"/>
  <c r="AC189" i="10"/>
  <c r="S196" i="10"/>
  <c r="O191" i="10"/>
  <c r="O185" i="10"/>
  <c r="S172" i="10"/>
  <c r="K172" i="10"/>
  <c r="V192" i="10"/>
  <c r="R187" i="10"/>
  <c r="AD181" i="10"/>
  <c r="Z176" i="10"/>
  <c r="J171" i="10"/>
  <c r="V197" i="10"/>
  <c r="V179" i="10"/>
  <c r="U182" i="10"/>
  <c r="Q196" i="10"/>
  <c r="AC190" i="10"/>
  <c r="Y185" i="10"/>
  <c r="U180" i="10"/>
  <c r="E175" i="10"/>
  <c r="AD186" i="10"/>
  <c r="Q177" i="10"/>
  <c r="X194" i="10"/>
  <c r="T189" i="10"/>
  <c r="D184" i="10"/>
  <c r="AB178" i="10"/>
  <c r="D172" i="10"/>
  <c r="R180" i="10"/>
  <c r="E174" i="10"/>
  <c r="K194" i="10"/>
  <c r="W188" i="10"/>
  <c r="Z300" i="10"/>
  <c r="P302" i="10"/>
  <c r="F304" i="10"/>
  <c r="P304" i="10"/>
  <c r="V293" i="10"/>
  <c r="Y252" i="10"/>
  <c r="G256" i="10"/>
  <c r="V254" i="10"/>
  <c r="AB250" i="10"/>
  <c r="H260" i="10"/>
  <c r="X265" i="10"/>
  <c r="G233" i="10"/>
  <c r="AE227" i="10"/>
  <c r="O222" i="10"/>
  <c r="K217" i="10"/>
  <c r="W211" i="10"/>
  <c r="W210" i="10"/>
  <c r="J232" i="10"/>
  <c r="V226" i="10"/>
  <c r="R221" i="10"/>
  <c r="AD215" i="10"/>
  <c r="Z210" i="10"/>
  <c r="K213" i="10"/>
  <c r="U232" i="10"/>
  <c r="Q227" i="10"/>
  <c r="Q221" i="10"/>
  <c r="P236" i="10"/>
  <c r="AB230" i="10"/>
  <c r="X225" i="10"/>
  <c r="H220" i="10"/>
  <c r="D215" i="10"/>
  <c r="W222" i="10"/>
  <c r="G235" i="10"/>
  <c r="AE229" i="10"/>
  <c r="O224" i="10"/>
  <c r="AE217" i="10"/>
  <c r="V234" i="10"/>
  <c r="R229" i="10"/>
  <c r="N224" i="10"/>
  <c r="Z218" i="10"/>
  <c r="V213" i="10"/>
  <c r="AB225" i="10"/>
  <c r="U234" i="10"/>
  <c r="E229" i="10"/>
  <c r="AC223" i="10"/>
  <c r="Y218" i="10"/>
  <c r="I213" i="10"/>
  <c r="P222" i="10"/>
  <c r="L233" i="10"/>
  <c r="H228" i="10"/>
  <c r="T222" i="10"/>
  <c r="P217" i="10"/>
  <c r="AB211" i="10"/>
  <c r="D216" i="10"/>
  <c r="O232" i="10"/>
  <c r="K227" i="10"/>
  <c r="G222" i="10"/>
  <c r="S216" i="10"/>
  <c r="O211" i="10"/>
  <c r="P216" i="10"/>
  <c r="Z232" i="10"/>
  <c r="J227" i="10"/>
  <c r="F222" i="10"/>
  <c r="AD216" i="10"/>
  <c r="N211" i="10"/>
  <c r="L214" i="10"/>
  <c r="AC231" i="10"/>
  <c r="Y226" i="10"/>
  <c r="I221" i="10"/>
  <c r="E216" i="10"/>
  <c r="AC210" i="10"/>
  <c r="L211" i="10"/>
  <c r="M209" i="10"/>
  <c r="H209" i="10"/>
  <c r="S194" i="10"/>
  <c r="O189" i="10"/>
  <c r="AA183" i="10"/>
  <c r="W178" i="10"/>
  <c r="V196" i="10"/>
  <c r="F191" i="10"/>
  <c r="AD185" i="10"/>
  <c r="Z180" i="10"/>
  <c r="J175" i="10"/>
  <c r="AC197" i="10"/>
  <c r="Y192" i="10"/>
  <c r="I187" i="10"/>
  <c r="E182" i="10"/>
  <c r="Q176" i="10"/>
  <c r="G181" i="10"/>
  <c r="E186" i="10"/>
  <c r="X195" i="10"/>
  <c r="H190" i="10"/>
  <c r="D185" i="10"/>
  <c r="P179" i="10"/>
  <c r="L174" i="10"/>
  <c r="S181" i="10"/>
  <c r="M187" i="10"/>
  <c r="G196" i="10"/>
  <c r="AE190" i="10"/>
  <c r="AE184" i="10"/>
  <c r="K171" i="10"/>
  <c r="Z197" i="10"/>
  <c r="J192" i="10"/>
  <c r="F187" i="10"/>
  <c r="R181" i="10"/>
  <c r="N176" i="10"/>
  <c r="U174" i="10"/>
  <c r="AD195" i="10"/>
  <c r="Z178" i="10"/>
  <c r="Q180" i="10"/>
  <c r="E196" i="10"/>
  <c r="Q190" i="10"/>
  <c r="M185" i="10"/>
  <c r="I180" i="10"/>
  <c r="I174" i="10"/>
  <c r="J295" i="10"/>
  <c r="AB296" i="10"/>
  <c r="R298" i="10"/>
  <c r="AB298" i="10"/>
  <c r="F288" i="10"/>
  <c r="R275" i="10"/>
  <c r="H271" i="10"/>
  <c r="AA251" i="10"/>
  <c r="H266" i="10"/>
  <c r="U272" i="10"/>
  <c r="D249" i="10"/>
  <c r="W232" i="10"/>
  <c r="S227" i="10"/>
  <c r="AE221" i="10"/>
  <c r="AA216" i="10"/>
  <c r="K211" i="10"/>
  <c r="AD236" i="10"/>
  <c r="N231" i="10"/>
  <c r="J226" i="10"/>
  <c r="F221" i="10"/>
  <c r="R215" i="10"/>
  <c r="N210" i="10"/>
  <c r="G211" i="10"/>
  <c r="I232" i="10"/>
  <c r="E227" i="10"/>
  <c r="E221" i="10"/>
  <c r="D236" i="10"/>
  <c r="P230" i="10"/>
  <c r="L225" i="10"/>
  <c r="X219" i="10"/>
  <c r="T214" i="10"/>
  <c r="AE220" i="10"/>
  <c r="W234" i="10"/>
  <c r="S229" i="10"/>
  <c r="AE223" i="10"/>
  <c r="G217" i="10"/>
  <c r="J234" i="10"/>
  <c r="F229" i="10"/>
  <c r="AD223" i="10"/>
  <c r="N218" i="10"/>
  <c r="J213" i="10"/>
  <c r="L223" i="10"/>
  <c r="I234" i="10"/>
  <c r="U228" i="10"/>
  <c r="Q223" i="10"/>
  <c r="AC217" i="10"/>
  <c r="Y212" i="10"/>
  <c r="AB219" i="10"/>
  <c r="AB232" i="10"/>
  <c r="X227" i="10"/>
  <c r="H222" i="10"/>
  <c r="D217" i="10"/>
  <c r="P211" i="10"/>
  <c r="D213" i="10"/>
  <c r="AE231" i="10"/>
  <c r="AA226" i="10"/>
  <c r="W221" i="10"/>
  <c r="G216" i="10"/>
  <c r="AE210" i="10"/>
  <c r="AB213" i="10"/>
  <c r="N232" i="10"/>
  <c r="Z226" i="10"/>
  <c r="V221" i="10"/>
  <c r="R216" i="10"/>
  <c r="AD210" i="10"/>
  <c r="X211" i="10"/>
  <c r="Q231" i="10"/>
  <c r="M226" i="10"/>
  <c r="Y220" i="10"/>
  <c r="U215" i="10"/>
  <c r="Q210" i="10"/>
  <c r="AD209" i="10"/>
  <c r="X209" i="10"/>
  <c r="AE209" i="10"/>
  <c r="G194" i="10"/>
  <c r="AE188" i="10"/>
  <c r="O183" i="10"/>
  <c r="K178" i="10"/>
  <c r="J196" i="10"/>
  <c r="V190" i="10"/>
  <c r="R185" i="10"/>
  <c r="AD179" i="10"/>
  <c r="Z174" i="10"/>
  <c r="Q197" i="10"/>
  <c r="M192" i="10"/>
  <c r="Y186" i="10"/>
  <c r="U181" i="10"/>
  <c r="E176" i="10"/>
  <c r="AA179" i="10"/>
  <c r="Y181" i="10"/>
  <c r="L195" i="10"/>
  <c r="X189" i="10"/>
  <c r="T184" i="10"/>
  <c r="D179" i="10"/>
  <c r="AB173" i="10"/>
  <c r="W180" i="10"/>
  <c r="AC183" i="10"/>
  <c r="W195" i="10"/>
  <c r="S190" i="10"/>
  <c r="G184" i="10"/>
  <c r="U197" i="10"/>
  <c r="N197" i="10"/>
  <c r="Z191" i="10"/>
  <c r="V186" i="10"/>
  <c r="F181" i="10"/>
  <c r="AD175" i="10"/>
  <c r="Y173" i="10"/>
  <c r="J194" i="10"/>
  <c r="R177" i="10"/>
  <c r="M178" i="10"/>
  <c r="U195" i="10"/>
  <c r="E190" i="10"/>
  <c r="AC184" i="10"/>
  <c r="Y179" i="10"/>
  <c r="AC172" i="10"/>
  <c r="F183" i="10"/>
  <c r="L175" i="10"/>
  <c r="AB193" i="10"/>
  <c r="X188" i="10"/>
  <c r="H183" i="10"/>
  <c r="D178" i="10"/>
  <c r="G171" i="10"/>
  <c r="F177" i="10"/>
  <c r="D171" i="10"/>
  <c r="AE192" i="10"/>
  <c r="AA187" i="10"/>
  <c r="F290" i="10"/>
  <c r="X291" i="10"/>
  <c r="N293" i="10"/>
  <c r="X293" i="10"/>
  <c r="D291" i="10"/>
  <c r="AD269" i="10"/>
  <c r="D266" i="10"/>
  <c r="E271" i="10"/>
  <c r="O274" i="10"/>
  <c r="Q270" i="10"/>
  <c r="F248" i="10"/>
  <c r="K232" i="10"/>
  <c r="G227" i="10"/>
  <c r="S221" i="10"/>
  <c r="O216" i="10"/>
  <c r="AA210" i="10"/>
  <c r="R236" i="10"/>
  <c r="AD230" i="10"/>
  <c r="Z225" i="10"/>
  <c r="V220" i="10"/>
  <c r="F215" i="10"/>
  <c r="M222" i="10"/>
  <c r="AC236" i="10"/>
  <c r="Y231" i="10"/>
  <c r="I226" i="10"/>
  <c r="I220" i="10"/>
  <c r="T235" i="10"/>
  <c r="D230" i="10"/>
  <c r="AB224" i="10"/>
  <c r="L219" i="10"/>
  <c r="H214" i="10"/>
  <c r="O218" i="10"/>
  <c r="K234" i="10"/>
  <c r="G229" i="10"/>
  <c r="S223" i="10"/>
  <c r="W216" i="10"/>
  <c r="Z233" i="10"/>
  <c r="V228" i="10"/>
  <c r="F223" i="10"/>
  <c r="AD217" i="10"/>
  <c r="Z212" i="10"/>
  <c r="L220" i="10"/>
  <c r="Y233" i="10"/>
  <c r="I228" i="10"/>
  <c r="E223" i="10"/>
  <c r="Q217" i="10"/>
  <c r="M212" i="10"/>
  <c r="X214" i="10"/>
  <c r="P232" i="10"/>
  <c r="L227" i="10"/>
  <c r="X221" i="10"/>
  <c r="T216" i="10"/>
  <c r="D211" i="10"/>
  <c r="P210" i="10"/>
  <c r="S231" i="10"/>
  <c r="O226" i="10"/>
  <c r="K221" i="10"/>
  <c r="W215" i="10"/>
  <c r="S210" i="10"/>
  <c r="AB210" i="10"/>
  <c r="AD231" i="10"/>
  <c r="N226" i="10"/>
  <c r="J221" i="10"/>
  <c r="F216" i="10"/>
  <c r="R210" i="10"/>
  <c r="U236" i="10"/>
  <c r="E231" i="10"/>
  <c r="AC225" i="10"/>
  <c r="M220" i="10"/>
  <c r="I215" i="10"/>
  <c r="X235" i="10"/>
  <c r="R209" i="10"/>
  <c r="L209" i="10"/>
  <c r="G209" i="10"/>
  <c r="W193" i="10"/>
  <c r="S188" i="10"/>
  <c r="AE182" i="10"/>
  <c r="AA177" i="10"/>
  <c r="Z195" i="10"/>
  <c r="J190" i="10"/>
  <c r="F185" i="10"/>
  <c r="R179" i="10"/>
  <c r="N174" i="10"/>
  <c r="E197" i="10"/>
  <c r="AC191" i="10"/>
  <c r="M186" i="10"/>
  <c r="I181" i="10"/>
  <c r="U175" i="10"/>
  <c r="G178" i="10"/>
  <c r="Y178" i="10"/>
  <c r="P194" i="10"/>
  <c r="L189" i="10"/>
  <c r="H184" i="10"/>
  <c r="T178" i="10"/>
  <c r="P173" i="10"/>
  <c r="O179" i="10"/>
  <c r="E180" i="10"/>
  <c r="K195" i="10"/>
  <c r="G190" i="10"/>
  <c r="W183" i="10"/>
  <c r="I194" i="10"/>
  <c r="R196" i="10"/>
  <c r="N191" i="10"/>
  <c r="J186" i="10"/>
  <c r="V180" i="10"/>
  <c r="R175" i="10"/>
  <c r="M173" i="10"/>
  <c r="AD192" i="10"/>
  <c r="R174" i="10"/>
  <c r="I176" i="10"/>
  <c r="I195" i="10"/>
  <c r="U189" i="10"/>
  <c r="Q184" i="10"/>
  <c r="AC178" i="10"/>
  <c r="E172" i="10"/>
  <c r="AD180" i="10"/>
  <c r="L172" i="10"/>
  <c r="P193" i="10"/>
  <c r="L188" i="10"/>
  <c r="X182" i="10"/>
  <c r="T177" i="10"/>
  <c r="N196" i="10"/>
  <c r="AD174" i="10"/>
  <c r="AE173" i="10"/>
  <c r="S192" i="10"/>
  <c r="O187" i="10"/>
  <c r="M295" i="10"/>
  <c r="M313" i="10"/>
  <c r="Y290" i="10"/>
  <c r="H288" i="10"/>
  <c r="AB309" i="10"/>
  <c r="Z264" i="10"/>
  <c r="P251" i="10"/>
  <c r="Q265" i="10"/>
  <c r="AA268" i="10"/>
  <c r="Q267" i="10"/>
  <c r="AC248" i="10"/>
  <c r="AA231" i="10"/>
  <c r="W226" i="10"/>
  <c r="G221" i="10"/>
  <c r="AE215" i="10"/>
  <c r="O210" i="10"/>
  <c r="F236" i="10"/>
  <c r="R230" i="10"/>
  <c r="N225" i="10"/>
  <c r="J220" i="10"/>
  <c r="V214" i="10"/>
  <c r="U220" i="10"/>
  <c r="Q236" i="10"/>
  <c r="M231" i="10"/>
  <c r="Y225" i="10"/>
  <c r="M219" i="10"/>
  <c r="H235" i="10"/>
  <c r="T229" i="10"/>
  <c r="P224" i="10"/>
  <c r="AB218" i="10"/>
  <c r="X213" i="10"/>
  <c r="S217" i="10"/>
  <c r="AA233" i="10"/>
  <c r="K228" i="10"/>
  <c r="G223" i="10"/>
  <c r="AA215" i="10"/>
  <c r="N233" i="10"/>
  <c r="J228" i="10"/>
  <c r="V222" i="10"/>
  <c r="R217" i="10"/>
  <c r="N212" i="10"/>
  <c r="X217" i="10"/>
  <c r="M233" i="10"/>
  <c r="Y227" i="10"/>
  <c r="U222" i="10"/>
  <c r="E217" i="10"/>
  <c r="AC211" i="10"/>
  <c r="H212" i="10"/>
  <c r="D232" i="10"/>
  <c r="AB226" i="10"/>
  <c r="L221" i="10"/>
  <c r="H216" i="10"/>
  <c r="T210" i="10"/>
  <c r="W236" i="10"/>
  <c r="G231" i="10"/>
  <c r="AE225" i="10"/>
  <c r="AA220" i="10"/>
  <c r="K215" i="10"/>
  <c r="G210" i="10"/>
  <c r="V236" i="10"/>
  <c r="R231" i="10"/>
  <c r="AD225" i="10"/>
  <c r="Z220" i="10"/>
  <c r="V215" i="10"/>
  <c r="F210" i="10"/>
  <c r="I236" i="10"/>
  <c r="U230" i="10"/>
  <c r="Q225" i="10"/>
  <c r="AC219" i="10"/>
  <c r="Y214" i="10"/>
  <c r="H233" i="10"/>
  <c r="F209" i="10"/>
  <c r="W209" i="10"/>
  <c r="P209" i="10"/>
  <c r="K193" i="10"/>
  <c r="G188" i="10"/>
  <c r="S182" i="10"/>
  <c r="O177" i="10"/>
  <c r="N195" i="10"/>
  <c r="Z189" i="10"/>
  <c r="V184" i="10"/>
  <c r="F179" i="10"/>
  <c r="AD173" i="10"/>
  <c r="U196" i="10"/>
  <c r="Q191" i="10"/>
  <c r="AC185" i="10"/>
  <c r="Y180" i="10"/>
  <c r="Y174" i="10"/>
  <c r="AA176" i="10"/>
  <c r="M175" i="10"/>
  <c r="D194" i="10"/>
  <c r="AB188" i="10"/>
  <c r="X183" i="10"/>
  <c r="H178" i="10"/>
  <c r="D173" i="10"/>
  <c r="S178" i="10"/>
  <c r="E177" i="10"/>
  <c r="AA194" i="10"/>
  <c r="K189" i="10"/>
  <c r="AA182" i="10"/>
  <c r="Y190" i="10"/>
  <c r="F196" i="10"/>
  <c r="AD190" i="10"/>
  <c r="AE311" i="10"/>
  <c r="M312" i="10"/>
  <c r="S313" i="10"/>
  <c r="AC288" i="10"/>
  <c r="L292" i="10"/>
  <c r="D300" i="10"/>
  <c r="V259" i="10"/>
  <c r="O272" i="10"/>
  <c r="M260" i="10"/>
  <c r="W263" i="10"/>
  <c r="M265" i="10"/>
  <c r="O248" i="10"/>
  <c r="O231" i="10"/>
  <c r="K226" i="10"/>
  <c r="W220" i="10"/>
  <c r="S215" i="10"/>
  <c r="Q218" i="10"/>
  <c r="V235" i="10"/>
  <c r="F230" i="10"/>
  <c r="AD224" i="10"/>
  <c r="Z219" i="10"/>
  <c r="J214" i="10"/>
  <c r="Y219" i="10"/>
  <c r="E236" i="10"/>
  <c r="AC230" i="10"/>
  <c r="M225" i="10"/>
  <c r="E218" i="10"/>
  <c r="X234" i="10"/>
  <c r="H229" i="10"/>
  <c r="D224" i="10"/>
  <c r="P218" i="10"/>
  <c r="L213" i="10"/>
  <c r="O215" i="10"/>
  <c r="O233" i="10"/>
  <c r="AA227" i="10"/>
  <c r="K222" i="10"/>
  <c r="AE214" i="10"/>
  <c r="AD232" i="10"/>
  <c r="Z227" i="10"/>
  <c r="J222" i="10"/>
  <c r="F217" i="10"/>
  <c r="AD211" i="10"/>
  <c r="H215" i="10"/>
  <c r="AC232" i="10"/>
  <c r="M227" i="10"/>
  <c r="I222" i="10"/>
  <c r="U216" i="10"/>
  <c r="Q211" i="10"/>
  <c r="X236" i="10"/>
  <c r="T231" i="10"/>
  <c r="P226" i="10"/>
  <c r="AB220" i="10"/>
  <c r="X215" i="10"/>
  <c r="H210" i="10"/>
  <c r="K236" i="10"/>
  <c r="W230" i="10"/>
  <c r="S225" i="10"/>
  <c r="AE219" i="10"/>
  <c r="AA214" i="10"/>
  <c r="AB234" i="10"/>
  <c r="J236" i="10"/>
  <c r="F231" i="10"/>
  <c r="R225" i="10"/>
  <c r="N220" i="10"/>
  <c r="Z214" i="10"/>
  <c r="L235" i="10"/>
  <c r="Y235" i="10"/>
  <c r="I230" i="10"/>
  <c r="E225" i="10"/>
  <c r="Q219" i="10"/>
  <c r="M214" i="10"/>
  <c r="T230" i="10"/>
  <c r="AC209" i="10"/>
  <c r="K209" i="10"/>
  <c r="Y177" i="10"/>
  <c r="AA192" i="10"/>
  <c r="W187" i="10"/>
  <c r="G182" i="10"/>
  <c r="AE176" i="10"/>
  <c r="AD194" i="10"/>
  <c r="N189" i="10"/>
  <c r="J184" i="10"/>
  <c r="V178" i="10"/>
  <c r="R173" i="10"/>
  <c r="I196" i="10"/>
  <c r="E191" i="10"/>
  <c r="Q185" i="10"/>
  <c r="M180" i="10"/>
  <c r="M174" i="10"/>
  <c r="S175" i="10"/>
  <c r="M172" i="10"/>
  <c r="T193" i="10"/>
  <c r="P188" i="10"/>
  <c r="L183" i="10"/>
  <c r="X177" i="10"/>
  <c r="T172" i="10"/>
  <c r="AE175" i="10"/>
  <c r="U173" i="10"/>
  <c r="O194" i="10"/>
  <c r="AA188" i="10"/>
  <c r="AE181" i="10"/>
  <c r="Q186" i="10"/>
  <c r="V195" i="10"/>
  <c r="R190" i="10"/>
  <c r="N185" i="10"/>
  <c r="Z179" i="10"/>
  <c r="V174" i="10"/>
  <c r="U171" i="10"/>
  <c r="N190" i="10"/>
  <c r="N172" i="10"/>
  <c r="Q171" i="10"/>
  <c r="M194" i="10"/>
  <c r="Y188" i="10"/>
  <c r="U183" i="10"/>
  <c r="E178" i="10"/>
  <c r="H171" i="10"/>
  <c r="Z175" i="10"/>
  <c r="X197" i="10"/>
  <c r="T192" i="10"/>
  <c r="P187" i="10"/>
  <c r="AB181" i="10"/>
  <c r="X176" i="10"/>
  <c r="R192" i="10"/>
  <c r="I197" i="10"/>
  <c r="K197" i="10"/>
  <c r="W191" i="10"/>
  <c r="S186" i="10"/>
  <c r="AA306" i="10"/>
  <c r="I307" i="10"/>
  <c r="O308" i="10"/>
  <c r="Y311" i="10"/>
  <c r="S309" i="10"/>
  <c r="P287" i="10"/>
  <c r="F254" i="10"/>
  <c r="AA266" i="10"/>
  <c r="Y254" i="10"/>
  <c r="G258" i="10"/>
  <c r="M262" i="10"/>
  <c r="M248" i="10"/>
  <c r="AE230" i="10"/>
  <c r="AA225" i="10"/>
  <c r="K220" i="10"/>
  <c r="G215" i="10"/>
  <c r="Y216" i="10"/>
  <c r="J235" i="10"/>
  <c r="V229" i="10"/>
  <c r="R224" i="10"/>
  <c r="AD218" i="10"/>
  <c r="Z213" i="10"/>
  <c r="AC218" i="10"/>
  <c r="U235" i="10"/>
  <c r="Q230" i="10"/>
  <c r="AC224" i="10"/>
  <c r="I217" i="10"/>
  <c r="L234" i="10"/>
  <c r="X228" i="10"/>
  <c r="T223" i="10"/>
  <c r="D218" i="10"/>
  <c r="AB212" i="10"/>
  <c r="S214" i="10"/>
  <c r="AE232" i="10"/>
  <c r="O227" i="10"/>
  <c r="AA221" i="10"/>
  <c r="G214" i="10"/>
  <c r="R232" i="10"/>
  <c r="N227" i="10"/>
  <c r="Z221" i="10"/>
  <c r="V216" i="10"/>
  <c r="R211" i="10"/>
  <c r="T212" i="10"/>
  <c r="Q232" i="10"/>
  <c r="AC226" i="10"/>
  <c r="Y221" i="10"/>
  <c r="I216" i="10"/>
  <c r="E211" i="10"/>
  <c r="L236" i="10"/>
  <c r="H231" i="10"/>
  <c r="D226" i="10"/>
  <c r="P220" i="10"/>
  <c r="L215" i="10"/>
  <c r="P234" i="10"/>
  <c r="AA235" i="10"/>
  <c r="K230" i="10"/>
  <c r="G225" i="10"/>
  <c r="S219" i="10"/>
  <c r="O214" i="10"/>
  <c r="T233" i="10"/>
  <c r="Z235" i="10"/>
  <c r="V230" i="10"/>
  <c r="F225" i="10"/>
  <c r="AD219" i="10"/>
  <c r="N214" i="10"/>
  <c r="L232" i="10"/>
  <c r="M235" i="10"/>
  <c r="Y229" i="10"/>
  <c r="U224" i="10"/>
  <c r="E219" i="10"/>
  <c r="AC213" i="10"/>
  <c r="D228" i="10"/>
  <c r="Q209" i="10"/>
  <c r="V209" i="10"/>
  <c r="S197" i="10"/>
  <c r="O192" i="10"/>
  <c r="K187" i="10"/>
  <c r="W181" i="10"/>
  <c r="S176" i="10"/>
  <c r="R194" i="10"/>
  <c r="AD188" i="10"/>
  <c r="Z183" i="10"/>
  <c r="J178" i="10"/>
  <c r="F173" i="10"/>
  <c r="Y195" i="10"/>
  <c r="U190" i="10"/>
  <c r="E185" i="10"/>
  <c r="AC179" i="10"/>
  <c r="AC173" i="10"/>
  <c r="K174" i="10"/>
  <c r="H176" i="10"/>
  <c r="H193" i="10"/>
  <c r="D188" i="10"/>
  <c r="AB182" i="10"/>
  <c r="L177" i="10"/>
  <c r="H172" i="10"/>
  <c r="W174" i="10"/>
  <c r="D177" i="10"/>
  <c r="AE193" i="10"/>
  <c r="O188" i="10"/>
  <c r="K180" i="10"/>
  <c r="E183" i="10"/>
  <c r="J195" i="10"/>
  <c r="F190" i="10"/>
  <c r="AD184" i="10"/>
  <c r="N179" i="10"/>
  <c r="J174" i="10"/>
  <c r="I171" i="10"/>
  <c r="N187" i="10"/>
  <c r="Y196" i="10"/>
  <c r="AB177" i="10"/>
  <c r="AC193" i="10"/>
  <c r="M188" i="10"/>
  <c r="I183" i="10"/>
  <c r="U177" i="10"/>
  <c r="AE171" i="10"/>
  <c r="F174" i="10"/>
  <c r="L197" i="10"/>
  <c r="H192" i="10"/>
  <c r="D187" i="10"/>
  <c r="P181" i="10"/>
  <c r="L176" i="10"/>
  <c r="Z190" i="10"/>
  <c r="Q192" i="10"/>
  <c r="AA196" i="10"/>
  <c r="K191" i="10"/>
  <c r="G186" i="10"/>
  <c r="K301" i="10"/>
  <c r="U301" i="10"/>
  <c r="AA302" i="10"/>
  <c r="I306" i="10"/>
  <c r="O304" i="10"/>
  <c r="U287" i="10"/>
  <c r="I262" i="10"/>
  <c r="W261" i="10"/>
  <c r="U249" i="10"/>
  <c r="AE252" i="10"/>
  <c r="Y259" i="10"/>
  <c r="X248" i="10"/>
  <c r="S230" i="10"/>
  <c r="O225" i="10"/>
  <c r="AA219" i="10"/>
  <c r="W214" i="10"/>
  <c r="Q215" i="10"/>
  <c r="Z234" i="10"/>
  <c r="J229" i="10"/>
  <c r="F224" i="10"/>
  <c r="R218" i="10"/>
  <c r="N213" i="10"/>
  <c r="U217" i="10"/>
  <c r="I235" i="10"/>
  <c r="E230" i="10"/>
  <c r="Q224" i="10"/>
  <c r="AC215" i="10"/>
  <c r="P233" i="10"/>
  <c r="L228" i="10"/>
  <c r="H223" i="10"/>
  <c r="T217" i="10"/>
  <c r="P212" i="10"/>
  <c r="W213" i="10"/>
  <c r="S232" i="10"/>
  <c r="AE226" i="10"/>
  <c r="O221" i="10"/>
  <c r="O212" i="10"/>
  <c r="F232" i="10"/>
  <c r="AD226" i="10"/>
  <c r="N221" i="10"/>
  <c r="J216" i="10"/>
  <c r="V210" i="10"/>
  <c r="D210" i="10"/>
  <c r="E232" i="10"/>
  <c r="Q226" i="10"/>
  <c r="M221" i="10"/>
  <c r="Y215" i="10"/>
  <c r="U210" i="10"/>
  <c r="AB235" i="10"/>
  <c r="X230" i="10"/>
  <c r="H225" i="10"/>
  <c r="D220" i="10"/>
  <c r="AB214" i="10"/>
  <c r="AB231" i="10"/>
  <c r="O235" i="10"/>
  <c r="AA229" i="10"/>
  <c r="W224" i="10"/>
  <c r="G219" i="10"/>
  <c r="AE213" i="10"/>
  <c r="D231" i="10"/>
  <c r="N235" i="10"/>
  <c r="J230" i="10"/>
  <c r="V224" i="10"/>
  <c r="R219" i="10"/>
  <c r="AD213" i="10"/>
  <c r="H230" i="10"/>
  <c r="Q234" i="10"/>
  <c r="M229" i="10"/>
  <c r="I224" i="10"/>
  <c r="U218" i="10"/>
  <c r="Q213" i="10"/>
  <c r="L226" i="10"/>
  <c r="E209" i="10"/>
  <c r="J209" i="10"/>
  <c r="G197" i="10"/>
  <c r="AE191" i="10"/>
  <c r="AA186" i="10"/>
  <c r="K181" i="10"/>
  <c r="G176" i="10"/>
  <c r="F194" i="10"/>
  <c r="R188" i="10"/>
  <c r="N183" i="10"/>
  <c r="Z177" i="10"/>
  <c r="V172" i="10"/>
  <c r="M195" i="10"/>
  <c r="I190" i="10"/>
  <c r="U184" i="10"/>
  <c r="Q179" i="10"/>
  <c r="Q173" i="10"/>
  <c r="AE172" i="10"/>
  <c r="H173" i="10"/>
  <c r="X192" i="10"/>
  <c r="T187" i="10"/>
  <c r="D182" i="10"/>
  <c r="AB176" i="10"/>
  <c r="X171" i="10"/>
  <c r="O173" i="10"/>
  <c r="P171" i="10"/>
  <c r="S193" i="10"/>
  <c r="AE187" i="10"/>
  <c r="AE178" i="10"/>
  <c r="I179" i="10"/>
  <c r="Z194" i="10"/>
  <c r="V189" i="10"/>
  <c r="F184" i="10"/>
  <c r="AD178" i="10"/>
  <c r="Z173" i="10"/>
  <c r="L173" i="10"/>
  <c r="F186" i="10"/>
  <c r="U194" i="10"/>
  <c r="P174" i="10"/>
  <c r="Q193" i="10"/>
  <c r="AC187" i="10"/>
  <c r="Y182" i="10"/>
  <c r="I177" i="10"/>
  <c r="Z196" i="10"/>
  <c r="Y193" i="10"/>
  <c r="AB196" i="10"/>
  <c r="X191" i="10"/>
  <c r="H186" i="10"/>
  <c r="D181" i="10"/>
  <c r="AB175" i="10"/>
  <c r="F189" i="10"/>
  <c r="U188" i="10"/>
  <c r="O196" i="10"/>
  <c r="AA190" i="10"/>
  <c r="W185" i="10"/>
  <c r="G296" i="10"/>
  <c r="Q296" i="10"/>
  <c r="W297" i="10"/>
  <c r="E301" i="10"/>
  <c r="K299" i="10"/>
  <c r="AE272" i="10"/>
  <c r="H262" i="10"/>
  <c r="F274" i="10"/>
  <c r="AB252" i="10"/>
  <c r="R255" i="10"/>
  <c r="Y256" i="10"/>
  <c r="U248" i="10"/>
  <c r="G230" i="10"/>
  <c r="AE224" i="10"/>
  <c r="O219" i="10"/>
  <c r="K214" i="10"/>
  <c r="U214" i="10"/>
  <c r="N234" i="10"/>
  <c r="Z228" i="10"/>
  <c r="V223" i="10"/>
  <c r="F218" i="10"/>
  <c r="AD212" i="10"/>
  <c r="M216" i="10"/>
  <c r="Y234" i="10"/>
  <c r="U229" i="10"/>
  <c r="E224" i="10"/>
  <c r="AC212" i="10"/>
  <c r="D233" i="10"/>
  <c r="AB227" i="10"/>
  <c r="X222" i="10"/>
  <c r="H217" i="10"/>
  <c r="D212" i="10"/>
  <c r="S211" i="10"/>
  <c r="G232" i="10"/>
  <c r="S226" i="10"/>
  <c r="S220" i="10"/>
  <c r="K210" i="10"/>
  <c r="V231" i="10"/>
  <c r="R226" i="10"/>
  <c r="AD220" i="10"/>
  <c r="Z215" i="10"/>
  <c r="J210" i="10"/>
  <c r="Y236" i="10"/>
  <c r="U231" i="10"/>
  <c r="E226" i="10"/>
  <c r="AC220" i="10"/>
  <c r="M215" i="10"/>
  <c r="I210" i="10"/>
  <c r="P235" i="10"/>
  <c r="L230" i="10"/>
  <c r="X224" i="10"/>
  <c r="T219" i="10"/>
  <c r="P214" i="10"/>
  <c r="AB228" i="10"/>
  <c r="AE234" i="10"/>
  <c r="O229" i="10"/>
  <c r="K224" i="10"/>
  <c r="W218" i="10"/>
  <c r="S213" i="10"/>
  <c r="P228" i="10"/>
  <c r="AD234" i="10"/>
  <c r="Z229" i="10"/>
  <c r="J224" i="10"/>
  <c r="F219" i="10"/>
  <c r="R213" i="10"/>
  <c r="H227" i="10"/>
  <c r="E234" i="10"/>
  <c r="AC228" i="10"/>
  <c r="Y223" i="10"/>
  <c r="I218" i="10"/>
  <c r="E213" i="10"/>
  <c r="AB222" i="10"/>
  <c r="AA209" i="10"/>
  <c r="U209" i="10"/>
  <c r="W196" i="10"/>
  <c r="S191" i="10"/>
  <c r="O186" i="10"/>
  <c r="AA180" i="10"/>
  <c r="AA174" i="10"/>
  <c r="V193" i="10"/>
  <c r="F188" i="10"/>
  <c r="AD182" i="10"/>
  <c r="N177" i="10"/>
  <c r="J172" i="10"/>
  <c r="AC194" i="10"/>
  <c r="Y189" i="10"/>
  <c r="I184" i="10"/>
  <c r="E179" i="10"/>
  <c r="E173" i="10"/>
  <c r="W171" i="10"/>
  <c r="AB197" i="10"/>
  <c r="L192" i="10"/>
  <c r="H187" i="10"/>
  <c r="T181" i="10"/>
  <c r="P176" i="10"/>
  <c r="L171" i="10"/>
  <c r="G172" i="10"/>
  <c r="AA171" i="10"/>
  <c r="G193" i="10"/>
  <c r="S187" i="10"/>
  <c r="W177" i="10"/>
  <c r="Y175" i="10"/>
  <c r="N194" i="10"/>
  <c r="J189" i="10"/>
  <c r="V183" i="10"/>
  <c r="R178" i="10"/>
  <c r="N173" i="10"/>
  <c r="P172" i="10"/>
  <c r="Z184" i="10"/>
  <c r="U191" i="10"/>
  <c r="K175" i="10"/>
  <c r="E193" i="10"/>
  <c r="Q187" i="10"/>
  <c r="M182" i="10"/>
  <c r="Y176" i="10"/>
  <c r="F195" i="10"/>
  <c r="I191" i="10"/>
  <c r="P196" i="10"/>
  <c r="L191" i="10"/>
  <c r="X185" i="10"/>
  <c r="T180" i="10"/>
  <c r="P175" i="10"/>
  <c r="Z187" i="10"/>
  <c r="U185" i="10"/>
  <c r="AE195" i="10"/>
  <c r="O190" i="10"/>
  <c r="K185" i="10"/>
  <c r="AE290" i="10"/>
  <c r="AC290" i="10"/>
  <c r="G292" i="10"/>
  <c r="Q295" i="10"/>
  <c r="V314" i="10"/>
  <c r="AA267" i="10"/>
  <c r="U274" i="10"/>
  <c r="AD268" i="10"/>
  <c r="L272" i="10"/>
  <c r="AB249" i="10"/>
  <c r="U254" i="10"/>
  <c r="G248" i="10"/>
  <c r="W229" i="10"/>
  <c r="G224" i="10"/>
  <c r="AE218" i="10"/>
  <c r="AA213" i="10"/>
  <c r="M213" i="10"/>
  <c r="AD233" i="10"/>
  <c r="N228" i="10"/>
  <c r="J223" i="10"/>
  <c r="V217" i="10"/>
  <c r="R212" i="10"/>
  <c r="E215" i="10"/>
  <c r="M234" i="10"/>
  <c r="I229" i="10"/>
  <c r="U223" i="10"/>
  <c r="U211" i="10"/>
  <c r="T232" i="10"/>
  <c r="P227" i="10"/>
  <c r="L222" i="10"/>
  <c r="X216" i="10"/>
  <c r="T211" i="10"/>
  <c r="AA236" i="10"/>
  <c r="W231" i="10"/>
  <c r="G226" i="10"/>
  <c r="G220" i="10"/>
  <c r="Z236" i="10"/>
  <c r="J231" i="10"/>
  <c r="F226" i="10"/>
  <c r="R220" i="10"/>
  <c r="N215" i="10"/>
  <c r="T236" i="10"/>
  <c r="M236" i="10"/>
  <c r="I231" i="10"/>
  <c r="U225" i="10"/>
  <c r="Q220" i="10"/>
  <c r="AC214" i="10"/>
  <c r="H236" i="10"/>
  <c r="D235" i="10"/>
  <c r="AB229" i="10"/>
  <c r="L224" i="10"/>
  <c r="H219" i="10"/>
  <c r="D214" i="10"/>
  <c r="X226" i="10"/>
  <c r="S234" i="10"/>
  <c r="AE228" i="10"/>
  <c r="AA223" i="10"/>
  <c r="K218" i="10"/>
  <c r="G213" i="10"/>
  <c r="P225" i="10"/>
  <c r="R234" i="10"/>
  <c r="N229" i="10"/>
  <c r="Z223" i="10"/>
  <c r="V218" i="10"/>
  <c r="F213" i="10"/>
  <c r="T224" i="10"/>
  <c r="U233" i="10"/>
  <c r="Q228" i="10"/>
  <c r="M223" i="10"/>
  <c r="Y217" i="10"/>
  <c r="U212" i="10"/>
  <c r="X220" i="10"/>
  <c r="O209" i="10"/>
  <c r="I209" i="10"/>
  <c r="K196" i="10"/>
  <c r="G191" i="10"/>
  <c r="AE185" i="10"/>
  <c r="O180" i="10"/>
  <c r="O171" i="10"/>
  <c r="J193" i="10"/>
  <c r="V187" i="10"/>
  <c r="R182" i="10"/>
  <c r="AD176" i="10"/>
  <c r="Z171" i="10"/>
  <c r="Q194" i="10"/>
  <c r="M189" i="10"/>
  <c r="Y183" i="10"/>
  <c r="U178" i="10"/>
  <c r="U172" i="10"/>
  <c r="R171" i="10"/>
  <c r="P197" i="10"/>
  <c r="AB191" i="10"/>
  <c r="X186" i="10"/>
  <c r="H181" i="10"/>
  <c r="D176" i="10"/>
  <c r="AA185" i="10"/>
  <c r="AD171" i="10"/>
  <c r="AA197" i="10"/>
  <c r="W192" i="10"/>
  <c r="G187" i="10"/>
  <c r="O176" i="10"/>
  <c r="Y172" i="10"/>
  <c r="AD193" i="10"/>
  <c r="Z188" i="10"/>
  <c r="J183" i="10"/>
  <c r="F178" i="10"/>
  <c r="AD172" i="10"/>
  <c r="T171" i="10"/>
  <c r="R183" i="10"/>
  <c r="E189" i="10"/>
  <c r="Y197" i="10"/>
  <c r="U192" i="10"/>
  <c r="E187" i="10"/>
  <c r="AC181" i="10"/>
  <c r="M176" i="10"/>
  <c r="N193" i="10"/>
  <c r="I188" i="10"/>
  <c r="D196" i="10"/>
  <c r="AB190" i="10"/>
  <c r="L185" i="10"/>
  <c r="H180" i="10"/>
  <c r="D175" i="10"/>
  <c r="V185" i="10"/>
  <c r="I182" i="10"/>
  <c r="S195" i="10"/>
  <c r="AE189" i="10"/>
  <c r="AA184" i="10"/>
  <c r="K262" i="10"/>
  <c r="R233" i="10"/>
  <c r="AB221" i="10"/>
  <c r="D234" i="10"/>
  <c r="H224" i="10"/>
  <c r="D222" i="10"/>
  <c r="AE179" i="10"/>
  <c r="M196" i="10"/>
  <c r="T176" i="10"/>
  <c r="V182" i="10"/>
  <c r="AC175" i="10"/>
  <c r="H189" i="10"/>
  <c r="J179" i="10"/>
  <c r="K188" i="10"/>
  <c r="W179" i="10"/>
  <c r="S174" i="10"/>
  <c r="J182" i="10"/>
  <c r="AC180" i="10"/>
  <c r="P195" i="10"/>
  <c r="AB189" i="10"/>
  <c r="X184" i="10"/>
  <c r="T179" i="10"/>
  <c r="AB170" i="10"/>
  <c r="V170" i="10"/>
  <c r="T182" i="10"/>
  <c r="U170" i="10"/>
  <c r="K192" i="10"/>
  <c r="I178" i="10"/>
  <c r="O175" i="10"/>
  <c r="Q269" i="10"/>
  <c r="AD227" i="10"/>
  <c r="L216" i="10"/>
  <c r="AC235" i="10"/>
  <c r="G234" i="10"/>
  <c r="I233" i="10"/>
  <c r="AD197" i="10"/>
  <c r="D197" i="10"/>
  <c r="R193" i="10"/>
  <c r="V173" i="10"/>
  <c r="AB172" i="10"/>
  <c r="AB187" i="10"/>
  <c r="Z172" i="10"/>
  <c r="AE186" i="10"/>
  <c r="K179" i="10"/>
  <c r="G174" i="10"/>
  <c r="F180" i="10"/>
  <c r="AC177" i="10"/>
  <c r="D195" i="10"/>
  <c r="P189" i="10"/>
  <c r="L184" i="10"/>
  <c r="H179" i="10"/>
  <c r="P170" i="10"/>
  <c r="I170" i="10"/>
  <c r="W172" i="10"/>
  <c r="X181" i="10"/>
  <c r="G192" i="10"/>
  <c r="D186" i="10"/>
  <c r="W173" i="10"/>
  <c r="Y187" i="10"/>
  <c r="Z263" i="10"/>
  <c r="Z222" i="10"/>
  <c r="H211" i="10"/>
  <c r="M230" i="10"/>
  <c r="S228" i="10"/>
  <c r="E228" i="10"/>
  <c r="N192" i="10"/>
  <c r="P191" i="10"/>
  <c r="N188" i="10"/>
  <c r="AC186" i="10"/>
  <c r="J191" i="10"/>
  <c r="AB184" i="10"/>
  <c r="U179" i="10"/>
  <c r="O184" i="10"/>
  <c r="AA178" i="10"/>
  <c r="AA172" i="10"/>
  <c r="N178" i="10"/>
  <c r="AC174" i="10"/>
  <c r="T194" i="10"/>
  <c r="D189" i="10"/>
  <c r="AB183" i="10"/>
  <c r="X178" i="10"/>
  <c r="AA170" i="10"/>
  <c r="G170" i="10"/>
  <c r="X175" i="10"/>
  <c r="W170" i="10"/>
  <c r="M170" i="10"/>
  <c r="J170" i="10"/>
  <c r="T170" i="10"/>
  <c r="L194" i="10"/>
  <c r="H232" i="10"/>
  <c r="D193" i="10"/>
  <c r="P180" i="10"/>
  <c r="H267" i="10"/>
  <c r="J217" i="10"/>
  <c r="O236" i="10"/>
  <c r="I225" i="10"/>
  <c r="O223" i="10"/>
  <c r="AC222" i="10"/>
  <c r="J187" i="10"/>
  <c r="L186" i="10"/>
  <c r="Z185" i="10"/>
  <c r="Q174" i="10"/>
  <c r="J185" i="10"/>
  <c r="T183" i="10"/>
  <c r="U176" i="10"/>
  <c r="AE183" i="10"/>
  <c r="O178" i="10"/>
  <c r="S171" i="10"/>
  <c r="V176" i="10"/>
  <c r="AC171" i="10"/>
  <c r="H194" i="10"/>
  <c r="T188" i="10"/>
  <c r="P183" i="10"/>
  <c r="O170" i="10"/>
  <c r="T173" i="10"/>
  <c r="X187" i="10"/>
  <c r="F170" i="10"/>
  <c r="E184" i="10"/>
  <c r="AE170" i="10"/>
  <c r="AC289" i="10"/>
  <c r="Q181" i="10"/>
  <c r="H191" i="10"/>
  <c r="J272" i="10"/>
  <c r="F212" i="10"/>
  <c r="K231" i="10"/>
  <c r="E220" i="10"/>
  <c r="AA217" i="10"/>
  <c r="M217" i="10"/>
  <c r="F182" i="10"/>
  <c r="X180" i="10"/>
  <c r="Z182" i="10"/>
  <c r="M197" i="10"/>
  <c r="AD177" i="10"/>
  <c r="L182" i="10"/>
  <c r="AB174" i="10"/>
  <c r="S183" i="10"/>
  <c r="AE177" i="10"/>
  <c r="J197" i="10"/>
  <c r="N175" i="10"/>
  <c r="P177" i="10"/>
  <c r="X193" i="10"/>
  <c r="H188" i="10"/>
  <c r="D183" i="10"/>
  <c r="K170" i="10"/>
  <c r="S170" i="10"/>
  <c r="Y170" i="10"/>
  <c r="AE180" i="10"/>
  <c r="AC170" i="10"/>
  <c r="W186" i="10"/>
  <c r="L196" i="10"/>
  <c r="U251" i="10"/>
  <c r="Y213" i="10"/>
  <c r="W225" i="10"/>
  <c r="Q214" i="10"/>
  <c r="W212" i="10"/>
  <c r="I212" i="10"/>
  <c r="R176" i="10"/>
  <c r="T175" i="10"/>
  <c r="J180" i="10"/>
  <c r="Y194" i="10"/>
  <c r="Y184" i="10"/>
  <c r="X179" i="10"/>
  <c r="W197" i="10"/>
  <c r="G183" i="10"/>
  <c r="S177" i="10"/>
  <c r="R195" i="10"/>
  <c r="J173" i="10"/>
  <c r="X172" i="10"/>
  <c r="L193" i="10"/>
  <c r="H170" i="10"/>
  <c r="M183" i="10"/>
  <c r="F220" i="10"/>
  <c r="X170" i="10"/>
  <c r="S236" i="10"/>
  <c r="AC233" i="10"/>
  <c r="W219" i="10"/>
  <c r="X232" i="10"/>
  <c r="X223" i="10"/>
  <c r="H218" i="10"/>
  <c r="N171" i="10"/>
  <c r="S184" i="10"/>
  <c r="V177" i="10"/>
  <c r="I192" i="10"/>
  <c r="I173" i="10"/>
  <c r="P178" i="10"/>
  <c r="G195" i="10"/>
  <c r="W182" i="10"/>
  <c r="G177" i="10"/>
  <c r="Z193" i="10"/>
  <c r="F171" i="10"/>
  <c r="O174" i="10"/>
  <c r="AB192" i="10"/>
  <c r="L187" i="10"/>
  <c r="H182" i="10"/>
  <c r="AD170" i="10"/>
  <c r="Z170" i="10"/>
  <c r="R170" i="10"/>
  <c r="K173" i="10"/>
  <c r="AB180" i="10"/>
  <c r="R186" i="10"/>
  <c r="M292" i="10"/>
  <c r="K229" i="10"/>
  <c r="Y228" i="10"/>
  <c r="N236" i="10"/>
  <c r="T234" i="10"/>
  <c r="F234" i="10"/>
  <c r="Z209" i="10"/>
  <c r="E194" i="10"/>
  <c r="E195" i="10"/>
  <c r="F175" i="10"/>
  <c r="I189" i="10"/>
  <c r="S173" i="10"/>
  <c r="H177" i="10"/>
  <c r="W194" i="10"/>
  <c r="K182" i="10"/>
  <c r="W176" i="10"/>
  <c r="F192" i="10"/>
  <c r="Q195" i="10"/>
  <c r="T197" i="10"/>
  <c r="P192" i="10"/>
  <c r="AB186" i="10"/>
  <c r="N170" i="10"/>
  <c r="J188" i="10"/>
  <c r="X196" i="10"/>
  <c r="J218" i="10"/>
  <c r="S180" i="10"/>
  <c r="M301" i="10"/>
  <c r="W223" i="10"/>
  <c r="I223" i="10"/>
  <c r="Z230" i="10"/>
  <c r="P229" i="10"/>
  <c r="AD228" i="10"/>
  <c r="S209" i="10"/>
  <c r="AC188" i="10"/>
  <c r="O197" i="10"/>
  <c r="R172" i="10"/>
  <c r="U186" i="10"/>
  <c r="T195" i="10"/>
  <c r="T174" i="10"/>
  <c r="O193" i="10"/>
  <c r="AA181" i="10"/>
  <c r="K176" i="10"/>
  <c r="AD189" i="10"/>
  <c r="M193" i="10"/>
  <c r="H197" i="10"/>
  <c r="D192" i="10"/>
  <c r="P186" i="10"/>
  <c r="L181" i="10"/>
  <c r="AA175" i="10"/>
  <c r="T191" i="10"/>
  <c r="X218" i="10"/>
  <c r="S189" i="10"/>
  <c r="AE291" i="10"/>
  <c r="S218" i="10"/>
  <c r="Y210" i="10"/>
  <c r="V225" i="10"/>
  <c r="AB223" i="10"/>
  <c r="N223" i="10"/>
  <c r="AA195" i="10"/>
  <c r="Q172" i="10"/>
  <c r="M190" i="10"/>
  <c r="O213" i="10"/>
  <c r="W190" i="10"/>
  <c r="V194" i="10"/>
  <c r="Q170" i="10"/>
  <c r="R309" i="10"/>
  <c r="E212" i="10"/>
  <c r="D227" i="10"/>
  <c r="AD214" i="10"/>
  <c r="T213" i="10"/>
  <c r="V212" i="10"/>
  <c r="G185" i="10"/>
  <c r="I172" i="10"/>
  <c r="G175" i="10"/>
  <c r="V191" i="10"/>
  <c r="Q178" i="10"/>
  <c r="P190" i="10"/>
  <c r="AD183" i="10"/>
  <c r="G189" i="10"/>
  <c r="G180" i="10"/>
  <c r="AE174" i="10"/>
  <c r="N184" i="10"/>
  <c r="M184" i="10"/>
  <c r="AB195" i="10"/>
  <c r="L190" i="10"/>
  <c r="H185" i="10"/>
  <c r="D180" i="10"/>
  <c r="E170" i="10"/>
  <c r="L170" i="10"/>
  <c r="T185" i="10"/>
  <c r="C121" i="1" l="1"/>
  <c r="C122" i="1"/>
  <c r="C123" i="1"/>
  <c r="C124" i="1"/>
  <c r="C125" i="1"/>
  <c r="B125" i="1"/>
  <c r="B124" i="1"/>
  <c r="B123" i="1"/>
  <c r="B122" i="1"/>
  <c r="B121" i="1"/>
  <c r="C128" i="1"/>
  <c r="C129" i="1"/>
  <c r="C130" i="1"/>
  <c r="C131" i="1"/>
  <c r="C132" i="1"/>
  <c r="C133" i="1"/>
  <c r="C134" i="1"/>
  <c r="C135" i="1"/>
  <c r="B135" i="1"/>
  <c r="B134" i="1"/>
  <c r="B133" i="1"/>
  <c r="B132" i="1"/>
  <c r="B131" i="1"/>
  <c r="B130" i="1"/>
  <c r="B129" i="1"/>
  <c r="B128" i="1"/>
  <c r="C138" i="1"/>
  <c r="C139" i="1"/>
  <c r="C140" i="1"/>
  <c r="C141" i="1"/>
  <c r="C142" i="1"/>
  <c r="C143" i="1"/>
  <c r="C144" i="1"/>
  <c r="B144" i="1"/>
  <c r="B143" i="1"/>
  <c r="B142" i="1"/>
  <c r="B141" i="1"/>
  <c r="B140" i="1"/>
  <c r="B139" i="1"/>
  <c r="B138" i="1"/>
  <c r="C147" i="1"/>
  <c r="C148" i="1"/>
  <c r="C149" i="1"/>
  <c r="C150" i="1"/>
  <c r="C151" i="1"/>
  <c r="C152" i="1"/>
  <c r="B152" i="1"/>
  <c r="B151" i="1"/>
  <c r="B150" i="1"/>
  <c r="B149" i="1"/>
  <c r="B148" i="1"/>
  <c r="B147" i="1"/>
  <c r="C155" i="1"/>
  <c r="C156" i="1"/>
  <c r="C157" i="1"/>
  <c r="C158" i="1"/>
  <c r="C159" i="1"/>
  <c r="C160" i="1"/>
  <c r="C161" i="1"/>
  <c r="C162" i="1"/>
  <c r="C163" i="1"/>
  <c r="C164" i="1"/>
  <c r="C165" i="1"/>
  <c r="B165" i="1"/>
  <c r="B164" i="1"/>
  <c r="B163" i="1"/>
  <c r="B162" i="1"/>
  <c r="B161" i="1"/>
  <c r="B160" i="1"/>
  <c r="B159" i="1"/>
  <c r="B158" i="1"/>
  <c r="B157" i="1"/>
  <c r="B156" i="1"/>
  <c r="B155" i="1"/>
  <c r="C168" i="1"/>
  <c r="C169" i="1"/>
  <c r="C170" i="1"/>
  <c r="C171" i="1"/>
  <c r="C172" i="1"/>
  <c r="B172" i="1"/>
  <c r="B171" i="1"/>
  <c r="B170" i="1"/>
  <c r="B169" i="1"/>
  <c r="B168" i="1"/>
  <c r="B175" i="1"/>
  <c r="C175" i="1"/>
  <c r="B176" i="1"/>
  <c r="C176" i="1"/>
  <c r="B177" i="1"/>
  <c r="C177" i="1"/>
  <c r="B178" i="1"/>
  <c r="C178" i="1"/>
  <c r="B179" i="1"/>
  <c r="C179" i="1"/>
  <c r="B180" i="1"/>
  <c r="C180" i="1"/>
  <c r="B181" i="1"/>
  <c r="C181" i="1"/>
  <c r="B182" i="1"/>
  <c r="C182" i="1"/>
  <c r="B183" i="1"/>
  <c r="C183" i="1"/>
  <c r="B184" i="1"/>
  <c r="C184" i="1"/>
  <c r="B185" i="1"/>
  <c r="C185" i="1"/>
  <c r="B186" i="1"/>
  <c r="C186" i="1"/>
  <c r="B187" i="1"/>
  <c r="C187" i="1"/>
  <c r="B188" i="1"/>
  <c r="C188" i="1"/>
  <c r="B189" i="1"/>
  <c r="C189" i="1"/>
  <c r="B190" i="1"/>
  <c r="C190" i="1"/>
  <c r="B191" i="1"/>
  <c r="C191" i="1"/>
  <c r="B192" i="1"/>
  <c r="C192" i="1"/>
  <c r="B193" i="1"/>
  <c r="C193" i="1"/>
  <c r="B194" i="1"/>
  <c r="C194" i="1"/>
  <c r="B195" i="1"/>
  <c r="C195" i="1"/>
  <c r="B196" i="1"/>
  <c r="C196" i="1"/>
  <c r="B197" i="1"/>
  <c r="C197" i="1"/>
  <c r="B198" i="1"/>
  <c r="C198" i="1"/>
  <c r="F150" i="7"/>
  <c r="F149" i="7"/>
  <c r="F65" i="10"/>
  <c r="F154" i="7"/>
  <c r="F147" i="7"/>
  <c r="F148" i="7"/>
  <c r="D172" i="9"/>
  <c r="L96" i="8"/>
  <c r="N96" i="8"/>
  <c r="F152" i="7"/>
  <c r="C4" i="1"/>
  <c r="F151" i="7"/>
  <c r="F153" i="7"/>
  <c r="B68" i="12" l="1"/>
  <c r="B59" i="12"/>
  <c r="B45" i="12"/>
  <c r="B35" i="12"/>
  <c r="B25" i="12"/>
  <c r="B14" i="12"/>
  <c r="B6" i="12"/>
  <c r="G135" i="7"/>
  <c r="L88" i="9"/>
  <c r="G129" i="7"/>
  <c r="O93" i="9"/>
  <c r="G98" i="9"/>
  <c r="E79" i="5"/>
  <c r="E95" i="9"/>
  <c r="P88" i="9"/>
  <c r="C152" i="8"/>
  <c r="K157" i="5"/>
  <c r="K60" i="4"/>
  <c r="E108" i="8"/>
  <c r="G147" i="7"/>
  <c r="H180" i="7"/>
  <c r="E331" i="13"/>
  <c r="C103" i="8"/>
  <c r="N186" i="9"/>
  <c r="F59" i="9"/>
  <c r="F49" i="10"/>
  <c r="E434" i="13"/>
  <c r="G130" i="7"/>
  <c r="F41" i="10"/>
  <c r="L113" i="9"/>
  <c r="G151" i="7"/>
  <c r="F84" i="9"/>
  <c r="F100" i="7"/>
  <c r="P98" i="8"/>
  <c r="H92" i="12"/>
  <c r="E235" i="8"/>
  <c r="K154" i="5"/>
  <c r="F57" i="9"/>
  <c r="F161" i="13"/>
  <c r="E452" i="13"/>
  <c r="N122" i="8"/>
  <c r="G55" i="9"/>
  <c r="E119" i="13"/>
  <c r="N52" i="10"/>
  <c r="F131" i="7"/>
  <c r="E18" i="13"/>
  <c r="D57" i="5"/>
  <c r="D121" i="8"/>
  <c r="E96" i="5"/>
  <c r="N127" i="8"/>
  <c r="O147" i="8"/>
  <c r="O127" i="9"/>
  <c r="F173" i="7"/>
  <c r="P142" i="9"/>
  <c r="M146" i="8"/>
  <c r="F141" i="7"/>
  <c r="F166" i="7"/>
  <c r="P149" i="8"/>
  <c r="F155" i="10"/>
  <c r="F38" i="13"/>
  <c r="F120" i="7"/>
  <c r="C155" i="8"/>
  <c r="G141" i="7"/>
  <c r="D97" i="8"/>
  <c r="G148" i="7"/>
  <c r="D37" i="5"/>
  <c r="G120" i="7"/>
  <c r="P157" i="9"/>
  <c r="O70" i="8"/>
  <c r="K62" i="4"/>
  <c r="E98" i="13"/>
  <c r="F65" i="9"/>
  <c r="M159" i="5"/>
  <c r="H57" i="9"/>
  <c r="E23" i="10"/>
  <c r="E335" i="13"/>
  <c r="H135" i="7"/>
  <c r="M219" i="8"/>
  <c r="M49" i="8"/>
  <c r="H87" i="10"/>
  <c r="P200" i="9"/>
  <c r="E100" i="5"/>
  <c r="P147" i="8"/>
  <c r="F220" i="13"/>
  <c r="K21" i="4"/>
  <c r="F186" i="9"/>
  <c r="F58" i="13"/>
  <c r="M122" i="8"/>
  <c r="C121" i="8"/>
  <c r="F125" i="7"/>
  <c r="H136" i="10"/>
  <c r="D155" i="10"/>
  <c r="N130" i="8"/>
  <c r="P84" i="9"/>
  <c r="C120" i="8"/>
  <c r="O87" i="9"/>
  <c r="F47" i="10"/>
  <c r="O136" i="10"/>
  <c r="P128" i="8"/>
  <c r="E157" i="4"/>
  <c r="I117" i="1"/>
  <c r="E152" i="8"/>
  <c r="E22" i="13"/>
  <c r="F135" i="7"/>
  <c r="E22" i="10"/>
  <c r="H152" i="7"/>
  <c r="L159" i="4"/>
  <c r="D127" i="9"/>
  <c r="G127" i="7"/>
  <c r="H56" i="9"/>
  <c r="O96" i="8"/>
  <c r="D141" i="4" a="1"/>
  <c r="K142" i="4" a="1"/>
  <c r="G56" i="9"/>
  <c r="P155" i="10"/>
  <c r="L54" i="9"/>
  <c r="F60" i="10"/>
  <c r="D39" i="5"/>
  <c r="H121" i="7"/>
  <c r="D95" i="9"/>
  <c r="P96" i="8"/>
  <c r="M172" i="9"/>
  <c r="P58" i="8"/>
  <c r="D92" i="9"/>
  <c r="F128" i="7"/>
  <c r="E398" i="13"/>
  <c r="O157" i="9"/>
  <c r="E86" i="9"/>
  <c r="D58" i="5"/>
  <c r="G153" i="7"/>
  <c r="E159" i="4"/>
  <c r="F103" i="7"/>
  <c r="F172" i="9"/>
  <c r="C150" i="8"/>
  <c r="P99" i="8"/>
  <c r="D138" i="4" a="1"/>
  <c r="O120" i="8"/>
  <c r="E21" i="13"/>
  <c r="G92" i="9"/>
  <c r="H176" i="7"/>
  <c r="E243" i="13"/>
  <c r="D22" i="5"/>
  <c r="M126" i="8"/>
  <c r="F181" i="7"/>
  <c r="F200" i="9"/>
  <c r="L147" i="8"/>
  <c r="F58" i="9"/>
  <c r="M157" i="5"/>
  <c r="D175" i="5"/>
  <c r="D20" i="5"/>
  <c r="F55" i="9"/>
  <c r="F178" i="7"/>
  <c r="D131" i="5"/>
  <c r="N88" i="9"/>
  <c r="C97" i="8"/>
  <c r="F37" i="13"/>
  <c r="N54" i="9"/>
  <c r="E39" i="4"/>
  <c r="F59" i="13"/>
  <c r="H92" i="9"/>
  <c r="F40" i="13"/>
  <c r="D60" i="5"/>
  <c r="G136" i="7"/>
  <c r="P90" i="9"/>
  <c r="F66" i="10"/>
  <c r="G59" i="9"/>
  <c r="E122" i="4"/>
  <c r="D59" i="5"/>
  <c r="H149" i="7"/>
  <c r="E200" i="9"/>
  <c r="F89" i="9"/>
  <c r="L92" i="9"/>
  <c r="E97" i="8"/>
  <c r="D41" i="5"/>
  <c r="K156" i="5"/>
  <c r="F46" i="10"/>
  <c r="E104" i="8"/>
  <c r="K58" i="4"/>
  <c r="F102" i="7"/>
  <c r="D65" i="9"/>
  <c r="L81" i="4"/>
  <c r="D62" i="9"/>
  <c r="N155" i="10"/>
  <c r="P56" i="9"/>
  <c r="F101" i="7"/>
  <c r="D64" i="5"/>
  <c r="L58" i="8"/>
  <c r="F218" i="13"/>
  <c r="D91" i="9"/>
  <c r="L129" i="8"/>
  <c r="D56" i="9"/>
  <c r="H60" i="9"/>
  <c r="F101" i="4"/>
  <c r="M200" i="9"/>
  <c r="E291" i="13"/>
  <c r="L56" i="9"/>
  <c r="E143" i="13"/>
  <c r="O91" i="9"/>
  <c r="N51" i="10"/>
  <c r="C245" i="8"/>
  <c r="D136" i="10"/>
  <c r="N42" i="10"/>
  <c r="F64" i="10"/>
  <c r="H155" i="10"/>
  <c r="E288" i="13"/>
  <c r="C153" i="8"/>
  <c r="H124" i="7"/>
  <c r="F87" i="10"/>
  <c r="G81" i="4"/>
  <c r="H131" i="7"/>
  <c r="K41" i="4"/>
  <c r="E55" i="9"/>
  <c r="E431" i="13"/>
  <c r="H98" i="9"/>
  <c r="N85" i="9"/>
  <c r="L101" i="4"/>
  <c r="D93" i="9"/>
  <c r="K39" i="4"/>
  <c r="O99" i="8"/>
  <c r="P54" i="9"/>
  <c r="O55" i="9"/>
  <c r="E64" i="9"/>
  <c r="E381" i="13"/>
  <c r="F80" i="13"/>
  <c r="E81" i="5"/>
  <c r="E158" i="4"/>
  <c r="K23" i="4"/>
  <c r="M222" i="9"/>
  <c r="F95" i="9"/>
  <c r="D104" i="8"/>
  <c r="E65" i="9"/>
  <c r="E245" i="8"/>
  <c r="L123" i="8"/>
  <c r="E169" i="8"/>
  <c r="E97" i="9"/>
  <c r="D53" i="5"/>
  <c r="N128" i="8"/>
  <c r="M156" i="5"/>
  <c r="F87" i="9"/>
  <c r="F127" i="7"/>
  <c r="E107" i="8"/>
  <c r="G149" i="7"/>
  <c r="L154" i="5"/>
  <c r="H133" i="7"/>
  <c r="E59" i="9"/>
  <c r="E157" i="9"/>
  <c r="K43" i="4"/>
  <c r="O54" i="9"/>
  <c r="D89" i="9"/>
  <c r="H67" i="9"/>
  <c r="L130" i="8"/>
  <c r="H174" i="7"/>
  <c r="H94" i="9"/>
  <c r="D85" i="9"/>
  <c r="N124" i="8"/>
  <c r="E24" i="10"/>
  <c r="G140" i="7"/>
  <c r="G91" i="9"/>
  <c r="E151" i="8"/>
  <c r="E162" i="4"/>
  <c r="M147" i="8"/>
  <c r="E20" i="4"/>
  <c r="K139" i="4" a="1"/>
  <c r="H96" i="9"/>
  <c r="F123" i="7"/>
  <c r="D58" i="8"/>
  <c r="E136" i="10"/>
  <c r="O85" i="9"/>
  <c r="H85" i="9"/>
  <c r="E148" i="8"/>
  <c r="F68" i="9"/>
  <c r="D38" i="5"/>
  <c r="H172" i="9"/>
  <c r="E121" i="4"/>
  <c r="E22" i="4"/>
  <c r="C100" i="8"/>
  <c r="F180" i="13"/>
  <c r="F142" i="9"/>
  <c r="E264" i="13"/>
  <c r="G61" i="9"/>
  <c r="D103" i="8"/>
  <c r="E156" i="8"/>
  <c r="P172" i="9"/>
  <c r="E237" i="13"/>
  <c r="E49" i="8"/>
  <c r="C101" i="8"/>
  <c r="F138" i="7"/>
  <c r="E99" i="8"/>
  <c r="J1" i="9"/>
  <c r="G155" i="10"/>
  <c r="H172" i="7"/>
  <c r="F63" i="10"/>
  <c r="K20" i="4"/>
  <c r="F55" i="13"/>
  <c r="E23" i="13"/>
  <c r="K143" i="4" a="1"/>
  <c r="D142" i="9"/>
  <c r="M149" i="8"/>
  <c r="C98" i="8"/>
  <c r="O92" i="9"/>
  <c r="K155" i="5"/>
  <c r="M87" i="10"/>
  <c r="E60" i="4"/>
  <c r="E87" i="9"/>
  <c r="E109" i="8"/>
  <c r="G137" i="7"/>
  <c r="N48" i="10"/>
  <c r="E172" i="9"/>
  <c r="F56" i="13"/>
  <c r="H139" i="7"/>
  <c r="G123" i="7"/>
  <c r="L85" i="9"/>
  <c r="N49" i="10"/>
  <c r="M125" i="8"/>
  <c r="O155" i="5"/>
  <c r="L149" i="8"/>
  <c r="P92" i="9"/>
  <c r="H64" i="9"/>
  <c r="G121" i="7"/>
  <c r="E43" i="4"/>
  <c r="E90" i="9"/>
  <c r="M142" i="9"/>
  <c r="M23" i="10"/>
  <c r="M56" i="9"/>
  <c r="H86" i="9"/>
  <c r="N49" i="8"/>
  <c r="M20" i="10"/>
  <c r="O149" i="8"/>
  <c r="H169" i="7"/>
  <c r="M128" i="8"/>
  <c r="N172" i="9"/>
  <c r="E80" i="5"/>
  <c r="D181" i="5"/>
  <c r="E58" i="9"/>
  <c r="G63" i="9"/>
  <c r="D149" i="8"/>
  <c r="P125" i="8"/>
  <c r="N127" i="9"/>
  <c r="F146" i="7"/>
  <c r="G131" i="7"/>
  <c r="F176" i="13"/>
  <c r="G125" i="7"/>
  <c r="E21" i="10"/>
  <c r="D148" i="8"/>
  <c r="C79" i="8"/>
  <c r="E200" i="8"/>
  <c r="G186" i="9"/>
  <c r="N45" i="10"/>
  <c r="E19" i="13"/>
  <c r="E95" i="5"/>
  <c r="G222" i="9"/>
  <c r="E282" i="13"/>
  <c r="L70" i="8"/>
  <c r="E89" i="9"/>
  <c r="H90" i="9"/>
  <c r="P86" i="9"/>
  <c r="M157" i="9"/>
  <c r="F108" i="7"/>
  <c r="L200" i="9"/>
  <c r="C147" i="8"/>
  <c r="E106" i="8"/>
  <c r="H179" i="7"/>
  <c r="D143" i="4" a="1"/>
  <c r="H151" i="7"/>
  <c r="L121" i="8"/>
  <c r="L172" i="9"/>
  <c r="C107" i="8"/>
  <c r="F127" i="9"/>
  <c r="L91" i="9"/>
  <c r="E97" i="5"/>
  <c r="N219" i="8"/>
  <c r="D96" i="8"/>
  <c r="D23" i="5"/>
  <c r="M54" i="9"/>
  <c r="M97" i="8"/>
  <c r="M106" i="7"/>
  <c r="F43" i="10"/>
  <c r="F103" i="4"/>
  <c r="H128" i="7"/>
  <c r="C167" i="8"/>
  <c r="E92" i="9"/>
  <c r="C58" i="8"/>
  <c r="E105" i="8"/>
  <c r="L83" i="4"/>
  <c r="F62" i="9"/>
  <c r="H181" i="7"/>
  <c r="D60" i="9"/>
  <c r="F63" i="9"/>
  <c r="H127" i="7"/>
  <c r="O160" i="5"/>
  <c r="G95" i="9"/>
  <c r="D177" i="5"/>
  <c r="E352" i="13"/>
  <c r="L153" i="5"/>
  <c r="G133" i="7"/>
  <c r="L102" i="4"/>
  <c r="D63" i="9"/>
  <c r="P122" i="8"/>
  <c r="E24" i="4"/>
  <c r="G58" i="9"/>
  <c r="F78" i="13"/>
  <c r="D84" i="9"/>
  <c r="H93" i="9"/>
  <c r="F39" i="13"/>
  <c r="N87" i="10"/>
  <c r="L200" i="8"/>
  <c r="F181" i="13"/>
  <c r="G154" i="7"/>
  <c r="N97" i="8"/>
  <c r="E155" i="10"/>
  <c r="N121" i="8"/>
  <c r="L127" i="9"/>
  <c r="E480" i="13"/>
  <c r="M235" i="8"/>
  <c r="L86" i="9"/>
  <c r="E40" i="4"/>
  <c r="D108" i="8"/>
  <c r="F167" i="7"/>
  <c r="O122" i="8"/>
  <c r="D120" i="8"/>
  <c r="E135" i="13"/>
  <c r="D56" i="5"/>
  <c r="L157" i="5"/>
  <c r="M57" i="9"/>
  <c r="D87" i="10"/>
  <c r="C168" i="8"/>
  <c r="E61" i="9"/>
  <c r="H167" i="7"/>
  <c r="E142" i="9"/>
  <c r="C148" i="8"/>
  <c r="H175" i="7"/>
  <c r="G138" i="7"/>
  <c r="L155" i="5"/>
  <c r="H154" i="7"/>
  <c r="H120" i="7"/>
  <c r="L127" i="8"/>
  <c r="D116" i="5"/>
  <c r="F124" i="7"/>
  <c r="F42" i="10"/>
  <c r="N222" i="9"/>
  <c r="H66" i="9"/>
  <c r="K61" i="4"/>
  <c r="F42" i="13"/>
  <c r="N54" i="10"/>
  <c r="D114" i="5"/>
  <c r="N158" i="5"/>
  <c r="N50" i="10"/>
  <c r="F168" i="7"/>
  <c r="D90" i="9"/>
  <c r="D112" i="5"/>
  <c r="E127" i="9"/>
  <c r="K40" i="4"/>
  <c r="D188" i="5"/>
  <c r="F104" i="7"/>
  <c r="M108" i="7"/>
  <c r="P136" i="10"/>
  <c r="L128" i="8"/>
  <c r="H136" i="7"/>
  <c r="D111" i="5"/>
  <c r="N155" i="5"/>
  <c r="N47" i="10"/>
  <c r="P89" i="9"/>
  <c r="E502" i="13"/>
  <c r="F75" i="13"/>
  <c r="N43" i="10"/>
  <c r="D64" i="9"/>
  <c r="F56" i="9"/>
  <c r="H59" i="9"/>
  <c r="C149" i="8"/>
  <c r="H150" i="7"/>
  <c r="O56" i="9"/>
  <c r="F59" i="10"/>
  <c r="H123" i="7"/>
  <c r="E147" i="8"/>
  <c r="N89" i="9"/>
  <c r="E240" i="13"/>
  <c r="C99" i="8"/>
  <c r="H170" i="7"/>
  <c r="G146" i="7"/>
  <c r="H95" i="9"/>
  <c r="F36" i="13"/>
  <c r="P91" i="9"/>
  <c r="K1" i="10"/>
  <c r="O200" i="9"/>
  <c r="F140" i="7"/>
  <c r="G200" i="9"/>
  <c r="E525" i="13"/>
  <c r="O121" i="8"/>
  <c r="O152" i="5"/>
  <c r="L82" i="4"/>
  <c r="M21" i="10"/>
  <c r="P113" i="9"/>
  <c r="M130" i="8"/>
  <c r="L98" i="8"/>
  <c r="C106" i="8"/>
  <c r="D170" i="8"/>
  <c r="H88" i="9"/>
  <c r="O159" i="5"/>
  <c r="F160" i="13"/>
  <c r="D1" i="12"/>
  <c r="G150" i="7"/>
  <c r="N55" i="9"/>
  <c r="G60" i="9"/>
  <c r="G83" i="4"/>
  <c r="M186" i="9"/>
  <c r="E528" i="13"/>
  <c r="D68" i="9"/>
  <c r="N148" i="8"/>
  <c r="E222" i="9"/>
  <c r="E25" i="10"/>
  <c r="N200" i="9"/>
  <c r="C219" i="8"/>
  <c r="F102" i="4"/>
  <c r="K141" i="4" a="1"/>
  <c r="M85" i="9"/>
  <c r="L49" i="8"/>
  <c r="G93" i="9"/>
  <c r="M87" i="9"/>
  <c r="E312" i="13"/>
  <c r="F122" i="7"/>
  <c r="E99" i="5"/>
  <c r="F157" i="9"/>
  <c r="E17" i="13"/>
  <c r="F91" i="9"/>
  <c r="E93" i="9"/>
  <c r="G89" i="9"/>
  <c r="E309" i="13"/>
  <c r="N152" i="5"/>
  <c r="M158" i="5"/>
  <c r="E499" i="13"/>
  <c r="E85" i="9"/>
  <c r="C169" i="8"/>
  <c r="H153" i="7"/>
  <c r="O123" i="8"/>
  <c r="L93" i="9"/>
  <c r="M152" i="5"/>
  <c r="D185" i="5"/>
  <c r="C151" i="8"/>
  <c r="E161" i="4"/>
  <c r="F198" i="13"/>
  <c r="D36" i="5"/>
  <c r="G172" i="9"/>
  <c r="F171" i="7"/>
  <c r="O57" i="9"/>
  <c r="N55" i="10"/>
  <c r="O127" i="8"/>
  <c r="E146" i="8"/>
  <c r="E377" i="13"/>
  <c r="G122" i="7"/>
  <c r="F57" i="13"/>
  <c r="D235" i="8"/>
  <c r="H168" i="7"/>
  <c r="H55" i="9"/>
  <c r="L186" i="9"/>
  <c r="F136" i="7"/>
  <c r="L104" i="4"/>
  <c r="G62" i="9"/>
  <c r="F177" i="7"/>
  <c r="D154" i="8"/>
  <c r="J1" i="4"/>
  <c r="N46" i="10"/>
  <c r="E122" i="13"/>
  <c r="E57" i="9"/>
  <c r="N126" i="8"/>
  <c r="H166" i="7"/>
  <c r="J1" i="5"/>
  <c r="E186" i="9"/>
  <c r="E42" i="4"/>
  <c r="N136" i="10"/>
  <c r="G136" i="10"/>
  <c r="M96" i="8"/>
  <c r="F48" i="10"/>
  <c r="O153" i="5"/>
  <c r="H125" i="7"/>
  <c r="C154" i="8"/>
  <c r="N56" i="10"/>
  <c r="E315" i="13"/>
  <c r="N92" i="9"/>
  <c r="E155" i="8"/>
  <c r="F93" i="9"/>
  <c r="L79" i="4"/>
  <c r="L157" i="4"/>
  <c r="D186" i="5"/>
  <c r="E508" i="13"/>
  <c r="E60" i="9"/>
  <c r="K24" i="4"/>
  <c r="D179" i="5"/>
  <c r="O125" i="8"/>
  <c r="F41" i="13"/>
  <c r="M84" i="9"/>
  <c r="O148" i="8"/>
  <c r="G142" i="9"/>
  <c r="E66" i="9"/>
  <c r="E98" i="8"/>
  <c r="L103" i="4"/>
  <c r="O156" i="5"/>
  <c r="F202" i="13"/>
  <c r="O154" i="5"/>
  <c r="H84" i="9"/>
  <c r="L87" i="9"/>
  <c r="F221" i="13"/>
  <c r="F222" i="9"/>
  <c r="M155" i="10"/>
  <c r="P222" i="9"/>
  <c r="D140" i="4" a="1"/>
  <c r="E56" i="9"/>
  <c r="D61" i="9"/>
  <c r="L160" i="4"/>
  <c r="K159" i="5"/>
  <c r="F106" i="7"/>
  <c r="L97" i="8"/>
  <c r="F174" i="7"/>
  <c r="H147" i="7"/>
  <c r="K152" i="5"/>
  <c r="L55" i="9"/>
  <c r="M70" i="8"/>
  <c r="G139" i="7"/>
  <c r="D176" i="5"/>
  <c r="C105" i="8"/>
  <c r="E258" i="13"/>
  <c r="F67" i="9"/>
  <c r="K158" i="5"/>
  <c r="G132" i="7"/>
  <c r="G106" i="7"/>
  <c r="F157" i="13"/>
  <c r="F130" i="7"/>
  <c r="D113" i="5"/>
  <c r="E306" i="13"/>
  <c r="D100" i="8"/>
  <c r="O172" i="9"/>
  <c r="D55" i="9"/>
  <c r="N200" i="8"/>
  <c r="G54" i="9"/>
  <c r="H61" i="9"/>
  <c r="L152" i="5"/>
  <c r="H171" i="7"/>
  <c r="L156" i="5"/>
  <c r="O128" i="8"/>
  <c r="E67" i="9"/>
  <c r="N41" i="10"/>
  <c r="F196" i="13"/>
  <c r="D155" i="8"/>
  <c r="D98" i="9"/>
  <c r="F67" i="10"/>
  <c r="C49" i="8"/>
  <c r="E119" i="4"/>
  <c r="E62" i="4"/>
  <c r="D55" i="5"/>
  <c r="E103" i="8"/>
  <c r="G94" i="9"/>
  <c r="M100" i="7"/>
  <c r="M22" i="10"/>
  <c r="H89" i="9"/>
  <c r="F117" i="7"/>
  <c r="E91" i="9"/>
  <c r="F94" i="9"/>
  <c r="D49" i="8"/>
  <c r="F61" i="9"/>
  <c r="M107" i="7"/>
  <c r="O58" i="8"/>
  <c r="E540" i="13"/>
  <c r="P123" i="8"/>
  <c r="M120" i="8"/>
  <c r="H142" i="9"/>
  <c r="E455" i="13"/>
  <c r="D94" i="9"/>
  <c r="D169" i="8"/>
  <c r="M148" i="8"/>
  <c r="P148" i="8"/>
  <c r="E88" i="9"/>
  <c r="N159" i="5"/>
  <c r="D147" i="8"/>
  <c r="L142" i="9"/>
  <c r="F45" i="10"/>
  <c r="L136" i="10"/>
  <c r="F136" i="10"/>
  <c r="E121" i="8"/>
  <c r="D86" i="9"/>
  <c r="H129" i="7"/>
  <c r="G64" i="9"/>
  <c r="E267" i="13"/>
  <c r="N99" i="8"/>
  <c r="N146" i="8"/>
  <c r="F134" i="7"/>
  <c r="E160" i="4"/>
  <c r="N160" i="5"/>
  <c r="E402" i="13"/>
  <c r="L158" i="4"/>
  <c r="E333" i="13"/>
  <c r="E84" i="9"/>
  <c r="H63" i="9"/>
  <c r="F121" i="7"/>
  <c r="C156" i="8"/>
  <c r="L80" i="4"/>
  <c r="E149" i="8"/>
  <c r="F90" i="9"/>
  <c r="E369" i="13"/>
  <c r="O142" i="9"/>
  <c r="D189" i="5"/>
  <c r="M103" i="7"/>
  <c r="D168" i="8"/>
  <c r="N57" i="9"/>
  <c r="D157" i="9"/>
  <c r="M124" i="8"/>
  <c r="N120" i="8"/>
  <c r="F201" i="13"/>
  <c r="K22" i="4"/>
  <c r="D150" i="8"/>
  <c r="D200" i="9"/>
  <c r="D58" i="9"/>
  <c r="M19" i="10"/>
  <c r="F169" i="7"/>
  <c r="O88" i="9"/>
  <c r="E154" i="8"/>
  <c r="K59" i="4"/>
  <c r="F219" i="13"/>
  <c r="O113" i="9"/>
  <c r="O97" i="8"/>
  <c r="D180" i="5"/>
  <c r="C146" i="8"/>
  <c r="C109" i="8"/>
  <c r="N56" i="9"/>
  <c r="N129" i="8"/>
  <c r="E20" i="10"/>
  <c r="F104" i="4"/>
  <c r="O49" i="8"/>
  <c r="L120" i="8"/>
  <c r="G96" i="9"/>
  <c r="L156" i="4"/>
  <c r="L99" i="8"/>
  <c r="H130" i="7"/>
  <c r="D88" i="9"/>
  <c r="E474" i="13"/>
  <c r="F156" i="13"/>
  <c r="L122" i="8"/>
  <c r="N125" i="8"/>
  <c r="E61" i="4"/>
  <c r="F105" i="7"/>
  <c r="H141" i="7"/>
  <c r="M200" i="8"/>
  <c r="G87" i="9"/>
  <c r="J1" i="8"/>
  <c r="N235" i="8"/>
  <c r="D139" i="4" a="1"/>
  <c r="O186" i="9"/>
  <c r="E156" i="4"/>
  <c r="N113" i="9"/>
  <c r="F85" i="9"/>
  <c r="O124" i="8"/>
  <c r="F74" i="13"/>
  <c r="F170" i="7"/>
  <c r="E19" i="10"/>
  <c r="N123" i="8"/>
  <c r="F159" i="13"/>
  <c r="H177" i="7"/>
  <c r="D67" i="9"/>
  <c r="O157" i="5"/>
  <c r="D183" i="5"/>
  <c r="F129" i="7"/>
  <c r="H97" i="9"/>
  <c r="E124" i="4"/>
  <c r="G65" i="9"/>
  <c r="P121" i="8"/>
  <c r="F162" i="13"/>
  <c r="L155" i="10"/>
  <c r="F158" i="13"/>
  <c r="G152" i="7"/>
  <c r="H200" i="9"/>
  <c r="E120" i="8"/>
  <c r="M102" i="7"/>
  <c r="H140" i="7"/>
  <c r="D187" i="5"/>
  <c r="M127" i="9"/>
  <c r="N91" i="9"/>
  <c r="G84" i="9"/>
  <c r="H119" i="7"/>
  <c r="N157" i="9"/>
  <c r="N90" i="9"/>
  <c r="E102" i="8"/>
  <c r="L159" i="5"/>
  <c r="F61" i="13"/>
  <c r="M104" i="7"/>
  <c r="L57" i="9"/>
  <c r="P146" i="8"/>
  <c r="E150" i="8"/>
  <c r="D102" i="8"/>
  <c r="F199" i="13"/>
  <c r="N147" i="8"/>
  <c r="H138" i="7"/>
  <c r="E350" i="13"/>
  <c r="M160" i="5"/>
  <c r="F86" i="9"/>
  <c r="K125" i="4" a="1"/>
  <c r="E483" i="13"/>
  <c r="D109" i="8"/>
  <c r="O155" i="10"/>
  <c r="D130" i="5"/>
  <c r="D107" i="8"/>
  <c r="N70" i="8"/>
  <c r="P87" i="9"/>
  <c r="L89" i="9"/>
  <c r="L146" i="8"/>
  <c r="P97" i="8"/>
  <c r="E534" i="13"/>
  <c r="E410" i="13"/>
  <c r="N87" i="9"/>
  <c r="G117" i="7"/>
  <c r="F182" i="13"/>
  <c r="M129" i="8"/>
  <c r="E58" i="8"/>
  <c r="G88" i="9"/>
  <c r="D182" i="5"/>
  <c r="M93" i="9"/>
  <c r="P186" i="9"/>
  <c r="F139" i="7"/>
  <c r="M91" i="9"/>
  <c r="D200" i="8"/>
  <c r="E261" i="13"/>
  <c r="D96" i="9"/>
  <c r="D25" i="5"/>
  <c r="M89" i="9"/>
  <c r="M86" i="9"/>
  <c r="N93" i="9"/>
  <c r="D184" i="5"/>
  <c r="E428" i="13"/>
  <c r="F197" i="13"/>
  <c r="D63" i="5"/>
  <c r="F179" i="13"/>
  <c r="H122" i="7"/>
  <c r="D156" i="8"/>
  <c r="E348" i="13"/>
  <c r="F76" i="13"/>
  <c r="K138" i="4" a="1"/>
  <c r="O90" i="9"/>
  <c r="D87" i="9"/>
  <c r="C102" i="8"/>
  <c r="G90" i="9"/>
  <c r="P127" i="9"/>
  <c r="D40" i="5"/>
  <c r="P87" i="10"/>
  <c r="E137" i="13"/>
  <c r="H68" i="9"/>
  <c r="D54" i="9"/>
  <c r="G126" i="7"/>
  <c r="M98" i="8"/>
  <c r="M92" i="9"/>
  <c r="F113" i="9"/>
  <c r="J1" i="13"/>
  <c r="D151" i="8"/>
  <c r="N156" i="5"/>
  <c r="G119" i="7"/>
  <c r="C108" i="8"/>
  <c r="M153" i="5"/>
  <c r="E100" i="8"/>
  <c r="M58" i="8"/>
  <c r="N142" i="9"/>
  <c r="N98" i="8"/>
  <c r="E70" i="8"/>
  <c r="D98" i="8"/>
  <c r="H146" i="7"/>
  <c r="F132" i="7"/>
  <c r="G118" i="7"/>
  <c r="M136" i="10"/>
  <c r="F137" i="7"/>
  <c r="H62" i="9"/>
  <c r="F215" i="13"/>
  <c r="P120" i="8"/>
  <c r="G82" i="4"/>
  <c r="C170" i="8"/>
  <c r="O89" i="9"/>
  <c r="L235" i="8"/>
  <c r="E537" i="13"/>
  <c r="N157" i="5"/>
  <c r="D178" i="5"/>
  <c r="F133" i="7"/>
  <c r="L125" i="8"/>
  <c r="M154" i="5"/>
  <c r="D113" i="9"/>
  <c r="F118" i="7"/>
  <c r="F180" i="7"/>
  <c r="E167" i="8"/>
  <c r="G79" i="4"/>
  <c r="O130" i="8"/>
  <c r="E101" i="13"/>
  <c r="F44" i="10"/>
  <c r="L84" i="9"/>
  <c r="E153" i="8"/>
  <c r="F175" i="7"/>
  <c r="F172" i="7"/>
  <c r="E87" i="10"/>
  <c r="G128" i="7"/>
  <c r="D57" i="9"/>
  <c r="E285" i="13"/>
  <c r="D146" i="8"/>
  <c r="K160" i="5"/>
  <c r="F163" i="13"/>
  <c r="N53" i="10"/>
  <c r="H222" i="9"/>
  <c r="N149" i="8"/>
  <c r="E59" i="4"/>
  <c r="P124" i="8"/>
  <c r="P55" i="9"/>
  <c r="L124" i="8"/>
  <c r="G68" i="9"/>
  <c r="F66" i="9"/>
  <c r="L219" i="8"/>
  <c r="G66" i="9"/>
  <c r="G86" i="9"/>
  <c r="G85" i="9"/>
  <c r="D54" i="5"/>
  <c r="F62" i="10"/>
  <c r="E458" i="13"/>
  <c r="F96" i="9"/>
  <c r="C96" i="8"/>
  <c r="E120" i="4"/>
  <c r="D106" i="8"/>
  <c r="G127" i="9"/>
  <c r="H148" i="7"/>
  <c r="H91" i="9"/>
  <c r="G87" i="10"/>
  <c r="D101" i="8"/>
  <c r="G157" i="9"/>
  <c r="P70" i="8"/>
  <c r="E94" i="9"/>
  <c r="G134" i="7"/>
  <c r="F216" i="13"/>
  <c r="E58" i="4"/>
  <c r="F178" i="13"/>
  <c r="D70" i="8"/>
  <c r="E113" i="9"/>
  <c r="D61" i="5"/>
  <c r="M90" i="9"/>
  <c r="F200" i="13"/>
  <c r="M123" i="8"/>
  <c r="O146" i="8"/>
  <c r="H113" i="9"/>
  <c r="H132" i="7"/>
  <c r="E82" i="5"/>
  <c r="F97" i="9"/>
  <c r="O129" i="8"/>
  <c r="E20" i="13"/>
  <c r="D115" i="5"/>
  <c r="E21" i="4"/>
  <c r="E141" i="13"/>
  <c r="N58" i="8"/>
  <c r="P57" i="9"/>
  <c r="M121" i="8"/>
  <c r="E62" i="9"/>
  <c r="K42" i="4"/>
  <c r="D219" i="8"/>
  <c r="L222" i="9"/>
  <c r="G80" i="4"/>
  <c r="E96" i="8"/>
  <c r="F92" i="9"/>
  <c r="E68" i="9"/>
  <c r="E477" i="13"/>
  <c r="F61" i="10"/>
  <c r="N44" i="10"/>
  <c r="E95" i="13"/>
  <c r="H173" i="7"/>
  <c r="D190" i="5"/>
  <c r="K140" i="4" a="1"/>
  <c r="H186" i="9"/>
  <c r="F64" i="9"/>
  <c r="P130" i="8"/>
  <c r="E101" i="8"/>
  <c r="O222" i="9"/>
  <c r="D79" i="8"/>
  <c r="L158" i="5"/>
  <c r="L230" i="9"/>
  <c r="D24" i="5"/>
  <c r="H58" i="9"/>
  <c r="P93" i="9"/>
  <c r="F177" i="13"/>
  <c r="N84" i="9"/>
  <c r="N153" i="5"/>
  <c r="F54" i="9"/>
  <c r="N154" i="5"/>
  <c r="L90" i="9"/>
  <c r="G57" i="9"/>
  <c r="O86" i="9"/>
  <c r="H117" i="7"/>
  <c r="C104" i="8"/>
  <c r="L87" i="10"/>
  <c r="M55" i="9"/>
  <c r="G97" i="9"/>
  <c r="E123" i="4"/>
  <c r="F126" i="7"/>
  <c r="F60" i="9"/>
  <c r="O158" i="5"/>
  <c r="F183" i="13"/>
  <c r="H137" i="7"/>
  <c r="L100" i="4"/>
  <c r="D152" i="8"/>
  <c r="D66" i="9"/>
  <c r="D153" i="8"/>
  <c r="H126" i="7"/>
  <c r="C70" i="8"/>
  <c r="C235" i="8"/>
  <c r="D97" i="9"/>
  <c r="H178" i="7"/>
  <c r="P85" i="9"/>
  <c r="F176" i="7"/>
  <c r="E98" i="5"/>
  <c r="D132" i="5"/>
  <c r="F119" i="7"/>
  <c r="F217" i="13"/>
  <c r="F98" i="9"/>
  <c r="F100" i="4"/>
  <c r="M99" i="8"/>
  <c r="G113" i="9"/>
  <c r="D117" i="5"/>
  <c r="M127" i="8"/>
  <c r="M101" i="7"/>
  <c r="E98" i="9"/>
  <c r="D99" i="8"/>
  <c r="L148" i="8"/>
  <c r="L157" i="9"/>
  <c r="N104" i="7"/>
  <c r="O126" i="8"/>
  <c r="K153" i="5"/>
  <c r="C200" i="8"/>
  <c r="L160" i="5"/>
  <c r="H127" i="9"/>
  <c r="P127" i="8"/>
  <c r="D21" i="5"/>
  <c r="P129" i="8"/>
  <c r="E170" i="8"/>
  <c r="M155" i="5"/>
  <c r="D142" i="4" a="1"/>
  <c r="M113" i="9"/>
  <c r="E531" i="13"/>
  <c r="D62" i="5"/>
  <c r="M88" i="9"/>
  <c r="D186" i="9"/>
  <c r="E54" i="9"/>
  <c r="E41" i="4"/>
  <c r="J1" i="7"/>
  <c r="O87" i="10"/>
  <c r="G67" i="9"/>
  <c r="D59" i="9"/>
  <c r="E96" i="9"/>
  <c r="F107" i="7"/>
  <c r="G107" i="7" s="1"/>
  <c r="E94" i="5"/>
  <c r="G124" i="7"/>
  <c r="O98" i="8"/>
  <c r="F77" i="13"/>
  <c r="H54" i="9"/>
  <c r="E23" i="4"/>
  <c r="E406" i="13"/>
  <c r="E373" i="13"/>
  <c r="F179" i="7"/>
  <c r="P126" i="8"/>
  <c r="D105" i="8"/>
  <c r="F79" i="13"/>
  <c r="D222" i="9"/>
  <c r="O84" i="9"/>
  <c r="D133" i="5"/>
  <c r="E219" i="8"/>
  <c r="H118" i="7"/>
  <c r="F88" i="9"/>
  <c r="E318" i="13"/>
  <c r="L126" i="8"/>
  <c r="H65" i="9"/>
  <c r="E79" i="8"/>
  <c r="H157" i="9"/>
  <c r="D245" i="8"/>
  <c r="H134" i="7"/>
  <c r="P49" i="8"/>
  <c r="N86" i="9"/>
  <c r="D167" i="8"/>
  <c r="H87" i="9"/>
  <c r="E139" i="13"/>
  <c r="E63" i="9"/>
  <c r="M105" i="7"/>
  <c r="N105" i="7" s="1"/>
  <c r="E168" i="8"/>
  <c r="L229" i="9"/>
  <c r="D230" i="9"/>
  <c r="D227" i="9"/>
  <c r="D229" i="9"/>
  <c r="D228" i="9"/>
  <c r="D224" i="9"/>
  <c r="L224" i="9"/>
  <c r="L227" i="9"/>
  <c r="L228" i="9"/>
  <c r="K138" i="4" l="1"/>
  <c r="L138" i="4"/>
  <c r="E142" i="4"/>
  <c r="G142" i="4"/>
  <c r="H142" i="4"/>
  <c r="D142" i="4"/>
  <c r="F142" i="4"/>
  <c r="N143" i="4"/>
  <c r="M143" i="4"/>
  <c r="L143" i="4"/>
  <c r="K143" i="4"/>
  <c r="K141" i="4"/>
  <c r="L141" i="4"/>
  <c r="E138" i="4"/>
  <c r="F138" i="4"/>
  <c r="H138" i="4"/>
  <c r="G138" i="4"/>
  <c r="D138" i="4"/>
  <c r="D139" i="4"/>
  <c r="E139" i="4"/>
  <c r="G139" i="4"/>
  <c r="H139" i="4"/>
  <c r="F139" i="4"/>
  <c r="K142" i="4"/>
  <c r="L142" i="4"/>
  <c r="N142" i="4"/>
  <c r="M142" i="4"/>
  <c r="L125" i="4"/>
  <c r="M125" i="4"/>
  <c r="N125" i="4"/>
  <c r="K125" i="4"/>
  <c r="O125" i="4"/>
  <c r="L140" i="4"/>
  <c r="K140" i="4"/>
  <c r="H140" i="4"/>
  <c r="D140" i="4"/>
  <c r="F140" i="4"/>
  <c r="G140" i="4"/>
  <c r="E140" i="4"/>
  <c r="H141" i="4"/>
  <c r="D141" i="4"/>
  <c r="G141" i="4"/>
  <c r="F141" i="4"/>
  <c r="E141" i="4"/>
  <c r="H143" i="4"/>
  <c r="E143" i="4"/>
  <c r="G143" i="4"/>
  <c r="F143" i="4"/>
  <c r="D143" i="4"/>
  <c r="L139" i="4"/>
  <c r="K139" i="4"/>
  <c r="N102" i="7"/>
  <c r="N101" i="7"/>
  <c r="G105" i="7"/>
  <c r="G102" i="7"/>
  <c r="G103" i="7"/>
  <c r="N103" i="7"/>
  <c r="N107" i="7"/>
  <c r="N100" i="7"/>
  <c r="N108" i="7"/>
  <c r="G108" i="7"/>
  <c r="G100" i="7"/>
  <c r="G101" i="7"/>
  <c r="G104" i="7"/>
  <c r="N106" i="7"/>
</calcChain>
</file>

<file path=xl/sharedStrings.xml><?xml version="1.0" encoding="utf-8"?>
<sst xmlns="http://schemas.openxmlformats.org/spreadsheetml/2006/main" count="4736" uniqueCount="1660">
  <si>
    <t>GPG Finger print = 72FF 2B00 5330 8618 5CA2  5B01 D17C B4EF A54D 8FA0</t>
  </si>
  <si>
    <t>---</t>
  </si>
  <si>
    <t>SSR</t>
    <phoneticPr fontId="1"/>
  </si>
  <si>
    <t>SNP</t>
    <phoneticPr fontId="1"/>
  </si>
  <si>
    <t>M</t>
    <phoneticPr fontId="1"/>
  </si>
  <si>
    <t>Data types</t>
    <phoneticPr fontId="1"/>
  </si>
  <si>
    <t>100/110</t>
    <phoneticPr fontId="1"/>
  </si>
  <si>
    <t>100/100</t>
    <phoneticPr fontId="1"/>
  </si>
  <si>
    <t>A/B</t>
    <phoneticPr fontId="1"/>
  </si>
  <si>
    <t>A/G</t>
    <phoneticPr fontId="1"/>
  </si>
  <si>
    <t>CG</t>
    <phoneticPr fontId="1"/>
  </si>
  <si>
    <t>A</t>
    <phoneticPr fontId="1"/>
  </si>
  <si>
    <t>B</t>
    <phoneticPr fontId="1"/>
  </si>
  <si>
    <t>H</t>
    <phoneticPr fontId="1"/>
  </si>
  <si>
    <t>S</t>
    <phoneticPr fontId="1"/>
  </si>
  <si>
    <t>English</t>
    <phoneticPr fontId="1"/>
  </si>
  <si>
    <t>Japanese</t>
    <phoneticPr fontId="1"/>
  </si>
  <si>
    <t>SSR allele</t>
    <phoneticPr fontId="1"/>
  </si>
  <si>
    <t>SNP allele</t>
    <phoneticPr fontId="1"/>
  </si>
  <si>
    <t>1)</t>
    <phoneticPr fontId="1"/>
  </si>
  <si>
    <t>CP</t>
    <phoneticPr fontId="1"/>
  </si>
  <si>
    <t>&lt;abxcd&gt;</t>
    <phoneticPr fontId="1"/>
  </si>
  <si>
    <t>&lt;efxeg&gt;</t>
    <phoneticPr fontId="1"/>
  </si>
  <si>
    <t>&lt;hkxhk&gt;</t>
    <phoneticPr fontId="1"/>
  </si>
  <si>
    <t>&lt;lmxll&gt;</t>
    <phoneticPr fontId="1"/>
  </si>
  <si>
    <t>&lt;nnxnp&gt;</t>
    <phoneticPr fontId="1"/>
  </si>
  <si>
    <t>HMP</t>
    <phoneticPr fontId="1"/>
  </si>
  <si>
    <t>A</t>
  </si>
  <si>
    <t>T</t>
  </si>
  <si>
    <t>G</t>
  </si>
  <si>
    <t>C</t>
  </si>
  <si>
    <t>W</t>
  </si>
  <si>
    <t>R</t>
  </si>
  <si>
    <t>M</t>
  </si>
  <si>
    <t>K</t>
  </si>
  <si>
    <t>Y</t>
  </si>
  <si>
    <t>S</t>
  </si>
  <si>
    <t>N</t>
  </si>
  <si>
    <t>A</t>
    <phoneticPr fontId="1"/>
  </si>
  <si>
    <t>Boolean</t>
    <phoneticPr fontId="1"/>
  </si>
  <si>
    <t>100/110</t>
    <phoneticPr fontId="1"/>
  </si>
  <si>
    <t>120/130</t>
    <phoneticPr fontId="1"/>
  </si>
  <si>
    <t>AC</t>
    <phoneticPr fontId="1"/>
  </si>
  <si>
    <t>A/C</t>
  </si>
  <si>
    <t>A/C</t>
    <phoneticPr fontId="1"/>
  </si>
  <si>
    <t>C/T</t>
    <phoneticPr fontId="1"/>
  </si>
  <si>
    <t>AG</t>
  </si>
  <si>
    <t>AG</t>
    <phoneticPr fontId="1"/>
  </si>
  <si>
    <t>SSR</t>
    <phoneticPr fontId="1"/>
  </si>
  <si>
    <t>SNP</t>
    <phoneticPr fontId="1"/>
  </si>
  <si>
    <t>110/110</t>
    <phoneticPr fontId="1"/>
  </si>
  <si>
    <t>120/120</t>
    <phoneticPr fontId="1"/>
  </si>
  <si>
    <t>110/120</t>
    <phoneticPr fontId="1"/>
  </si>
  <si>
    <t>100/120</t>
  </si>
  <si>
    <t>CC</t>
    <phoneticPr fontId="1"/>
  </si>
  <si>
    <t>SSR1</t>
    <phoneticPr fontId="1"/>
  </si>
  <si>
    <t>SSR2</t>
    <phoneticPr fontId="1"/>
  </si>
  <si>
    <t>DIFF</t>
    <phoneticPr fontId="1"/>
  </si>
  <si>
    <t>146/146</t>
  </si>
  <si>
    <t>145/145</t>
  </si>
  <si>
    <t>144/144</t>
  </si>
  <si>
    <t>145/146</t>
  </si>
  <si>
    <t>AA</t>
    <phoneticPr fontId="1"/>
  </si>
  <si>
    <t>BB</t>
    <phoneticPr fontId="1"/>
  </si>
  <si>
    <t>SNP1</t>
    <phoneticPr fontId="1"/>
  </si>
  <si>
    <t>SNP2</t>
    <phoneticPr fontId="1"/>
  </si>
  <si>
    <t>110/100</t>
    <phoneticPr fontId="1"/>
  </si>
  <si>
    <t>120/100</t>
    <phoneticPr fontId="1"/>
  </si>
  <si>
    <t>A/G</t>
  </si>
  <si>
    <t>T/C</t>
  </si>
  <si>
    <t>T/A</t>
  </si>
  <si>
    <t>TOP</t>
  </si>
  <si>
    <t>H</t>
  </si>
  <si>
    <t>B</t>
  </si>
  <si>
    <t>c</t>
  </si>
  <si>
    <t>aBc</t>
  </si>
  <si>
    <t>a/b</t>
  </si>
  <si>
    <t>a</t>
    <phoneticPr fontId="1"/>
  </si>
  <si>
    <t>b</t>
    <phoneticPr fontId="1"/>
  </si>
  <si>
    <t>h</t>
    <phoneticPr fontId="1"/>
  </si>
  <si>
    <t>Allele</t>
    <phoneticPr fontId="1"/>
  </si>
  <si>
    <t>Byte</t>
    <phoneticPr fontId="1"/>
  </si>
  <si>
    <t>Hybrid</t>
    <phoneticPr fontId="1"/>
  </si>
  <si>
    <t>T</t>
    <phoneticPr fontId="1"/>
  </si>
  <si>
    <t>G</t>
    <phoneticPr fontId="1"/>
  </si>
  <si>
    <t>C</t>
    <phoneticPr fontId="1"/>
  </si>
  <si>
    <t>W</t>
    <phoneticPr fontId="1"/>
  </si>
  <si>
    <t>R</t>
    <phoneticPr fontId="1"/>
  </si>
  <si>
    <t>K</t>
    <phoneticPr fontId="1"/>
  </si>
  <si>
    <t>Y</t>
    <phoneticPr fontId="1"/>
  </si>
  <si>
    <t>N</t>
    <phoneticPr fontId="1"/>
  </si>
  <si>
    <t>REF</t>
    <phoneticPr fontId="1"/>
  </si>
  <si>
    <t>STRAND</t>
    <phoneticPr fontId="1"/>
  </si>
  <si>
    <t>CODE</t>
    <phoneticPr fontId="1"/>
  </si>
  <si>
    <t>BOT</t>
    <phoneticPr fontId="1"/>
  </si>
  <si>
    <t>A/A</t>
    <phoneticPr fontId="1"/>
  </si>
  <si>
    <t>Aa</t>
    <phoneticPr fontId="1"/>
  </si>
  <si>
    <t>ab</t>
    <phoneticPr fontId="1"/>
  </si>
  <si>
    <t>Bb</t>
    <phoneticPr fontId="1"/>
  </si>
  <si>
    <t>B/b</t>
    <phoneticPr fontId="1"/>
  </si>
  <si>
    <t>100/105</t>
    <phoneticPr fontId="1"/>
  </si>
  <si>
    <t>P1</t>
    <phoneticPr fontId="1"/>
  </si>
  <si>
    <t>P2</t>
    <phoneticPr fontId="1"/>
  </si>
  <si>
    <t>Parent1</t>
    <phoneticPr fontId="1"/>
  </si>
  <si>
    <t>Parent2</t>
    <phoneticPr fontId="1"/>
  </si>
  <si>
    <t>Child?</t>
    <phoneticPr fontId="1"/>
  </si>
  <si>
    <t>100/114</t>
  </si>
  <si>
    <t>114/114</t>
  </si>
  <si>
    <t>110/112</t>
  </si>
  <si>
    <t>114/110</t>
    <phoneticPr fontId="1"/>
  </si>
  <si>
    <t>100/112</t>
    <phoneticPr fontId="1"/>
  </si>
  <si>
    <t>110/114</t>
    <phoneticPr fontId="1"/>
  </si>
  <si>
    <t>100/114</t>
    <phoneticPr fontId="1"/>
  </si>
  <si>
    <t>114/114</t>
    <phoneticPr fontId="1"/>
  </si>
  <si>
    <t>114/120</t>
    <phoneticPr fontId="1"/>
  </si>
  <si>
    <t>112/112</t>
    <phoneticPr fontId="1"/>
  </si>
  <si>
    <t>AA</t>
  </si>
  <si>
    <t>X</t>
    <phoneticPr fontId="1"/>
  </si>
  <si>
    <t>Child</t>
    <phoneticPr fontId="1"/>
  </si>
  <si>
    <t>112/114</t>
    <phoneticPr fontId="1"/>
  </si>
  <si>
    <t>GG</t>
    <phoneticPr fontId="1"/>
  </si>
  <si>
    <t>GG</t>
  </si>
  <si>
    <t>BC1</t>
    <phoneticPr fontId="1"/>
  </si>
  <si>
    <t>F2</t>
    <phoneticPr fontId="1"/>
  </si>
  <si>
    <t>BC1/F2</t>
    <phoneticPr fontId="1"/>
  </si>
  <si>
    <t>MWillSegregate</t>
    <phoneticPr fontId="1"/>
  </si>
  <si>
    <t>MSegregateType</t>
    <phoneticPr fontId="1"/>
  </si>
  <si>
    <t>CP genotype</t>
    <phoneticPr fontId="1"/>
  </si>
  <si>
    <t>CP mode</t>
    <phoneticPr fontId="1"/>
  </si>
  <si>
    <t>GUGS Work Book</t>
    <phoneticPr fontId="1"/>
  </si>
  <si>
    <t>version</t>
    <phoneticPr fontId="1"/>
  </si>
  <si>
    <t>100/100</t>
  </si>
  <si>
    <t>100/200</t>
  </si>
  <si>
    <t>200/200</t>
  </si>
  <si>
    <t>100/110</t>
  </si>
  <si>
    <t>100/300</t>
    <phoneticPr fontId="1"/>
  </si>
  <si>
    <t>200/200</t>
    <phoneticPr fontId="1"/>
  </si>
  <si>
    <t>100/200</t>
    <phoneticPr fontId="1"/>
  </si>
  <si>
    <t>V</t>
    <phoneticPr fontId="1"/>
  </si>
  <si>
    <t>D</t>
    <phoneticPr fontId="1"/>
  </si>
  <si>
    <t>Data type</t>
    <phoneticPr fontId="1"/>
  </si>
  <si>
    <t>Input</t>
    <phoneticPr fontId="1"/>
  </si>
  <si>
    <t>Output</t>
    <phoneticPr fontId="1"/>
  </si>
  <si>
    <t>SSR</t>
    <phoneticPr fontId="1"/>
  </si>
  <si>
    <t>O</t>
    <phoneticPr fontId="1"/>
  </si>
  <si>
    <t>SSR allele</t>
    <phoneticPr fontId="1"/>
  </si>
  <si>
    <t>Example</t>
    <phoneticPr fontId="1"/>
  </si>
  <si>
    <t>100/110, 200/200 ...</t>
    <phoneticPr fontId="1"/>
  </si>
  <si>
    <t>100, 110, 200 ...</t>
    <phoneticPr fontId="1"/>
  </si>
  <si>
    <t>SNP</t>
    <phoneticPr fontId="1"/>
  </si>
  <si>
    <t>A/G, CG ...</t>
    <phoneticPr fontId="1"/>
  </si>
  <si>
    <t>SNP allele</t>
    <phoneticPr fontId="1"/>
  </si>
  <si>
    <t>M</t>
    <phoneticPr fontId="1"/>
  </si>
  <si>
    <t>-</t>
    <phoneticPr fontId="1"/>
  </si>
  <si>
    <t>Seg</t>
    <phoneticPr fontId="1"/>
  </si>
  <si>
    <t>Segregation mode; BC1, F2, F1</t>
    <phoneticPr fontId="1"/>
  </si>
  <si>
    <t>CP</t>
    <phoneticPr fontId="1"/>
  </si>
  <si>
    <t>Segregation mode for CP data type of JoinMap;
&lt;abxcd&gt;, &lt;efxeg&gt;, &lt;hkxhk&gt;, &lt;lmxll&gt;, &lt;nnxnp&gt;</t>
    <phoneticPr fontId="1"/>
  </si>
  <si>
    <t>Numeric</t>
    <phoneticPr fontId="1"/>
  </si>
  <si>
    <t>Boolean</t>
    <phoneticPr fontId="1"/>
  </si>
  <si>
    <t>A, G, C ...</t>
    <phoneticPr fontId="1"/>
  </si>
  <si>
    <t>HMP</t>
    <phoneticPr fontId="1"/>
  </si>
  <si>
    <t>HMP</t>
    <phoneticPr fontId="1"/>
  </si>
  <si>
    <t>Category of Functions</t>
    <phoneticPr fontId="1"/>
  </si>
  <si>
    <t>Parent A</t>
    <phoneticPr fontId="1"/>
  </si>
  <si>
    <t>Parent B</t>
    <phoneticPr fontId="1"/>
  </si>
  <si>
    <t>a/A</t>
    <phoneticPr fontId="1"/>
  </si>
  <si>
    <t>Data</t>
    <phoneticPr fontId="1"/>
  </si>
  <si>
    <t>Diff</t>
    <phoneticPr fontId="1"/>
  </si>
  <si>
    <t>Results</t>
    <phoneticPr fontId="1"/>
  </si>
  <si>
    <t>M data</t>
    <phoneticPr fontId="1"/>
  </si>
  <si>
    <t>SNP data</t>
    <phoneticPr fontId="1"/>
  </si>
  <si>
    <t>SSR data</t>
    <phoneticPr fontId="1"/>
  </si>
  <si>
    <t>Result</t>
    <phoneticPr fontId="1"/>
  </si>
  <si>
    <t>100/140</t>
  </si>
  <si>
    <t>140/182</t>
    <phoneticPr fontId="1"/>
  </si>
  <si>
    <t>110/150</t>
  </si>
  <si>
    <t>150/155</t>
    <phoneticPr fontId="1"/>
  </si>
  <si>
    <t>120/100</t>
  </si>
  <si>
    <t>160/160</t>
  </si>
  <si>
    <t>130/110</t>
  </si>
  <si>
    <t>140/120</t>
  </si>
  <si>
    <t>100/150</t>
  </si>
  <si>
    <t>110/160</t>
  </si>
  <si>
    <t>130/112</t>
    <phoneticPr fontId="1"/>
  </si>
  <si>
    <t>120/105</t>
    <phoneticPr fontId="1"/>
  </si>
  <si>
    <t>150/150</t>
  </si>
  <si>
    <t>110/115</t>
    <phoneticPr fontId="1"/>
  </si>
  <si>
    <t>Marker 1</t>
    <phoneticPr fontId="1"/>
  </si>
  <si>
    <t>Marker 2</t>
    <phoneticPr fontId="1"/>
  </si>
  <si>
    <t>Marker 3</t>
    <phoneticPr fontId="1"/>
  </si>
  <si>
    <t>Sample 1</t>
    <phoneticPr fontId="1"/>
  </si>
  <si>
    <t>Sample 2</t>
  </si>
  <si>
    <t>Sample 3</t>
  </si>
  <si>
    <t>Sample 4</t>
  </si>
  <si>
    <t>Sample 5</t>
  </si>
  <si>
    <t>Sample 6</t>
  </si>
  <si>
    <t>Sample 7</t>
  </si>
  <si>
    <t>Sample 8</t>
  </si>
  <si>
    <t>Sample 9</t>
  </si>
  <si>
    <t>Sample 10</t>
  </si>
  <si>
    <t>Sample 11</t>
  </si>
  <si>
    <t>Sample 12</t>
  </si>
  <si>
    <t>=UniqSSRGTs(Dataset)</t>
    <phoneticPr fontId="1"/>
  </si>
  <si>
    <t>TC</t>
  </si>
  <si>
    <t>AC</t>
  </si>
  <si>
    <t>TA</t>
  </si>
  <si>
    <t>TT</t>
  </si>
  <si>
    <t>CC</t>
  </si>
  <si>
    <t>NN</t>
  </si>
  <si>
    <t>Marker 4</t>
  </si>
  <si>
    <t>Marker 5</t>
  </si>
  <si>
    <t>=UniqSNPGTs(Dataset)</t>
    <phoneticPr fontId="1"/>
  </si>
  <si>
    <t>117/120</t>
  </si>
  <si>
    <t>130/138</t>
  </si>
  <si>
    <t>134/140</t>
  </si>
  <si>
    <t>240/240</t>
  </si>
  <si>
    <t>168/177</t>
  </si>
  <si>
    <t>120/122</t>
  </si>
  <si>
    <t>127/132</t>
  </si>
  <si>
    <t>137/140</t>
  </si>
  <si>
    <t>255/255</t>
  </si>
  <si>
    <t>115/120</t>
  </si>
  <si>
    <t>130/135</t>
  </si>
  <si>
    <t>134/134</t>
  </si>
  <si>
    <t>115/122</t>
  </si>
  <si>
    <t>132/135</t>
  </si>
  <si>
    <t>131/137</t>
  </si>
  <si>
    <t>168/180</t>
  </si>
  <si>
    <t>122/122</t>
  </si>
  <si>
    <t>127/138</t>
  </si>
  <si>
    <t>131/134</t>
  </si>
  <si>
    <t>240/255</t>
  </si>
  <si>
    <t>112/114</t>
  </si>
  <si>
    <t>135/141</t>
  </si>
  <si>
    <t>131/131</t>
  </si>
  <si>
    <t>255/258</t>
  </si>
  <si>
    <t>165/175</t>
  </si>
  <si>
    <t>112/122</t>
  </si>
  <si>
    <t>131/140</t>
  </si>
  <si>
    <t>240/258</t>
  </si>
  <si>
    <t>165/177</t>
  </si>
  <si>
    <t>168/175</t>
  </si>
  <si>
    <t>114/115</t>
  </si>
  <si>
    <t>132/138</t>
  </si>
  <si>
    <t>131/142</t>
  </si>
  <si>
    <t>177/180</t>
  </si>
  <si>
    <t>127/135</t>
  </si>
  <si>
    <t>134/137</t>
  </si>
  <si>
    <t>177/177</t>
  </si>
  <si>
    <t>138/138</t>
  </si>
  <si>
    <t>168/168</t>
  </si>
  <si>
    <t>135/138</t>
  </si>
  <si>
    <t>119/120</t>
  </si>
  <si>
    <t>119/122</t>
  </si>
  <si>
    <t>117/122</t>
  </si>
  <si>
    <t>115/121</t>
  </si>
  <si>
    <t>128/134</t>
  </si>
  <si>
    <t>115/117</t>
  </si>
  <si>
    <t>107/114</t>
  </si>
  <si>
    <t>124/132</t>
  </si>
  <si>
    <t>134/142</t>
  </si>
  <si>
    <t>177/184</t>
  </si>
  <si>
    <t>120/120</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</si>
  <si>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</si>
  <si>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</si>
  <si>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</si>
  <si>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</si>
  <si>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</si>
  <si>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</si>
  <si>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</si>
  <si>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</si>
  <si>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</si>
  <si>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</si>
  <si>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</si>
  <si>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</si>
  <si>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</si>
  <si>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</si>
  <si>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</si>
  <si>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</si>
  <si>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Data normalization</t>
    <phoneticPr fontId="1"/>
  </si>
  <si>
    <t>=NormSNP(SNP)</t>
    <phoneticPr fontId="1"/>
  </si>
  <si>
    <t>=NormMC(M)</t>
    <phoneticPr fontId="1"/>
  </si>
  <si>
    <t>=NormSSR(SSR)</t>
    <phoneticPr fontId="1"/>
  </si>
  <si>
    <t>Remarks</t>
    <phoneticPr fontId="1"/>
  </si>
  <si>
    <t>Single allele (not genotype) is converted to SSR genotype format.</t>
    <phoneticPr fontId="1"/>
  </si>
  <si>
    <t>cc</t>
    <phoneticPr fontId="1"/>
  </si>
  <si>
    <t>Single letter is recognized as a homo genotype.</t>
    <phoneticPr fontId="1"/>
  </si>
  <si>
    <t>a/120</t>
    <phoneticPr fontId="1"/>
  </si>
  <si>
    <t>This is not a valid SSR genotype, but it is not checked through.</t>
    <phoneticPr fontId="1"/>
  </si>
  <si>
    <t>'3' is not a valid M genotype.</t>
    <phoneticPr fontId="1"/>
  </si>
  <si>
    <t>2)</t>
    <phoneticPr fontId="1"/>
  </si>
  <si>
    <t>Case</t>
    <phoneticPr fontId="1"/>
  </si>
  <si>
    <t>Ref</t>
    <phoneticPr fontId="1"/>
  </si>
  <si>
    <t>Rel size to Ref</t>
    <phoneticPr fontId="1"/>
  </si>
  <si>
    <t>=SSRtoRelSize(Case, Ref)</t>
    <phoneticPr fontId="1"/>
  </si>
  <si>
    <t>AC</t>
    <phoneticPr fontId="1"/>
  </si>
  <si>
    <t>CT</t>
    <phoneticPr fontId="1"/>
  </si>
  <si>
    <t>a</t>
    <phoneticPr fontId="1"/>
  </si>
  <si>
    <t>A</t>
    <phoneticPr fontId="1"/>
  </si>
  <si>
    <t>aA</t>
    <phoneticPr fontId="1"/>
  </si>
  <si>
    <t>This is a valid M genotype</t>
    <phoneticPr fontId="1"/>
  </si>
  <si>
    <t>=SNPwithSEP(SNP, Sep)</t>
    <phoneticPr fontId="1"/>
  </si>
  <si>
    <t>Sep</t>
    <phoneticPr fontId="1"/>
  </si>
  <si>
    <t>/</t>
    <phoneticPr fontId="1"/>
  </si>
  <si>
    <t>-</t>
    <phoneticPr fontId="1"/>
  </si>
  <si>
    <t>+</t>
    <phoneticPr fontId="1"/>
  </si>
  <si>
    <t>_</t>
    <phoneticPr fontId="1"/>
  </si>
  <si>
    <t>G/G</t>
    <phoneticPr fontId="1"/>
  </si>
  <si>
    <t>c/</t>
    <phoneticPr fontId="1"/>
  </si>
  <si>
    <t>3)</t>
    <phoneticPr fontId="1"/>
  </si>
  <si>
    <t>SSRtoRelSize(Case, Ref)</t>
    <phoneticPr fontId="1"/>
  </si>
  <si>
    <t>=M2SNP(M)</t>
    <phoneticPr fontId="1"/>
  </si>
  <si>
    <t>B</t>
    <phoneticPr fontId="1"/>
  </si>
  <si>
    <t>H</t>
    <phoneticPr fontId="1"/>
  </si>
  <si>
    <t>U</t>
    <phoneticPr fontId="1"/>
  </si>
  <si>
    <t>AB</t>
    <phoneticPr fontId="1"/>
  </si>
  <si>
    <t>SSRDiff( SSR )</t>
    <phoneticPr fontId="1"/>
  </si>
  <si>
    <t>NormMC(M)</t>
    <phoneticPr fontId="1"/>
  </si>
  <si>
    <t>NormSNP(SNP)</t>
    <phoneticPr fontId="1"/>
  </si>
  <si>
    <t>NormSSR(SSR)</t>
    <phoneticPr fontId="1"/>
  </si>
  <si>
    <t>interpretSNP(REF, STRAND, CODE)</t>
    <phoneticPr fontId="1"/>
  </si>
  <si>
    <t>=interpretSNP(REF, STRAND, CODE)</t>
    <phoneticPr fontId="1"/>
  </si>
  <si>
    <t>Source:</t>
    <phoneticPr fontId="1"/>
  </si>
  <si>
    <t>Results</t>
    <phoneticPr fontId="1"/>
  </si>
  <si>
    <t>Illumina's single letter genotype format is an output format of GenomeStudio.</t>
    <phoneticPr fontId="1"/>
  </si>
  <si>
    <t>X</t>
    <phoneticPr fontId="1"/>
  </si>
  <si>
    <t>A code 'X' will be 'NN' SNP genotype.</t>
    <phoneticPr fontId="1"/>
  </si>
  <si>
    <t>Null string will also be 'NN' genotype.</t>
    <phoneticPr fontId="1"/>
  </si>
  <si>
    <t>=HMP2SNP(HMP)</t>
    <phoneticPr fontId="1"/>
  </si>
  <si>
    <t>HMP2SNP(HMP)</t>
    <phoneticPr fontId="1"/>
  </si>
  <si>
    <t>RightAllele</t>
    <phoneticPr fontId="1"/>
  </si>
  <si>
    <t>SNPRightAllele</t>
    <phoneticPr fontId="1"/>
  </si>
  <si>
    <t>=RightAllele(SSR)</t>
    <phoneticPr fontId="1"/>
  </si>
  <si>
    <t>=SNPRightAllele(SNP)</t>
    <phoneticPr fontId="1"/>
  </si>
  <si>
    <t>CA</t>
    <phoneticPr fontId="1"/>
  </si>
  <si>
    <t>90/100</t>
    <phoneticPr fontId="1"/>
  </si>
  <si>
    <t>100/90</t>
    <phoneticPr fontId="1"/>
  </si>
  <si>
    <t>120/90</t>
    <phoneticPr fontId="1"/>
  </si>
  <si>
    <t>B/A</t>
    <phoneticPr fontId="1"/>
  </si>
  <si>
    <t>Three allele format is allowed (but meaningless).</t>
    <phoneticPr fontId="1"/>
  </si>
  <si>
    <t>GAC</t>
    <phoneticPr fontId="1"/>
  </si>
  <si>
    <t>The allele is not sorted with their size.</t>
    <phoneticPr fontId="1"/>
  </si>
  <si>
    <t>LeftAllele</t>
    <phoneticPr fontId="1"/>
  </si>
  <si>
    <t>SNPLeftAllele</t>
    <phoneticPr fontId="1"/>
  </si>
  <si>
    <t>http://www.bioinformatics.org/sms/iupac.html</t>
  </si>
  <si>
    <t>IsHOMOZygous</t>
    <phoneticPr fontId="1"/>
  </si>
  <si>
    <t>SNPIsHOMOZygous</t>
    <phoneticPr fontId="1"/>
  </si>
  <si>
    <t>=IsHOMOZygous(SSR)</t>
    <phoneticPr fontId="1"/>
  </si>
  <si>
    <t>=SNPIsHOMOZygous(SNP)</t>
    <phoneticPr fontId="1"/>
  </si>
  <si>
    <t>90/90</t>
    <phoneticPr fontId="1"/>
  </si>
  <si>
    <t>C/C</t>
    <phoneticPr fontId="1"/>
  </si>
  <si>
    <t>Single allele is recognized as a homozygous genotype (see NormSSR/NormSNP)</t>
    <phoneticPr fontId="1"/>
  </si>
  <si>
    <t>Separator will be ignored</t>
    <phoneticPr fontId="1"/>
  </si>
  <si>
    <t>Homozygous genotype</t>
    <phoneticPr fontId="1"/>
  </si>
  <si>
    <t>Heterozygous genotype</t>
    <phoneticPr fontId="1"/>
  </si>
  <si>
    <t>IsSameSSR</t>
    <phoneticPr fontId="1"/>
  </si>
  <si>
    <t>SNPMatch</t>
    <phoneticPr fontId="1"/>
  </si>
  <si>
    <t>*1)</t>
    <phoneticPr fontId="1"/>
  </si>
  <si>
    <t>*2)</t>
    <phoneticPr fontId="1"/>
  </si>
  <si>
    <t>A/A</t>
    <phoneticPr fontId="1"/>
  </si>
  <si>
    <t>IsIncluded</t>
    <phoneticPr fontId="1"/>
  </si>
  <si>
    <t>SNPIsIncluded</t>
    <phoneticPr fontId="1"/>
  </si>
  <si>
    <t>=IsIncluded(SSR, Allele)</t>
    <phoneticPr fontId="1"/>
  </si>
  <si>
    <t>=SNPIsIncluded(SNP, Allele)</t>
    <phoneticPr fontId="1"/>
  </si>
  <si>
    <t>100/100</t>
    <phoneticPr fontId="1"/>
  </si>
  <si>
    <t>AC</t>
    <phoneticPr fontId="1"/>
  </si>
  <si>
    <t>CA</t>
    <phoneticPr fontId="1"/>
  </si>
  <si>
    <t>gc</t>
    <phoneticPr fontId="1"/>
  </si>
  <si>
    <t>g</t>
    <phoneticPr fontId="1"/>
  </si>
  <si>
    <t>100/110</t>
    <phoneticPr fontId="1"/>
  </si>
  <si>
    <t>110/110</t>
    <phoneticPr fontId="1"/>
  </si>
  <si>
    <t>IsIncluded/SNPIsIncluded functions will return 'TRUE' value when the designated SSR/SNP genotype contains a certain allele.</t>
    <phoneticPr fontId="1"/>
  </si>
  <si>
    <t>.</t>
    <phoneticPr fontId="1"/>
  </si>
  <si>
    <t>SSR</t>
    <phoneticPr fontId="1"/>
  </si>
  <si>
    <t>100/110/120</t>
    <phoneticPr fontId="1"/>
  </si>
  <si>
    <t>100/110/120/130</t>
    <phoneticPr fontId="1"/>
  </si>
  <si>
    <t>100/110/120/130/140</t>
    <phoneticPr fontId="1"/>
  </si>
  <si>
    <t>=SSRPloidy(SSR)</t>
    <phoneticPr fontId="1"/>
  </si>
  <si>
    <t>100/110//120/130</t>
    <phoneticPr fontId="1"/>
  </si>
  <si>
    <t>&lt;= The third allele is recognized as a null.</t>
    <phoneticPr fontId="1"/>
  </si>
  <si>
    <t>=LeftAllele(SSR)</t>
    <phoneticPr fontId="1"/>
  </si>
  <si>
    <t>=SNPLeftAllele(SNP)</t>
    <phoneticPr fontId="1"/>
  </si>
  <si>
    <t>G/A</t>
    <phoneticPr fontId="1"/>
  </si>
  <si>
    <t>CT</t>
    <phoneticPr fontId="1"/>
  </si>
  <si>
    <t>ACGT</t>
    <phoneticPr fontId="1"/>
  </si>
  <si>
    <t>=SSRAllele(SSR)</t>
    <phoneticPr fontId="1"/>
  </si>
  <si>
    <t>110/120</t>
    <phoneticPr fontId="1"/>
  </si>
  <si>
    <t>SNP</t>
    <phoneticPr fontId="1"/>
  </si>
  <si>
    <t>AG</t>
    <phoneticPr fontId="1"/>
  </si>
  <si>
    <t>SNPwithSEP(SNP, Sep)</t>
    <phoneticPr fontId="1"/>
  </si>
  <si>
    <t>=IsSameSSR(SSR1, SSR2, Diff)</t>
    <phoneticPr fontId="1"/>
  </si>
  <si>
    <t>=SNPIsHOMOZygous(SNP1, SNP2)</t>
    <phoneticPr fontId="1"/>
  </si>
  <si>
    <t>f.</t>
    <phoneticPr fontId="1"/>
  </si>
  <si>
    <t>g.</t>
    <phoneticPr fontId="1"/>
  </si>
  <si>
    <t>a.</t>
    <phoneticPr fontId="1"/>
  </si>
  <si>
    <t>b.</t>
    <phoneticPr fontId="1"/>
  </si>
  <si>
    <t>c.</t>
    <phoneticPr fontId="1"/>
  </si>
  <si>
    <t>d.</t>
    <phoneticPr fontId="1"/>
  </si>
  <si>
    <t>e.</t>
    <phoneticPr fontId="1"/>
  </si>
  <si>
    <t>MWillSegregate(Parent1, Parent2)</t>
    <phoneticPr fontId="1"/>
  </si>
  <si>
    <t>MSegregateType(Parent1, Parent2)</t>
    <phoneticPr fontId="1"/>
  </si>
  <si>
    <t>a.</t>
    <phoneticPr fontId="1"/>
  </si>
  <si>
    <t>b.</t>
    <phoneticPr fontId="1"/>
  </si>
  <si>
    <t>c.</t>
    <phoneticPr fontId="1"/>
  </si>
  <si>
    <t>d.</t>
    <phoneticPr fontId="1"/>
  </si>
  <si>
    <t>e.</t>
    <phoneticPr fontId="1"/>
  </si>
  <si>
    <t>Examine genotype identity</t>
  </si>
  <si>
    <t>Examine homozygosity</t>
  </si>
  <si>
    <t>f.</t>
    <phoneticPr fontId="1"/>
  </si>
  <si>
    <t>g.</t>
    <phoneticPr fontId="1"/>
  </si>
  <si>
    <t>b.</t>
    <phoneticPr fontId="1"/>
  </si>
  <si>
    <t>c.</t>
    <phoneticPr fontId="1"/>
  </si>
  <si>
    <t>c.</t>
    <phoneticPr fontId="1"/>
  </si>
  <si>
    <t>e.</t>
    <phoneticPr fontId="1"/>
  </si>
  <si>
    <t>b.</t>
    <phoneticPr fontId="1"/>
  </si>
  <si>
    <t>Unique alleles</t>
    <phoneticPr fontId="1"/>
  </si>
  <si>
    <t>Unique genotypes</t>
    <phoneticPr fontId="1"/>
  </si>
  <si>
    <t>100/100</t>
    <phoneticPr fontId="1"/>
  </si>
  <si>
    <t>a.</t>
    <phoneticPr fontId="1"/>
  </si>
  <si>
    <t>c.</t>
    <phoneticPr fontId="1"/>
  </si>
  <si>
    <t>c.</t>
    <phoneticPr fontId="1"/>
  </si>
  <si>
    <t>e.</t>
    <phoneticPr fontId="1"/>
  </si>
  <si>
    <t>f.</t>
    <phoneticPr fontId="1"/>
  </si>
  <si>
    <t>g.</t>
    <phoneticPr fontId="1"/>
  </si>
  <si>
    <t>h.</t>
    <phoneticPr fontId="1"/>
  </si>
  <si>
    <t>i.</t>
    <phoneticPr fontId="1"/>
  </si>
  <si>
    <t>j.</t>
    <phoneticPr fontId="1"/>
  </si>
  <si>
    <t>k.</t>
    <phoneticPr fontId="1"/>
  </si>
  <si>
    <t>d.</t>
    <phoneticPr fontId="1"/>
  </si>
  <si>
    <t>e.</t>
    <phoneticPr fontId="1"/>
  </si>
  <si>
    <t>Description</t>
    <phoneticPr fontId="1"/>
  </si>
  <si>
    <t>Example:</t>
    <phoneticPr fontId="1"/>
  </si>
  <si>
    <t>Remarks:</t>
    <phoneticPr fontId="1"/>
  </si>
  <si>
    <t>Summary of the allowed data types</t>
    <phoneticPr fontId="1"/>
  </si>
  <si>
    <t>Homozygous of A (AA)</t>
    <phoneticPr fontId="1"/>
  </si>
  <si>
    <t>Homozygous of B (BB)</t>
    <phoneticPr fontId="1"/>
  </si>
  <si>
    <t>Heterozygous of A and B (AB)</t>
    <phoneticPr fontId="1"/>
  </si>
  <si>
    <t>Homozygous of major allele (AA)</t>
    <phoneticPr fontId="1"/>
  </si>
  <si>
    <t>Homozygous of minor allele (BB)</t>
    <phoneticPr fontId="1"/>
  </si>
  <si>
    <t>Heterozygous of major and minor allele (AB)</t>
    <phoneticPr fontId="1"/>
  </si>
  <si>
    <t>BC1, F2 or else</t>
    <phoneticPr fontId="1"/>
  </si>
  <si>
    <t>Homozygous of T (TT)</t>
    <phoneticPr fontId="1"/>
  </si>
  <si>
    <t>Homozygous of G (GG)</t>
    <phoneticPr fontId="1"/>
  </si>
  <si>
    <t>Homozygous of C (CC)</t>
    <phoneticPr fontId="1"/>
  </si>
  <si>
    <t>Heterozygous of A and T (AT)</t>
    <phoneticPr fontId="1"/>
  </si>
  <si>
    <t>no data</t>
    <phoneticPr fontId="1"/>
  </si>
  <si>
    <t>Heterozygous of A and G (AG)</t>
    <phoneticPr fontId="1"/>
  </si>
  <si>
    <t>Heterozygous of A and C (AC)</t>
    <phoneticPr fontId="1"/>
  </si>
  <si>
    <t>Heterozygous of T and G (TG)</t>
    <phoneticPr fontId="1"/>
  </si>
  <si>
    <t>Heterozygous of T and C (TC)</t>
    <phoneticPr fontId="1"/>
  </si>
  <si>
    <t>Heterozygous of G and C (GC)</t>
    <phoneticPr fontId="1"/>
  </si>
  <si>
    <t>h.</t>
    <phoneticPr fontId="1"/>
  </si>
  <si>
    <t>TT</t>
    <phoneticPr fontId="1"/>
  </si>
  <si>
    <t>TT</t>
    <phoneticPr fontId="1"/>
  </si>
  <si>
    <t>Allele</t>
    <phoneticPr fontId="1"/>
  </si>
  <si>
    <t>A</t>
    <phoneticPr fontId="1"/>
  </si>
  <si>
    <t>C</t>
    <phoneticPr fontId="1"/>
  </si>
  <si>
    <t>G</t>
    <phoneticPr fontId="1"/>
  </si>
  <si>
    <t>T</t>
    <phoneticPr fontId="1"/>
  </si>
  <si>
    <t>b.</t>
    <phoneticPr fontId="1"/>
  </si>
  <si>
    <t>=SSRGTFreq(Region, allele)</t>
    <phoneticPr fontId="1"/>
  </si>
  <si>
    <t>=SNPAlleleFreq(Region, allele)</t>
    <phoneticPr fontId="1"/>
  </si>
  <si>
    <t>=SNPGTFreq(Region, allele)</t>
    <phoneticPr fontId="1"/>
  </si>
  <si>
    <t>AA</t>
    <phoneticPr fontId="1"/>
  </si>
  <si>
    <t>AC</t>
    <phoneticPr fontId="1"/>
  </si>
  <si>
    <t>AG</t>
    <phoneticPr fontId="1"/>
  </si>
  <si>
    <t>AT</t>
    <phoneticPr fontId="1"/>
  </si>
  <si>
    <t>CC</t>
    <phoneticPr fontId="1"/>
  </si>
  <si>
    <t>CG</t>
    <phoneticPr fontId="1"/>
  </si>
  <si>
    <t>CT</t>
    <phoneticPr fontId="1"/>
  </si>
  <si>
    <t>GG</t>
    <phoneticPr fontId="1"/>
  </si>
  <si>
    <t>TT</t>
    <phoneticPr fontId="1"/>
  </si>
  <si>
    <t>GT</t>
    <phoneticPr fontId="1"/>
  </si>
  <si>
    <t>=SSRHo(Region)</t>
    <phoneticPr fontId="1"/>
  </si>
  <si>
    <t>Ho</t>
    <phoneticPr fontId="1"/>
  </si>
  <si>
    <t>Genotype</t>
    <phoneticPr fontId="1"/>
  </si>
  <si>
    <t>Ho</t>
    <phoneticPr fontId="1"/>
  </si>
  <si>
    <t>=SNPHo(Region)</t>
    <phoneticPr fontId="1"/>
  </si>
  <si>
    <t>=SNPPIC(Region)</t>
    <phoneticPr fontId="1"/>
  </si>
  <si>
    <t>He</t>
    <phoneticPr fontId="1"/>
  </si>
  <si>
    <t>He</t>
    <phoneticPr fontId="1"/>
  </si>
  <si>
    <t>=SSRHZ(Region)</t>
    <phoneticPr fontId="1"/>
  </si>
  <si>
    <t>=SNPHZ(Region)</t>
    <phoneticPr fontId="1"/>
  </si>
  <si>
    <t>e.</t>
    <phoneticPr fontId="1"/>
  </si>
  <si>
    <t>PIC</t>
    <phoneticPr fontId="1"/>
  </si>
  <si>
    <t>=SSRPIC(Region)</t>
    <phoneticPr fontId="1"/>
  </si>
  <si>
    <t>f.</t>
    <phoneticPr fontId="1"/>
  </si>
  <si>
    <t>Match probability (PM)</t>
    <phoneticPr fontId="1"/>
  </si>
  <si>
    <t>PM</t>
    <phoneticPr fontId="1"/>
  </si>
  <si>
    <t>=SSRPM(Region)</t>
    <phoneticPr fontId="1"/>
  </si>
  <si>
    <t>=SNPPM(Region)</t>
    <phoneticPr fontId="1"/>
  </si>
  <si>
    <t>Power of discrimination (PD)</t>
    <phoneticPr fontId="1"/>
  </si>
  <si>
    <t>PD</t>
    <phoneticPr fontId="1"/>
  </si>
  <si>
    <t>PD</t>
    <phoneticPr fontId="1"/>
  </si>
  <si>
    <t>=SSRPD(Region)</t>
    <phoneticPr fontId="1"/>
  </si>
  <si>
    <t>=SNPPD(Region)</t>
    <phoneticPr fontId="1"/>
  </si>
  <si>
    <t>h.</t>
    <phoneticPr fontId="1"/>
  </si>
  <si>
    <t>=SSRGD(Region)</t>
    <phoneticPr fontId="1"/>
  </si>
  <si>
    <t>=SNPGD(Region)</t>
    <phoneticPr fontId="1"/>
  </si>
  <si>
    <t>i.</t>
    <phoneticPr fontId="1"/>
  </si>
  <si>
    <t>=SSRGD2(Region)</t>
    <phoneticPr fontId="1"/>
  </si>
  <si>
    <t>=SNPGD2(Region)</t>
    <phoneticPr fontId="1"/>
  </si>
  <si>
    <t>j.</t>
    <phoneticPr fontId="1"/>
  </si>
  <si>
    <t>GT to examine</t>
    <phoneticPr fontId="1"/>
  </si>
  <si>
    <t>fi =</t>
    <phoneticPr fontId="1"/>
  </si>
  <si>
    <t>k.</t>
    <phoneticPr fontId="1"/>
  </si>
  <si>
    <t>P1</t>
    <phoneticPr fontId="1"/>
  </si>
  <si>
    <t>N</t>
    <phoneticPr fontId="1"/>
  </si>
  <si>
    <t>Allele sharing test (single parent test)</t>
    <phoneticPr fontId="1"/>
  </si>
  <si>
    <t>=AlleleShared(SSR1, SSR2)</t>
    <phoneticPr fontId="1"/>
  </si>
  <si>
    <t>=SNPAlleleShared(SNP1, SNP2)</t>
    <phoneticPr fontId="1"/>
  </si>
  <si>
    <t>Trio test (family test)</t>
    <phoneticPr fontId="1"/>
  </si>
  <si>
    <t>=SNPIsChild(Child, Parent1, Parent2)</t>
    <phoneticPr fontId="1"/>
  </si>
  <si>
    <t>c.</t>
    <phoneticPr fontId="1"/>
  </si>
  <si>
    <t>Child</t>
    <phoneticPr fontId="1"/>
  </si>
  <si>
    <t>Alleged parent 1</t>
    <phoneticPr fontId="1"/>
  </si>
  <si>
    <t>Alleged parent 2</t>
    <phoneticPr fontId="1"/>
  </si>
  <si>
    <t>=SSRGTProbability</t>
    <phoneticPr fontId="1"/>
  </si>
  <si>
    <t>=SNPGTProbability</t>
    <phoneticPr fontId="1"/>
  </si>
  <si>
    <t>GG</t>
    <phoneticPr fontId="1"/>
  </si>
  <si>
    <t>Alleged parent</t>
    <phoneticPr fontId="1"/>
  </si>
  <si>
    <t>=SSRParentageProbability</t>
    <phoneticPr fontId="1"/>
  </si>
  <si>
    <t>See the Work Book for the details of these functions.</t>
    <phoneticPr fontId="1"/>
  </si>
  <si>
    <t>STEP 1</t>
    <phoneticPr fontId="1"/>
  </si>
  <si>
    <t>STEP 2</t>
    <phoneticPr fontId="1"/>
  </si>
  <si>
    <t>BC1 for the parent A</t>
    <phoneticPr fontId="1"/>
  </si>
  <si>
    <t>No segregation anticipated</t>
    <phoneticPr fontId="1"/>
  </si>
  <si>
    <t>BC1 for the parent B</t>
    <phoneticPr fontId="1"/>
  </si>
  <si>
    <t>STEP 3</t>
  </si>
  <si>
    <t>F2 dominant type segregation (not valid for conversion)</t>
    <phoneticPr fontId="1"/>
  </si>
  <si>
    <t>&lt;- FALSE will be returned though F1 segregation was anticipated.</t>
    <phoneticPr fontId="1"/>
  </si>
  <si>
    <t>&lt;- FALSE will be returned though F1 segregation was anticipated.</t>
    <phoneticPr fontId="1"/>
  </si>
  <si>
    <t>&lt;- FALSE will be returned due to inconsistency of child genotype.</t>
    <phoneticPr fontId="1"/>
  </si>
  <si>
    <t>288/288</t>
    <phoneticPr fontId="1"/>
  </si>
  <si>
    <t>288/301</t>
    <phoneticPr fontId="1"/>
  </si>
  <si>
    <t>288/301</t>
    <phoneticPr fontId="1"/>
  </si>
  <si>
    <t>288/288</t>
    <phoneticPr fontId="1"/>
  </si>
  <si>
    <t>114/114</t>
    <phoneticPr fontId="1"/>
  </si>
  <si>
    <t>112/120</t>
    <phoneticPr fontId="1"/>
  </si>
  <si>
    <t>112/112</t>
    <phoneticPr fontId="1"/>
  </si>
  <si>
    <t>f.</t>
    <phoneticPr fontId="1"/>
  </si>
  <si>
    <t>122/180</t>
    <phoneticPr fontId="1"/>
  </si>
  <si>
    <t>122/180</t>
    <phoneticPr fontId="1"/>
  </si>
  <si>
    <t>122/180</t>
    <phoneticPr fontId="1"/>
  </si>
  <si>
    <t>Sample 1</t>
    <phoneticPr fontId="1"/>
  </si>
  <si>
    <t>Marker 1</t>
    <phoneticPr fontId="1"/>
  </si>
  <si>
    <t>Marker 3</t>
  </si>
  <si>
    <t>Marker 6</t>
  </si>
  <si>
    <t>Marker 7</t>
  </si>
  <si>
    <t>Marker 8</t>
  </si>
  <si>
    <t>Marker 9</t>
  </si>
  <si>
    <t>Marker 10</t>
  </si>
  <si>
    <t>Marker 11</t>
  </si>
  <si>
    <t>Marker 2</t>
    <phoneticPr fontId="1"/>
  </si>
  <si>
    <t>Marker 12</t>
    <phoneticPr fontId="1"/>
  </si>
  <si>
    <t>130/130</t>
    <phoneticPr fontId="1"/>
  </si>
  <si>
    <t>112/112</t>
    <phoneticPr fontId="1"/>
  </si>
  <si>
    <t>122/122</t>
    <phoneticPr fontId="1"/>
  </si>
  <si>
    <t>150/150</t>
    <phoneticPr fontId="1"/>
  </si>
  <si>
    <t>110/110</t>
    <phoneticPr fontId="1"/>
  </si>
  <si>
    <t>160/160</t>
    <phoneticPr fontId="1"/>
  </si>
  <si>
    <t>100/100</t>
    <phoneticPr fontId="1"/>
  </si>
  <si>
    <t>100/110</t>
    <phoneticPr fontId="1"/>
  </si>
  <si>
    <t>105/120</t>
    <phoneticPr fontId="1"/>
  </si>
  <si>
    <t>Sample 1-2</t>
    <phoneticPr fontId="1"/>
  </si>
  <si>
    <t>Sample 1-3</t>
    <phoneticPr fontId="1"/>
  </si>
  <si>
    <t>Sample 2-3</t>
    <phoneticPr fontId="1"/>
  </si>
  <si>
    <t>180/180</t>
    <phoneticPr fontId="1"/>
  </si>
  <si>
    <t>TG</t>
    <phoneticPr fontId="1"/>
  </si>
  <si>
    <t>CC</t>
    <phoneticPr fontId="1"/>
  </si>
  <si>
    <t>CT</t>
    <phoneticPr fontId="1"/>
  </si>
  <si>
    <t>TT</t>
    <phoneticPr fontId="1"/>
  </si>
  <si>
    <t>CG</t>
    <phoneticPr fontId="1"/>
  </si>
  <si>
    <t>AT</t>
    <phoneticPr fontId="1"/>
  </si>
  <si>
    <t>GG</t>
    <phoneticPr fontId="1"/>
  </si>
  <si>
    <t>AA</t>
    <phoneticPr fontId="1"/>
  </si>
  <si>
    <t>AC</t>
    <phoneticPr fontId="1"/>
  </si>
  <si>
    <t>CC</t>
    <phoneticPr fontId="1"/>
  </si>
  <si>
    <t>CC</t>
    <phoneticPr fontId="1"/>
  </si>
  <si>
    <t>TG</t>
    <phoneticPr fontId="1"/>
  </si>
  <si>
    <t>TC</t>
    <phoneticPr fontId="1"/>
  </si>
  <si>
    <t>CG</t>
    <phoneticPr fontId="1"/>
  </si>
  <si>
    <t>GG</t>
    <phoneticPr fontId="1"/>
  </si>
  <si>
    <t>C</t>
    <phoneticPr fontId="1"/>
  </si>
  <si>
    <t>A</t>
    <phoneticPr fontId="1"/>
  </si>
  <si>
    <t>H</t>
    <phoneticPr fontId="1"/>
  </si>
  <si>
    <t>B</t>
    <phoneticPr fontId="1"/>
  </si>
  <si>
    <t>A</t>
    <phoneticPr fontId="1"/>
  </si>
  <si>
    <t>A</t>
    <phoneticPr fontId="1"/>
  </si>
  <si>
    <t>T</t>
    <phoneticPr fontId="1"/>
  </si>
  <si>
    <t>T</t>
    <phoneticPr fontId="1"/>
  </si>
  <si>
    <t>C</t>
    <phoneticPr fontId="1"/>
  </si>
  <si>
    <t>C</t>
    <phoneticPr fontId="1"/>
  </si>
  <si>
    <t>Simple sequence repeat (aka. short tandem repeat; STR)</t>
    <phoneticPr fontId="1"/>
  </si>
  <si>
    <t>Single nucleotide polymorphism</t>
    <phoneticPr fontId="1"/>
  </si>
  <si>
    <t>The smaller allele will be sorted to the left side for an SSR genotype. A single allele will be converted to a homozygous genotype. Extra spaces will be removed.</t>
    <phoneticPr fontId="1"/>
  </si>
  <si>
    <t xml:space="preserve">A small character will be capitalized; the initial character will be selected from multiple characters, and the </t>
    <phoneticPr fontId="1"/>
  </si>
  <si>
    <t>remaining letters will be discarded. A numeric value or ‘Null’ is not allowed, in which case, an 'X' will be returned.</t>
    <phoneticPr fontId="1"/>
  </si>
  <si>
    <t>Small letter is converted to large letter.</t>
    <phoneticPr fontId="1"/>
  </si>
  <si>
    <t>Small letter is converted to large letter.</t>
    <phoneticPr fontId="1"/>
  </si>
  <si>
    <t>Separator string is removed.</t>
    <phoneticPr fontId="1"/>
  </si>
  <si>
    <t>The order of each allele is sorted according to their alphabetical order.</t>
    <phoneticPr fontId="1"/>
  </si>
  <si>
    <t>Null string returns null string.</t>
    <phoneticPr fontId="1"/>
  </si>
  <si>
    <t>Nothing was changed because the designated string was already formatted.</t>
    <phoneticPr fontId="1"/>
  </si>
  <si>
    <t>The order of each allele is sorted according to their size (the left should be smaller than the right)</t>
    <phoneticPr fontId="1"/>
  </si>
  <si>
    <t>Null string returns null genotype.</t>
    <phoneticPr fontId="1"/>
  </si>
  <si>
    <t>Converts alleles of an SSR genotype to the relative values against the reference genotype.</t>
    <phoneticPr fontId="1"/>
  </si>
  <si>
    <t>Converts a single-letter genotype (M) to an SNP-like two-letter genotype (AA, AB, or BB).</t>
    <phoneticPr fontId="1"/>
  </si>
  <si>
    <t>Obtain allele size difference of an SSR marker</t>
    <phoneticPr fontId="1"/>
  </si>
  <si>
    <t>Convert HapMap's single-letter genotype to an SNP genotype</t>
    <phoneticPr fontId="1"/>
  </si>
  <si>
    <t>This function converts the single-letter genotype of HapMap style to a two-letter SNP genotype according to IUPAC format.</t>
    <phoneticPr fontId="1"/>
  </si>
  <si>
    <t>These functions examine the homozygosity of a designated genotype and return the result as a Boolean value</t>
    <phoneticPr fontId="1"/>
  </si>
  <si>
    <t>(‘True’ will be returned when a designated genotype is homozygous; ‘False’ when heterozygous).</t>
    <phoneticPr fontId="1"/>
  </si>
  <si>
    <t>These functions examine whether a designated allele is included in the SSR or SNP genotype. The argument should be the allele, not the genotype.</t>
    <phoneticPr fontId="1"/>
  </si>
  <si>
    <t>This function estimates the ploidy of an SSR genotype from the number of separators in the genotype.</t>
    <phoneticPr fontId="1"/>
  </si>
  <si>
    <t>This function is available for an SSR genotype. The slash is used as the separator.</t>
    <phoneticPr fontId="1"/>
  </si>
  <si>
    <t>Split genotype into alleles</t>
    <phoneticPr fontId="1"/>
  </si>
  <si>
    <t>These functions split an SSR or SNP genotype into its individual alleles and then return each allele into separate cells.</t>
    <phoneticPr fontId="1"/>
  </si>
  <si>
    <t>The split allele will be returned as array formulas; therefore, the user should assign cells to store each allele when using these functions.</t>
    <phoneticPr fontId="1"/>
  </si>
  <si>
    <t>These functions are available for SSR or SNP genotypes.</t>
    <phoneticPr fontId="1"/>
  </si>
  <si>
    <t>These functions compare the genotypes in two designated regions pairwisely and then return the ratio of the matched genotypes in the region.</t>
    <phoneticPr fontId="1"/>
  </si>
  <si>
    <t>‘Zero’ will be returned when the sizes of the designated regions are not identical.</t>
    <phoneticPr fontId="1"/>
  </si>
  <si>
    <t>Shared Ratio</t>
    <phoneticPr fontId="1"/>
  </si>
  <si>
    <t>=SNPSharedRatio(region1, region2)</t>
    <phoneticPr fontId="1"/>
  </si>
  <si>
    <t>=SSRSharedRatio(region1, region2)</t>
    <phoneticPr fontId="1"/>
  </si>
  <si>
    <t>=MSharedRatio(region1, region2)</t>
    <phoneticPr fontId="1"/>
  </si>
  <si>
    <t>=MMatchedRatio(region1, region2)</t>
    <phoneticPr fontId="1"/>
  </si>
  <si>
    <t>=MatchedRatio(region1, region2)</t>
    <phoneticPr fontId="1"/>
  </si>
  <si>
    <t>=SNPMatchedRatio(region1, region2)</t>
    <phoneticPr fontId="1"/>
  </si>
  <si>
    <t>=SSRMatchedRatio(region1, region2)</t>
    <phoneticPr fontId="1"/>
  </si>
  <si>
    <t>GD</t>
    <phoneticPr fontId="1"/>
  </si>
  <si>
    <t>These functions return the expected heterozygosity  for a random cross population (GD) with a set of genotypes in a designated region.</t>
    <phoneticPr fontId="1"/>
  </si>
  <si>
    <t>These functions return the unbiased expected heterozygosity for a selfed population (GD2) with a set of genotypes in a designated region.</t>
    <phoneticPr fontId="1"/>
  </si>
  <si>
    <t>GD2</t>
    <phoneticPr fontId="1"/>
  </si>
  <si>
    <t>GD2</t>
    <phoneticPr fontId="1"/>
  </si>
  <si>
    <t>=SNPParentageProbability</t>
    <phoneticPr fontId="1"/>
  </si>
  <si>
    <t>=SNPAllele(SNP)</t>
    <phoneticPr fontId="1"/>
  </si>
  <si>
    <t>SSR genotype</t>
    <phoneticPr fontId="1"/>
  </si>
  <si>
    <t>SNP genotype</t>
    <phoneticPr fontId="1"/>
  </si>
  <si>
    <t>Two integer values combined with a separator (a slash is used for the separator).</t>
    <phoneticPr fontId="1"/>
  </si>
  <si>
    <t>The separator (a slash in default) is optional, and it will be ignored.</t>
    <phoneticPr fontId="1"/>
  </si>
  <si>
    <t>Any length of characters is acceptable, but the initial two letters are valid for the evaluation except for the ‘SNPAllele’ function.</t>
    <phoneticPr fontId="1"/>
  </si>
  <si>
    <t>A single-letter genotype for MapMaker/JoinMap (A/B/H)</t>
    <phoneticPr fontId="1"/>
  </si>
  <si>
    <t>CODE</t>
    <phoneticPr fontId="1"/>
  </si>
  <si>
    <t>A single letter genotype for the simplified SNP used in Illumina Genome Studio or else.</t>
    <phoneticPr fontId="1"/>
  </si>
  <si>
    <t>Seg</t>
    <phoneticPr fontId="1"/>
  </si>
  <si>
    <t>HMP is a single-letter genotype code for HapMap project</t>
    <phoneticPr fontId="1"/>
  </si>
  <si>
    <t>Numeric</t>
    <phoneticPr fontId="1"/>
  </si>
  <si>
    <t>Allowed difference for SSR matching, or returned value of various functions</t>
    <phoneticPr fontId="1"/>
  </si>
  <si>
    <t>TRUE' or 'FALSE'</t>
    <phoneticPr fontId="1"/>
  </si>
  <si>
    <t>Segregation mode for MapMaker/JoinMap</t>
    <phoneticPr fontId="1"/>
  </si>
  <si>
    <t>A single-letter genotype code for HapMap project</t>
    <phoneticPr fontId="1"/>
  </si>
  <si>
    <t>A single-letter genotype for MapMaker/JoinMap</t>
    <phoneticPr fontId="1"/>
  </si>
  <si>
    <t>CODE</t>
    <phoneticPr fontId="1"/>
  </si>
  <si>
    <t>A single-letter genotype for the simplified SNP used in Illumina Genome Studio or else</t>
    <phoneticPr fontId="1"/>
  </si>
  <si>
    <t>Allowed difference for SSR matching, or returned value of various functions</t>
    <phoneticPr fontId="1"/>
  </si>
  <si>
    <t>‘True’ or ‘False’</t>
    <phoneticPr fontId="1"/>
  </si>
  <si>
    <t>O: Available for input data, output data, or both.</t>
    <phoneticPr fontId="1"/>
  </si>
  <si>
    <t>-: Not available for input data or output data.</t>
    <phoneticPr fontId="1"/>
  </si>
  <si>
    <t>The separator (a slash in default) will be removed, and then the alleles will be sorted according to alphabetical order. All small letters will be capitalized.</t>
    <phoneticPr fontId="1"/>
  </si>
  <si>
    <t>The first character is recognized to the valid code.</t>
    <phoneticPr fontId="1"/>
  </si>
  <si>
    <t>M2SNP(M)</t>
    <phoneticPr fontId="1"/>
  </si>
  <si>
    <t>Data conversion</t>
    <phoneticPr fontId="1"/>
  </si>
  <si>
    <t>Convert Illumina's single-letter genotype to an SNP genotype</t>
    <phoneticPr fontId="1"/>
  </si>
  <si>
    <t xml:space="preserve">Ref.   </t>
    <phoneticPr fontId="1"/>
  </si>
  <si>
    <t>http://www.illumina.com/documents/products/technotes/technote_topbot.pdf</t>
    <phoneticPr fontId="1"/>
  </si>
  <si>
    <t>These functions do not sort the alleles before evaluation (See ‘Normalize genotype data’ section).</t>
    <phoneticPr fontId="1"/>
  </si>
  <si>
    <t>The allele is not sorted according to their alphabetical order.</t>
    <phoneticPr fontId="1"/>
  </si>
  <si>
    <t>The 'Right-side' means the second character from the left-side.</t>
    <phoneticPr fontId="1"/>
  </si>
  <si>
    <t>The separator will be ignored.</t>
    <phoneticPr fontId="1"/>
  </si>
  <si>
    <t>These functions examine whether the two designated SSR or SNP genotypes are identical and then return the result as a Boolean value.</t>
    <phoneticPr fontId="1"/>
  </si>
  <si>
    <t>These functions find a shared allele between two genotypes and then return the shared allele found.</t>
    <phoneticPr fontId="1"/>
  </si>
  <si>
    <t>If no allele is shared, ‘0’ (SSR) or ‘Null’ (SNP) will be returned.</t>
    <phoneticPr fontId="1"/>
  </si>
  <si>
    <t>When both alleles are shared, the left-side allele will be returned.</t>
    <phoneticPr fontId="1"/>
  </si>
  <si>
    <t>These functions convert the raw genotype of offspring for the CP mode of JoinMap.</t>
    <phoneticPr fontId="1"/>
  </si>
  <si>
    <t>These functions convert the raw genotype of offspring for the BC1 mode of JoinMap.</t>
    <phoneticPr fontId="1"/>
  </si>
  <si>
    <t>These functions convert the raw genotype of offspring for the F2 mode of JoinMap.</t>
    <phoneticPr fontId="1"/>
  </si>
  <si>
    <t>This function estimates the segregation of two, M-formatted parental genotypes among their offspring.</t>
    <phoneticPr fontId="1"/>
  </si>
  <si>
    <t>This function converts the raw genotype of an M-formatted offspring's genotype to a BC1- or F2-style genotype.</t>
    <phoneticPr fontId="1"/>
  </si>
  <si>
    <t>Offspring</t>
    <phoneticPr fontId="1"/>
  </si>
  <si>
    <t>Parent 1</t>
    <phoneticPr fontId="1"/>
  </si>
  <si>
    <t>Parent 2</t>
    <phoneticPr fontId="1"/>
  </si>
  <si>
    <t>STEP 2</t>
    <phoneticPr fontId="1"/>
  </si>
  <si>
    <t>STEP 1</t>
    <phoneticPr fontId="1"/>
  </si>
  <si>
    <t>Estimate the segregation mode of two parental genotypes according to BC1 or F2 mode</t>
    <phoneticPr fontId="1"/>
  </si>
  <si>
    <t>Examine whether M formatted genotype will segregate</t>
    <phoneticPr fontId="1"/>
  </si>
  <si>
    <t>Samples</t>
    <phoneticPr fontId="1"/>
  </si>
  <si>
    <t>These functions return the number of unique alleles in a designated region.</t>
    <phoneticPr fontId="1"/>
  </si>
  <si>
    <t>These functions return the number of unique genotypes in a designated region.</t>
    <phoneticPr fontId="1"/>
  </si>
  <si>
    <t>A ‘Null’ will be returned when the assigned index exceeds the maximum number of alleles.</t>
    <phoneticPr fontId="1"/>
  </si>
  <si>
    <t>‘Null’ will be returned when the assigned index exceeds the maximum number of genotypes.</t>
    <phoneticPr fontId="1"/>
  </si>
  <si>
    <t>DNA markers</t>
    <phoneticPr fontId="1"/>
  </si>
  <si>
    <t>These functions compare each allele in two designated regions pairwisely and then return a value for the ratio of the matched alleles in the region.</t>
    <phoneticPr fontId="1"/>
  </si>
  <si>
    <t>‘Zero’ will be returned when the sizes of the designated regions are not identical.</t>
    <phoneticPr fontId="1"/>
  </si>
  <si>
    <t>These functions return the frequency of a particular allele from a set of genotype data in a designated region.</t>
    <phoneticPr fontId="1"/>
  </si>
  <si>
    <t>‘Zero’ will be returned when the assigned allele is not observed in the region.</t>
    <phoneticPr fontId="1"/>
  </si>
  <si>
    <t>These functions return the frequency of a particular genotype from a set of genotype data in a designated region.</t>
    <phoneticPr fontId="1"/>
  </si>
  <si>
    <t>‘Zero’ will be returned when the assigned allele is not observed in the region.</t>
    <phoneticPr fontId="1"/>
  </si>
  <si>
    <t>These functions estimate the observed heterozygosity for a set of genotypes in a designated region.</t>
    <phoneticPr fontId="1"/>
  </si>
  <si>
    <t>These functions estimate the expected heterozygosity for a set of genotypes in a designated region.</t>
    <phoneticPr fontId="1"/>
  </si>
  <si>
    <t>These functions estimate the polymorphic information content (PIC) of a marker from a set of marker genotypes in a designated region.</t>
    <phoneticPr fontId="1"/>
  </si>
  <si>
    <t>PIC is the probability that each allele of an offspring can be inferred to be derived from either of the parents.</t>
    <phoneticPr fontId="1"/>
  </si>
  <si>
    <t>These functions estimate the match probability (PM) for a set of genotypes in a designated region.</t>
    <phoneticPr fontId="1"/>
  </si>
  <si>
    <t>PM is the probability that the two randomly selected individuals will have identical genotypes.</t>
    <phoneticPr fontId="1"/>
  </si>
  <si>
    <t>These functions estimate the power of discrimination (PD) for a set of genotypes in a designated region.</t>
    <phoneticPr fontId="1"/>
  </si>
  <si>
    <t>PD is the probability that the two randomly selected individuals will have a different genotype.</t>
    <phoneticPr fontId="1"/>
  </si>
  <si>
    <t>See the usage in below section for estimating the probability.</t>
    <phoneticPr fontId="1"/>
  </si>
  <si>
    <t>This function returns a direct product for the particular genotypes in a population (f0) that are estimated separately according to Ukai [3].</t>
    <phoneticPr fontId="1"/>
  </si>
  <si>
    <t>The obtained f0 value is then provided to estimate the probability P1 according to the theory by Ukai that indicates a randomly selected individual will give the same genotype set.</t>
    <phoneticPr fontId="1"/>
  </si>
  <si>
    <t>This function returns the probability of a randomly selected individual being identical in genotype to a particular individual in a population.</t>
    <phoneticPr fontId="1"/>
  </si>
  <si>
    <t>This probability is estimated from the direct power for the particular genotypes in a population (f0) obtained separately with the ‘Ukaif0’ function.</t>
    <phoneticPr fontId="1"/>
  </si>
  <si>
    <t>The P1 value is obtained according to the theory by Ukai [3].</t>
    <phoneticPr fontId="1"/>
  </si>
  <si>
    <t>These functions examine whether two genotypes share the same allele and then return the result as a Boolean value (single parent test).</t>
    <phoneticPr fontId="1"/>
  </si>
  <si>
    <t>The value will be ‘True’ when two genotypes share at least one allele or ‘False’ when nothing is shared between them.</t>
    <phoneticPr fontId="1"/>
  </si>
  <si>
    <t>The value will be ‘True’ when the given genotype is consistent with being an offspring of the parents or ‘False’</t>
    <phoneticPr fontId="1"/>
  </si>
  <si>
    <t>when the genotypes are inconsistent with belonging to a family.</t>
    <phoneticPr fontId="1"/>
  </si>
  <si>
    <t>Probability of obtaining a particular offspring from parents, T(g0|gm, ga)</t>
    <phoneticPr fontId="1"/>
  </si>
  <si>
    <t>These functions return the probability of obtaining offspring with particular genotypes from two parental individuals for which their genotypes are known.</t>
    <phoneticPr fontId="1"/>
  </si>
  <si>
    <t>The result will be ‘0’, ‘0.25’, ‘0.5’, ‘0.75’, or ‘1’ according to their genotypes.</t>
    <phoneticPr fontId="1"/>
  </si>
  <si>
    <t>These functions return the probability of obtaining offspring of a particular genotype from the random mating of a designated population.</t>
    <phoneticPr fontId="1"/>
  </si>
  <si>
    <t>These functions estimate the P(go) of Marshall (1998) [4].</t>
    <phoneticPr fontId="1"/>
  </si>
  <si>
    <t>Probability of obtaining a particular offspring from an individual of the population and an alleged parent</t>
    <phoneticPr fontId="1"/>
  </si>
  <si>
    <t>These functions estimate the probability of obtaining offspring with a particular genotype from an alleged parent and a randomly selected</t>
    <phoneticPr fontId="1"/>
  </si>
  <si>
    <t>alleged single parent in a population that is defined by the region. These functions estimate the T(g0|gm) of Marshall (1998) [4].</t>
    <phoneticPr fontId="1"/>
  </si>
  <si>
    <t>CP genotype</t>
    <phoneticPr fontId="1"/>
  </si>
  <si>
    <t>CC</t>
    <phoneticPr fontId="1"/>
  </si>
  <si>
    <t>288/301</t>
    <phoneticPr fontId="1"/>
  </si>
  <si>
    <t>AA</t>
    <phoneticPr fontId="1"/>
  </si>
  <si>
    <t>CG</t>
    <phoneticPr fontId="1"/>
  </si>
  <si>
    <t>GG</t>
    <phoneticPr fontId="1"/>
  </si>
  <si>
    <t>Allele</t>
  </si>
  <si>
    <t>Polymorphic information content (PIC)</t>
    <phoneticPr fontId="1"/>
  </si>
  <si>
    <t>Unbiased estimator of expected heterozygosity for a random population (GD)</t>
    <phoneticPr fontId="1"/>
  </si>
  <si>
    <t>Unbiased estimator of expected heterozygosity for a selfed population (GD2)</t>
    <phoneticPr fontId="1"/>
  </si>
  <si>
    <t xml:space="preserve">Direct product of genotype frequency (f0) according to Ukai’s theory of varietal identification </t>
    <phoneticPr fontId="1"/>
  </si>
  <si>
    <t>Probability that a randomly selected individual will show a genotype identical to a particular individual</t>
    <phoneticPr fontId="1"/>
  </si>
  <si>
    <t>O</t>
    <phoneticPr fontId="1"/>
  </si>
  <si>
    <t>Probability of obtaining a particular offspring from a random mating population</t>
    <phoneticPr fontId="1"/>
  </si>
  <si>
    <t>SSR</t>
  </si>
  <si>
    <t>SNP</t>
  </si>
  <si>
    <t>Converts SNP genotype without a separator to the genotype with a separator.</t>
    <phoneticPr fontId="1"/>
  </si>
  <si>
    <t>This function converts Illumina's single-letter SNP-format for a two-letter SNP genotype by referring to the reference nucleotide and strand data.</t>
    <phoneticPr fontId="1"/>
  </si>
  <si>
    <r>
      <rPr>
        <u/>
        <sz val="11"/>
        <color rgb="FFFF0000"/>
        <rFont val="Arial"/>
        <family val="2"/>
      </rPr>
      <t>Convert HapMap's single-letter genotype to an SNP genotype</t>
    </r>
    <r>
      <rPr>
        <sz val="11"/>
        <color rgb="FFFF0000"/>
        <rFont val="Arial"/>
        <family val="2"/>
      </rPr>
      <t xml:space="preserve">
</t>
    </r>
    <r>
      <rPr>
        <sz val="11"/>
        <color theme="1"/>
        <rFont val="Arial"/>
        <family val="2"/>
      </rPr>
      <t xml:space="preserve">This function converts the single-letter genotype of HapMap style to a two-letter SNP genotype according to IUPAC format.
</t>
    </r>
    <phoneticPr fontId="1"/>
  </si>
  <si>
    <r>
      <rPr>
        <u/>
        <sz val="11"/>
        <color rgb="FFFF0000"/>
        <rFont val="Arial"/>
        <family val="2"/>
      </rPr>
      <t>Examine homozygosity</t>
    </r>
    <r>
      <rPr>
        <sz val="11"/>
        <color rgb="FFFF0000"/>
        <rFont val="Arial"/>
        <family val="2"/>
      </rPr>
      <t xml:space="preserve">
</t>
    </r>
    <r>
      <rPr>
        <sz val="11"/>
        <color theme="1"/>
        <rFont val="Arial"/>
        <family val="2"/>
      </rPr>
      <t>These functions examine the homozygosity of a designated genotype and return the result as a Boolean value.</t>
    </r>
    <phoneticPr fontId="1"/>
  </si>
  <si>
    <r>
      <rPr>
        <u/>
        <sz val="11"/>
        <color rgb="FFFF0000"/>
        <rFont val="Arial"/>
        <family val="2"/>
      </rPr>
      <t>Split genotype into alleles</t>
    </r>
    <r>
      <rPr>
        <sz val="11"/>
        <color rgb="FFFF0000"/>
        <rFont val="Arial"/>
        <family val="2"/>
      </rPr>
      <t xml:space="preserve">
</t>
    </r>
    <r>
      <rPr>
        <sz val="11"/>
        <rFont val="Arial"/>
        <family val="2"/>
      </rPr>
      <t xml:space="preserve">These functions split an SSR or SNP genotype into its individual alleles and then return each allele into separate cells. The split allele will be returned as array formulas; therefore, the user should assign cells to store each allele when using these functions (specify a region to retrieve the returned array, enter the formula, then press Ctrl + Shift + Enter at once).
</t>
    </r>
    <phoneticPr fontId="1"/>
  </si>
  <si>
    <r>
      <rPr>
        <u/>
        <sz val="11"/>
        <color rgb="FFFF0000"/>
        <rFont val="Arial"/>
        <family val="2"/>
      </rPr>
      <t>Observed heterozygosity (</t>
    </r>
    <r>
      <rPr>
        <i/>
        <u/>
        <sz val="11"/>
        <color rgb="FFFF0000"/>
        <rFont val="Arial"/>
        <family val="2"/>
      </rPr>
      <t>Ho</t>
    </r>
    <r>
      <rPr>
        <u/>
        <sz val="11"/>
        <color rgb="FFFF0000"/>
        <rFont val="Arial"/>
        <family val="2"/>
      </rPr>
      <t xml:space="preserve">)
</t>
    </r>
    <r>
      <rPr>
        <sz val="11"/>
        <color theme="1"/>
        <rFont val="Arial"/>
        <family val="2"/>
      </rPr>
      <t xml:space="preserve">These functions estimate the observed heterozygosity for a set of genotypes in a designated region. This </t>
    </r>
    <r>
      <rPr>
        <i/>
        <sz val="11"/>
        <color theme="1"/>
        <rFont val="Arial"/>
        <family val="2"/>
      </rPr>
      <t>Ho</t>
    </r>
    <r>
      <rPr>
        <sz val="11"/>
        <color theme="1"/>
        <rFont val="Arial"/>
        <family val="2"/>
      </rPr>
      <t xml:space="preserve"> represents the ratio of the heterozygous genotypes in the region.
</t>
    </r>
    <phoneticPr fontId="1"/>
  </si>
  <si>
    <r>
      <rPr>
        <u/>
        <sz val="11"/>
        <color rgb="FFFF0000"/>
        <rFont val="Arial"/>
        <family val="2"/>
      </rPr>
      <t>Expected heterogyzosity (</t>
    </r>
    <r>
      <rPr>
        <i/>
        <u/>
        <sz val="11"/>
        <color rgb="FFFF0000"/>
        <rFont val="Arial"/>
        <family val="2"/>
      </rPr>
      <t>He</t>
    </r>
    <r>
      <rPr>
        <u/>
        <sz val="11"/>
        <color rgb="FFFF0000"/>
        <rFont val="Arial"/>
        <family val="2"/>
      </rPr>
      <t>)</t>
    </r>
    <r>
      <rPr>
        <sz val="11"/>
        <color theme="1"/>
        <rFont val="Arial"/>
        <family val="2"/>
      </rPr>
      <t xml:space="preserve">
These functions estimate the expected heterozygosity for a set of genotypes in a designated region.
</t>
    </r>
    <phoneticPr fontId="1"/>
  </si>
  <si>
    <r>
      <rPr>
        <u/>
        <sz val="11"/>
        <color rgb="FFFF0000"/>
        <rFont val="Arial"/>
        <family val="2"/>
      </rPr>
      <t>Polymorphic information content (PIC)</t>
    </r>
    <r>
      <rPr>
        <sz val="11"/>
        <color theme="1"/>
        <rFont val="Arial"/>
        <family val="2"/>
      </rPr>
      <t xml:space="preserve">
These functions estimate the polymorphic information content (PIC) of a marker from a set of marker genotypes in a designated region.
</t>
    </r>
    <phoneticPr fontId="1"/>
  </si>
  <si>
    <r>
      <rPr>
        <u/>
        <sz val="11"/>
        <color rgb="FFFF0000"/>
        <rFont val="Arial"/>
        <family val="2"/>
      </rPr>
      <t>Unbiased estimator of expected heterozygosity for a random population (GD)</t>
    </r>
    <r>
      <rPr>
        <sz val="11"/>
        <color theme="1"/>
        <rFont val="Arial"/>
        <family val="2"/>
      </rPr>
      <t xml:space="preserve">
These functions return the expected heterozygosity for a random cross population (GD) with a set of genotypes in a designated region.
</t>
    </r>
    <phoneticPr fontId="1"/>
  </si>
  <si>
    <r>
      <rPr>
        <u/>
        <sz val="11"/>
        <color rgb="FFFF0000"/>
        <rFont val="Arial"/>
        <family val="2"/>
      </rPr>
      <t>Direct product of genotype frequency (f0) according to Ukai’s theory of varietal identification</t>
    </r>
    <r>
      <rPr>
        <sz val="11"/>
        <color theme="1"/>
        <rFont val="Arial"/>
        <family val="2"/>
      </rPr>
      <t xml:space="preserve">
f0 = Π fi (i=1 to n)
This function returns a direct product for the particular genotypes in a population (f0) that are estimated separately according to Ukai [3]. The obtained f0 value is then provided to estimate the probability P1 according to the theory by Ukai that indicates a randomly selected individual will give the same genotype set.
</t>
    </r>
    <phoneticPr fontId="1"/>
  </si>
  <si>
    <t>NormSSR(SSR)
&gt; normarlized SSR genotype</t>
    <phoneticPr fontId="1"/>
  </si>
  <si>
    <t>NormSNP(SNP)
&gt; normarlized SNP genotype</t>
    <phoneticPr fontId="1"/>
  </si>
  <si>
    <t>NormMC(M)
&gt; normarlized M genotype</t>
    <phoneticPr fontId="1"/>
  </si>
  <si>
    <t>interpretSNP(REF, STRAND, CODE)
&gt; SNP genotype</t>
    <phoneticPr fontId="1"/>
  </si>
  <si>
    <t>HMP2SNP(HMP)
&gt; SNP genotype</t>
    <phoneticPr fontId="1"/>
  </si>
  <si>
    <t>SNPLeftAllele(SNP)
&gt; SNP allele</t>
    <phoneticPr fontId="1"/>
  </si>
  <si>
    <t>SNPRightAllele(SNP)
&gt; SNP allele</t>
    <phoneticPr fontId="1"/>
  </si>
  <si>
    <t>RightAllele(SSR)
&gt; SSR allele</t>
    <phoneticPr fontId="1"/>
  </si>
  <si>
    <t>LeftAllele(SSR)
&gt; SSR allele</t>
    <phoneticPr fontId="1"/>
  </si>
  <si>
    <t>IsHOMOZygous(SSR)
&gt; Boolean</t>
    <phoneticPr fontId="1"/>
  </si>
  <si>
    <t>SNPIsHOMOzygous(SNP)
&gt; Boolean</t>
    <phoneticPr fontId="1"/>
  </si>
  <si>
    <t>SNPMatch(SNP1, SNP2)
&gt; Boolean</t>
    <phoneticPr fontId="1"/>
  </si>
  <si>
    <t>IsIncluded(SSR, allele)
&gt; Boolean</t>
    <phoneticPr fontId="1"/>
  </si>
  <si>
    <t>SNPIsIncluded(SNP, allele)
&gt; Boolean</t>
    <phoneticPr fontId="1"/>
  </si>
  <si>
    <t>SSRPloidy(SSR)
&gt; Integer</t>
    <phoneticPr fontId="1"/>
  </si>
  <si>
    <t>SSRAlleles(SSR)
&gt;array formula for SSR alleles</t>
    <phoneticPr fontId="1"/>
  </si>
  <si>
    <t>SNPAlleles(SNP)
&gt;array formula for SNP alleles</t>
    <phoneticPr fontId="1"/>
  </si>
  <si>
    <t>SSRSharedAllele(SSR1, SSR2)
&gt; SSR allele</t>
    <phoneticPr fontId="1"/>
  </si>
  <si>
    <t>SNPSharedAllele(SNP1, SNP2)
&gt; SNP allele</t>
    <phoneticPr fontId="1"/>
  </si>
  <si>
    <t>SSR2SegType(parent1, parent2)
&gt; segregation mode</t>
    <phoneticPr fontId="1"/>
  </si>
  <si>
    <t>SNP2SegType(parent1, parent2)
&gt; segregation mode</t>
    <phoneticPr fontId="1"/>
  </si>
  <si>
    <t>SSR2BC1GT(parent1, parent2, offspring)
&gt; BC1 mode genotype</t>
    <phoneticPr fontId="1"/>
  </si>
  <si>
    <t>SNP2F2GT(parent1, parent2, offspring)
&gt; F2 mode genotype</t>
    <phoneticPr fontId="1"/>
  </si>
  <si>
    <t>MWillSegregate(parent1, parent2)
&gt; Boolean</t>
    <phoneticPr fontId="1"/>
  </si>
  <si>
    <t>MSegregateType(parent1, parent2)
&gt; segregation mode</t>
    <phoneticPr fontId="1"/>
  </si>
  <si>
    <t>UniqSSRAlleles(region for SSRs)
&gt; integer</t>
    <phoneticPr fontId="1"/>
  </si>
  <si>
    <t>UniqSNPAlleles(region for SNPs)
&gt; integer</t>
    <phoneticPr fontId="1"/>
  </si>
  <si>
    <t>UniqMAlleles(region for M)
&gt; integer</t>
    <phoneticPr fontId="1"/>
  </si>
  <si>
    <t>UniqAlleles(region for allele)
&gt; integer</t>
    <phoneticPr fontId="1"/>
  </si>
  <si>
    <t>UniqSSRGTs(region for SSRs)
&gt; integer</t>
    <phoneticPr fontId="1"/>
  </si>
  <si>
    <t>UniqSNPGTs(region for SNPs)
&gt; integer</t>
    <phoneticPr fontId="1"/>
  </si>
  <si>
    <t>UniqMGTs(region for M)
&gt; integer</t>
    <phoneticPr fontId="1"/>
  </si>
  <si>
    <t>GetUniqSSRAllele(region for SSRs, index)
&gt; SSR allele</t>
    <phoneticPr fontId="1"/>
  </si>
  <si>
    <t>GetUniqSNPAllele(region for SNPs, index)
&gt; SNP allele</t>
    <phoneticPr fontId="1"/>
  </si>
  <si>
    <t>GetUniqMAllele(region for M, index)
&gt; M allele</t>
    <phoneticPr fontId="1"/>
  </si>
  <si>
    <t>GetUniqAllele(region for allele, index)
&gt; allele</t>
    <phoneticPr fontId="1"/>
  </si>
  <si>
    <t>GetUniqSSRGT(region for SSRs, index)
&gt; SSR genoptype</t>
    <phoneticPr fontId="1"/>
  </si>
  <si>
    <t>GetUniqSNPGT(region for SNPs, index)
&gt; SNP genotype</t>
    <phoneticPr fontId="1"/>
  </si>
  <si>
    <t>GetUniqMGT(region for M, index)
&gt; M genotype</t>
    <phoneticPr fontId="1"/>
  </si>
  <si>
    <t>SSRMatchedRatio(region for SSRs1, region for SSRs2)
&gt; real</t>
    <phoneticPr fontId="1"/>
  </si>
  <si>
    <t>SNPMatchedRatio(region for SNPs1, region for SNPs2)
&gt; real</t>
    <phoneticPr fontId="1"/>
  </si>
  <si>
    <t>MMatchedRatio(region for M1, region for M2)
&gt; real</t>
    <phoneticPr fontId="1"/>
  </si>
  <si>
    <t>MatchedRatio(region for allele1, region for allele2)
&gt; real</t>
    <phoneticPr fontId="1"/>
  </si>
  <si>
    <t>SSRSharedRatio(region for SSRs1, region for SSRs2)
&gt; real</t>
    <phoneticPr fontId="1"/>
  </si>
  <si>
    <t>SNPSharedRatio(region for SNPs1, region for SNPs2)
&gt; real</t>
    <phoneticPr fontId="1"/>
  </si>
  <si>
    <t>MSharedRatio(region for M1, region for M2)
&gt; real</t>
    <phoneticPr fontId="1"/>
  </si>
  <si>
    <t>SSRAlleleFreq(region for SSRs, allele)
&gt; real</t>
    <phoneticPr fontId="1"/>
  </si>
  <si>
    <t>SNPAlleleFreq(region for SNPs, allele)
&gt; real</t>
    <phoneticPr fontId="1"/>
  </si>
  <si>
    <t>MAlleleFreq(region for Ms, allele)
&gt; real</t>
    <phoneticPr fontId="1"/>
  </si>
  <si>
    <t>AlleleFreq(region for alleles, allele)
&gt; real</t>
    <phoneticPr fontId="1"/>
  </si>
  <si>
    <t>SSRGTFreq(region for SSRs, genotype)
&gt; real</t>
    <phoneticPr fontId="1"/>
  </si>
  <si>
    <t>SNPGTFreq(region for SNPs, genotype)
&gt; real</t>
    <phoneticPr fontId="1"/>
  </si>
  <si>
    <t>MGTFreq(region for Ms, genotype)
&gt; real</t>
    <phoneticPr fontId="1"/>
  </si>
  <si>
    <t>SSRHo(region for SSRs)
&gt; real</t>
    <phoneticPr fontId="1"/>
  </si>
  <si>
    <t>SNPHo(region for SNPs)
&gt; real</t>
    <phoneticPr fontId="1"/>
  </si>
  <si>
    <t>MHo(region for Ms)
&gt; real</t>
    <phoneticPr fontId="1"/>
  </si>
  <si>
    <t>SSRHZ(region for SSRs)
&gt; real</t>
    <phoneticPr fontId="1"/>
  </si>
  <si>
    <t>SNPHZ(region for SNPs)
&gt; real</t>
    <phoneticPr fontId="1"/>
  </si>
  <si>
    <t>MHZ(region for Ms)
&gt; real</t>
    <phoneticPr fontId="1"/>
  </si>
  <si>
    <t>SSRPIC(region for SSRs)
&gt; real</t>
    <phoneticPr fontId="1"/>
  </si>
  <si>
    <t>SNPPIC(region for SNPs)
&gt; real</t>
    <phoneticPr fontId="1"/>
  </si>
  <si>
    <t>MPIC(region for Ms)
&gt; real</t>
    <phoneticPr fontId="1"/>
  </si>
  <si>
    <t>SSRPM(region for SSRs)
&gt; real</t>
    <phoneticPr fontId="1"/>
  </si>
  <si>
    <t>SNPPM(region for SNPs)
&gt; real</t>
    <phoneticPr fontId="1"/>
  </si>
  <si>
    <t>MPM(region for Ms)
&gt; real</t>
    <phoneticPr fontId="1"/>
  </si>
  <si>
    <t>SSRPD(region for SSRs)
&gt; real</t>
    <phoneticPr fontId="1"/>
  </si>
  <si>
    <t>SNPPD(region for SNPs)
&gt; real</t>
    <phoneticPr fontId="1"/>
  </si>
  <si>
    <t>MPD(region for Ms)
&gt; real</t>
    <phoneticPr fontId="1"/>
  </si>
  <si>
    <t>SSRGD(region for SSRs)
&gt; real</t>
    <phoneticPr fontId="1"/>
  </si>
  <si>
    <t>GD(region for alleles)
&gt; real</t>
    <phoneticPr fontId="1"/>
  </si>
  <si>
    <t>GD2(region for alleles)
&gt; real</t>
    <phoneticPr fontId="1"/>
  </si>
  <si>
    <r>
      <rPr>
        <sz val="11"/>
        <color rgb="FF0000FF"/>
        <rFont val="Arial"/>
        <family val="2"/>
      </rPr>
      <t>MGD2(region for Ms)
&gt; real</t>
    </r>
    <r>
      <rPr>
        <sz val="11"/>
        <color theme="1"/>
        <rFont val="Arial"/>
        <family val="2"/>
      </rPr>
      <t xml:space="preserve">
</t>
    </r>
    <phoneticPr fontId="1"/>
  </si>
  <si>
    <t>SNPGD2(region for SNPs)
&gt; real</t>
    <phoneticPr fontId="1"/>
  </si>
  <si>
    <t>SSRGD2(region for SSRs)
&gt; real</t>
    <phoneticPr fontId="1"/>
  </si>
  <si>
    <t>SNPGD(region for SNPs)
&gt; real</t>
    <phoneticPr fontId="1"/>
  </si>
  <si>
    <r>
      <rPr>
        <sz val="11"/>
        <color rgb="FF0000FF"/>
        <rFont val="Arial"/>
        <family val="2"/>
      </rPr>
      <t>UkaiP1(range for fi, N)
&gt; real</t>
    </r>
    <r>
      <rPr>
        <sz val="11"/>
        <color theme="1"/>
        <rFont val="Arial"/>
        <family val="2"/>
      </rPr>
      <t xml:space="preserve">
fi is a set of genotype frequency for individual markers, and N represents the number of samples that obtained fi. The probability P1 will be returned.
*) available for all genotypes.</t>
    </r>
    <phoneticPr fontId="1"/>
  </si>
  <si>
    <t>AlleleShared(SSR1, SSR2)
&gt; boolean</t>
    <phoneticPr fontId="1"/>
  </si>
  <si>
    <t>SNPAlleleShared(SNP1, SNP2)
&gt; boolean</t>
    <phoneticPr fontId="1"/>
  </si>
  <si>
    <t>MAlleleShared(M1, M2)
&gt; boolean</t>
    <phoneticPr fontId="1"/>
  </si>
  <si>
    <t>IsChild(offspring, parent1, parent2)
&gt; boolean</t>
    <phoneticPr fontId="1"/>
  </si>
  <si>
    <t>SNPIsChild(offspring, parent1, parent2)
&gt; boolean</t>
    <phoneticPr fontId="1"/>
  </si>
  <si>
    <t>MIsChild(offspring, parent1, parent2)
&gt; boolean</t>
    <phoneticPr fontId="1"/>
  </si>
  <si>
    <t>SNPChildProbability(offspring, parent1, parent2)
&gt; real</t>
    <phoneticPr fontId="1"/>
  </si>
  <si>
    <t>MChildProbability(offspring, parent1, parent2)
&gt; real</t>
    <phoneticPr fontId="1"/>
  </si>
  <si>
    <t>SSRGTProbability(region for SSRs, offspring)
&gt; real</t>
    <phoneticPr fontId="1"/>
  </si>
  <si>
    <t>SNPGTProbability(region for SNPs, offspring)
&gt; real</t>
    <phoneticPr fontId="1"/>
  </si>
  <si>
    <t>MGTProbability(region for Ms, offspring)
&gt; real</t>
    <phoneticPr fontId="1"/>
  </si>
  <si>
    <t>SSRParentageProbability(offspring, alleged parent, region for SSRs)
&gt; real</t>
    <phoneticPr fontId="1"/>
  </si>
  <si>
    <t>SNPParentageProbability(offspring, alleged parent, region for SNPs)
&gt; real</t>
    <phoneticPr fontId="1"/>
  </si>
  <si>
    <r>
      <rPr>
        <u/>
        <sz val="11"/>
        <color rgb="FFFF0000"/>
        <rFont val="Arial"/>
        <family val="2"/>
      </rPr>
      <t>Data conversion</t>
    </r>
    <r>
      <rPr>
        <sz val="11"/>
        <color rgb="FFFF0000"/>
        <rFont val="Arial"/>
        <family val="2"/>
      </rPr>
      <t xml:space="preserve">
</t>
    </r>
    <r>
      <rPr>
        <sz val="11"/>
        <color theme="1"/>
        <rFont val="Arial"/>
        <family val="2"/>
      </rPr>
      <t>These functions will convert SSR genotype from absolute size to relative size, insert an SNP genotype with slash, or convert single letter genotype of M-format to two letter SNP format-like genotype.</t>
    </r>
    <phoneticPr fontId="1"/>
  </si>
  <si>
    <r>
      <rPr>
        <sz val="11"/>
        <color rgb="FF0000FF"/>
        <rFont val="Arial"/>
        <family val="2"/>
      </rPr>
      <t>SNPwithSEP(SNP, separator)
&gt; SNP genotype with the separator</t>
    </r>
    <r>
      <rPr>
        <sz val="11"/>
        <color theme="1"/>
        <rFont val="Arial"/>
        <family val="2"/>
      </rPr>
      <t xml:space="preserve">
Converts SNP genotype without a separator to the genotype with a separator.</t>
    </r>
    <phoneticPr fontId="1"/>
  </si>
  <si>
    <r>
      <rPr>
        <sz val="11"/>
        <color rgb="FF0000FF"/>
        <rFont val="Arial"/>
        <family val="2"/>
      </rPr>
      <t>M2SNP(M)
&gt;SNP-like genotype</t>
    </r>
    <r>
      <rPr>
        <sz val="11"/>
        <color theme="1"/>
        <rFont val="Arial"/>
        <family val="2"/>
      </rPr>
      <t xml:space="preserve">
Converts a single-letter genotype (M) to an SNP-like two-letter genotype (AA, AB, or BB).</t>
    </r>
    <phoneticPr fontId="1"/>
  </si>
  <si>
    <r>
      <rPr>
        <u/>
        <sz val="11"/>
        <color rgb="FFFF0000"/>
        <rFont val="Arial"/>
        <family val="2"/>
      </rPr>
      <t>Convert Illumina's single letter genotype to an SNP genotype</t>
    </r>
    <r>
      <rPr>
        <sz val="11"/>
        <color rgb="FFFF0000"/>
        <rFont val="Arial"/>
        <family val="2"/>
      </rPr>
      <t xml:space="preserve">
</t>
    </r>
    <r>
      <rPr>
        <sz val="11"/>
        <color theme="1"/>
        <rFont val="Arial"/>
        <family val="2"/>
      </rPr>
      <t xml:space="preserve">This function converts Illumina's single-letter SNP-format for a two-letter SNP genotype by referring to the reference nucleotide and strand data.
</t>
    </r>
    <phoneticPr fontId="1"/>
  </si>
  <si>
    <r>
      <rPr>
        <sz val="11"/>
        <color rgb="FF0000FF"/>
        <rFont val="Arial"/>
        <family val="2"/>
      </rPr>
      <t>SSR2F2GT(parent1, parent2, offspring)
&gt; F2 mode genotype</t>
    </r>
    <r>
      <rPr>
        <sz val="11"/>
        <color theme="1"/>
        <rFont val="Arial"/>
        <family val="2"/>
      </rPr>
      <t xml:space="preserve">
</t>
    </r>
    <phoneticPr fontId="1"/>
  </si>
  <si>
    <r>
      <t>*) '</t>
    </r>
    <r>
      <rPr>
        <b/>
        <sz val="11"/>
        <color theme="1"/>
        <rFont val="Times New Roman"/>
        <family val="1"/>
      </rPr>
      <t>UniqAlleles'</t>
    </r>
    <r>
      <rPr>
        <sz val="11"/>
        <color theme="1"/>
        <rFont val="Times New Roman"/>
        <family val="1"/>
      </rPr>
      <t xml:space="preserve"> function is available for this method.</t>
    </r>
    <phoneticPr fontId="1"/>
  </si>
  <si>
    <r>
      <t>*) '</t>
    </r>
    <r>
      <rPr>
        <b/>
        <sz val="11"/>
        <color theme="1"/>
        <rFont val="Times New Roman"/>
        <family val="1"/>
      </rPr>
      <t>GetUniqAllele'</t>
    </r>
    <r>
      <rPr>
        <sz val="11"/>
        <color theme="1"/>
        <rFont val="Times New Roman"/>
        <family val="1"/>
      </rPr>
      <t xml:space="preserve"> function is available for this method.</t>
    </r>
    <phoneticPr fontId="1"/>
  </si>
  <si>
    <r>
      <rPr>
        <u/>
        <sz val="11"/>
        <color rgb="FFFF0000"/>
        <rFont val="Arial"/>
        <family val="2"/>
      </rPr>
      <t xml:space="preserve">Match probability (PM)
</t>
    </r>
    <r>
      <rPr>
        <sz val="11"/>
        <color theme="1"/>
        <rFont val="Arial"/>
        <family val="2"/>
      </rPr>
      <t>This function will return a value for match probability (PM) for a set of genotype in a designated region. PM is the probability that the two randomly selected individuals will have identical genotype.</t>
    </r>
    <phoneticPr fontId="1"/>
  </si>
  <si>
    <r>
      <rPr>
        <u/>
        <sz val="11"/>
        <color rgb="FFFF0000"/>
        <rFont val="Arial"/>
        <family val="2"/>
      </rPr>
      <t xml:space="preserve">Power of discrimination (PD)
</t>
    </r>
    <r>
      <rPr>
        <sz val="11"/>
        <color theme="1"/>
        <rFont val="Arial"/>
        <family val="2"/>
      </rPr>
      <t xml:space="preserve">These functions estimate the power of discrimination (PD) for a set of genotypes in a designated region.
</t>
    </r>
    <phoneticPr fontId="1"/>
  </si>
  <si>
    <r>
      <rPr>
        <sz val="11"/>
        <color rgb="FF0000FF"/>
        <rFont val="Arial"/>
        <family val="2"/>
      </rPr>
      <t>MGD(region for Ms)
&gt; real</t>
    </r>
    <r>
      <rPr>
        <sz val="11"/>
        <color theme="1"/>
        <rFont val="Arial"/>
        <family val="2"/>
      </rPr>
      <t xml:space="preserve">
</t>
    </r>
    <phoneticPr fontId="1"/>
  </si>
  <si>
    <r>
      <rPr>
        <u/>
        <sz val="11"/>
        <color rgb="FFFF0000"/>
        <rFont val="Arial"/>
        <family val="2"/>
      </rPr>
      <t>Unbiased estimator of expected heterozygosity for a selfed population (GD2)</t>
    </r>
    <r>
      <rPr>
        <sz val="11"/>
        <color theme="1"/>
        <rFont val="Arial"/>
        <family val="2"/>
      </rPr>
      <t xml:space="preserve">
These functions return the unbiased expected heterozygosity for a selfed population (GD2) with a set of genotypes in a designated region.
</t>
    </r>
    <phoneticPr fontId="1"/>
  </si>
  <si>
    <r>
      <rPr>
        <sz val="11"/>
        <color rgb="FF0000FF"/>
        <rFont val="Arial"/>
        <family val="2"/>
      </rPr>
      <t>Ukaif0(range for fi) 
&gt; real</t>
    </r>
    <r>
      <rPr>
        <sz val="11"/>
        <color theme="1"/>
        <rFont val="Arial"/>
        <family val="2"/>
      </rPr>
      <t xml:space="preserve">
*) available for all genotypes.</t>
    </r>
    <phoneticPr fontId="1"/>
  </si>
  <si>
    <r>
      <rPr>
        <u/>
        <sz val="11"/>
        <color rgb="FFFF0000"/>
        <rFont val="Arial"/>
        <family val="2"/>
      </rPr>
      <t>Probability that a randomly selected individual will show a genotype identical to a particular individual</t>
    </r>
    <r>
      <rPr>
        <sz val="11"/>
        <color theme="1"/>
        <rFont val="Arial"/>
        <family val="2"/>
      </rPr>
      <t xml:space="preserve">
This function returns the probability of a randomly selected individual being identical in genotype to a particular individual in a population. This probability is estimated from the direct power for the particular genotypes in a population (f0) obtained separately with the ‘Ukaif0’ function. The P1 value is obtained according to the theory by Ukai.
</t>
    </r>
    <phoneticPr fontId="1"/>
  </si>
  <si>
    <r>
      <rPr>
        <u/>
        <sz val="11"/>
        <color rgb="FFFF0000"/>
        <rFont val="Arial"/>
        <family val="2"/>
      </rPr>
      <t>Allele sharing test (single parent test)</t>
    </r>
    <r>
      <rPr>
        <sz val="11"/>
        <color theme="1"/>
        <rFont val="Arial"/>
        <family val="2"/>
      </rPr>
      <t xml:space="preserve">
These functions examine whether two genotypes share the same allele and then return the result as a Boolean value (single parent test). The value will be ‘True’ when two genotypes share at least one allele or ‘False’ when nothing is shared between them.
</t>
    </r>
    <phoneticPr fontId="1"/>
  </si>
  <si>
    <r>
      <rPr>
        <u/>
        <sz val="11"/>
        <color rgb="FFFF0000"/>
        <rFont val="Arial"/>
        <family val="2"/>
      </rPr>
      <t>Trio test (family test)</t>
    </r>
    <r>
      <rPr>
        <sz val="11"/>
        <color theme="1"/>
        <rFont val="Arial"/>
        <family val="2"/>
      </rPr>
      <t xml:space="preserve">
These functions examine whether a particular genotype of an offspiring is consistent with those of two parents and then return the result as a Boolean value. The value will be ‘True’ when the given genotype is consistent with being an offspring of the parents or ‘False’ when the genotypes are inconsistent with belonging to a family.
</t>
    </r>
    <phoneticPr fontId="1"/>
  </si>
  <si>
    <r>
      <rPr>
        <u/>
        <sz val="11"/>
        <color rgb="FFFF0000"/>
        <rFont val="Arial"/>
        <family val="2"/>
      </rPr>
      <t>Probability of obtaining a particular offspring from parents</t>
    </r>
    <r>
      <rPr>
        <sz val="11"/>
        <color theme="1"/>
        <rFont val="Arial"/>
        <family val="2"/>
      </rPr>
      <t xml:space="preserve">
These functions return the probability of obtaining offspring with particular genotypes from two parental individuals for which their genotypes are known.
These functions estimate T(g0|gm, ga) by Marshall (1998) from the proposed genotypes of the offsrping and parents. 
The result will be ‘0’, ‘0.25’, ‘0.5’, ‘0.75’, or ‘1’ according to their genotypes.
</t>
    </r>
    <phoneticPr fontId="1"/>
  </si>
  <si>
    <r>
      <rPr>
        <sz val="11"/>
        <color rgb="FF0000FF"/>
        <rFont val="Arial"/>
        <family val="2"/>
      </rPr>
      <t>SSRChildProbability(offspring, parent1, parent2, diff)
&gt; real</t>
    </r>
    <r>
      <rPr>
        <sz val="11"/>
        <color theme="1"/>
        <rFont val="Arial"/>
        <family val="2"/>
      </rPr>
      <t xml:space="preserve">
SSR genotype allowed up to DIFF differences for individual allele, but heterozygosity/homozygosity should be identical between SSR1 and SSR2.</t>
    </r>
    <phoneticPr fontId="1"/>
  </si>
  <si>
    <r>
      <rPr>
        <u/>
        <sz val="11"/>
        <color rgb="FFFF0000"/>
        <rFont val="Arial"/>
        <family val="2"/>
      </rPr>
      <t>Probability of obtaining a particular offspring from a random mating population</t>
    </r>
    <r>
      <rPr>
        <sz val="11"/>
        <color theme="1"/>
        <rFont val="Arial"/>
        <family val="2"/>
      </rPr>
      <t xml:space="preserve">
These functions return the probability of obtaining offspring of a particular genotype from the random mating of a designated population. These functions estimate the P(go) of Marshall (1998).
</t>
    </r>
    <phoneticPr fontId="1"/>
  </si>
  <si>
    <r>
      <rPr>
        <u/>
        <sz val="11"/>
        <color rgb="FFFF0000"/>
        <rFont val="Arial"/>
        <family val="2"/>
      </rPr>
      <t>Probability of obtaining a particular offspring from an individual of the population and an alleged parent</t>
    </r>
    <r>
      <rPr>
        <sz val="11"/>
        <color theme="1"/>
        <rFont val="Arial"/>
        <family val="2"/>
      </rPr>
      <t xml:space="preserve">
These functions estimate the probability of obtaining offspring with a particular genotype from an alleged parent and a randomly selected alleged single parent in a population that is defined by the region. These functions estimate the T(g0|gm) of Marshall (1998).
</t>
    </r>
    <phoneticPr fontId="1"/>
  </si>
  <si>
    <r>
      <rPr>
        <sz val="11"/>
        <color rgb="FF0000FF"/>
        <rFont val="Arial"/>
        <family val="2"/>
      </rPr>
      <t>SSRtoRelSize(sample SSR, reference SSR)
&gt; SSR genotype relative to the reference</t>
    </r>
    <r>
      <rPr>
        <sz val="11"/>
        <color theme="1"/>
        <rFont val="Arial"/>
        <family val="2"/>
      </rPr>
      <t xml:space="preserve">
Converts alleles of an SSR genotype to the relative values against the reference genotype.</t>
    </r>
    <phoneticPr fontId="1"/>
  </si>
  <si>
    <r>
      <rPr>
        <sz val="11"/>
        <color rgb="FF0000FF"/>
        <rFont val="Arial"/>
        <family val="2"/>
      </rPr>
      <t>SSRDiff(SSR)</t>
    </r>
    <r>
      <rPr>
        <sz val="11"/>
        <color theme="1"/>
        <rFont val="Arial"/>
        <family val="2"/>
      </rPr>
      <t xml:space="preserve">
</t>
    </r>
    <r>
      <rPr>
        <sz val="11"/>
        <color rgb="FF0000FF"/>
        <rFont val="Arial"/>
        <family val="2"/>
      </rPr>
      <t xml:space="preserve">&gt; integer </t>
    </r>
    <r>
      <rPr>
        <sz val="11"/>
        <color theme="1"/>
        <rFont val="Arial"/>
        <family val="2"/>
      </rPr>
      <t xml:space="preserve">
</t>
    </r>
    <phoneticPr fontId="1"/>
  </si>
  <si>
    <r>
      <rPr>
        <u/>
        <sz val="11"/>
        <color rgb="FFFF0000"/>
        <rFont val="Arial"/>
        <family val="2"/>
      </rPr>
      <t>Examine genotype identity</t>
    </r>
    <r>
      <rPr>
        <sz val="11"/>
        <color theme="1"/>
        <rFont val="Arial"/>
        <family val="2"/>
      </rPr>
      <t xml:space="preserve">
These functions examine whether the two designated SSR or SNP genotypes are identical and then return the result as a Boolean value. The given genotype data will be normalized before the identity check.</t>
    </r>
    <phoneticPr fontId="1"/>
  </si>
  <si>
    <r>
      <rPr>
        <sz val="11"/>
        <color rgb="FF0000FF"/>
        <rFont val="Arial"/>
        <family val="2"/>
      </rPr>
      <t>SNP2BC1GT(parent1, parent2, offspring)
&gt; BC1 mode genotype</t>
    </r>
    <r>
      <rPr>
        <sz val="11"/>
        <color theme="1"/>
        <rFont val="Arial"/>
        <family val="2"/>
      </rPr>
      <t xml:space="preserve">
</t>
    </r>
    <phoneticPr fontId="1"/>
  </si>
  <si>
    <r>
      <rPr>
        <u/>
        <sz val="11"/>
        <color rgb="FFFF0000"/>
        <rFont val="Arial"/>
        <family val="2"/>
      </rPr>
      <t>Completement nucleotide</t>
    </r>
    <r>
      <rPr>
        <sz val="11"/>
        <color theme="1"/>
        <rFont val="Arial"/>
        <family val="2"/>
      </rPr>
      <t xml:space="preserve">
This function returns complement nucleotide (not for sequence).</t>
    </r>
    <phoneticPr fontId="1"/>
  </si>
  <si>
    <t>revcomp("CAAGCTACA")  
&gt;TGTAGCTTG</t>
    <phoneticPr fontId="1"/>
  </si>
  <si>
    <r>
      <rPr>
        <u/>
        <sz val="11"/>
        <color rgb="FFFF0000"/>
        <rFont val="Arial"/>
        <family val="2"/>
      </rPr>
      <t>Complementary sequence</t>
    </r>
    <r>
      <rPr>
        <sz val="11"/>
        <color theme="1"/>
        <rFont val="Arial"/>
        <family val="2"/>
      </rPr>
      <t xml:space="preserve">
This functions returns the complementary sequence. This function is valid for nucleotide sequence.
</t>
    </r>
    <phoneticPr fontId="1"/>
  </si>
  <si>
    <t>e.</t>
    <phoneticPr fontId="1"/>
  </si>
  <si>
    <r>
      <rPr>
        <u/>
        <sz val="11"/>
        <color rgb="FFFF0000"/>
        <rFont val="Arial"/>
        <family val="2"/>
      </rPr>
      <t>Bracketting a code in the sequence</t>
    </r>
    <r>
      <rPr>
        <sz val="11"/>
        <color theme="1"/>
        <rFont val="Arial"/>
        <family val="2"/>
      </rPr>
      <t xml:space="preserve">
This functions enclose a code at Nth position in the seqeuence with bracket. This function is available for DNA/RNA/amino acid sequence.
</t>
    </r>
    <phoneticPr fontId="1"/>
  </si>
  <si>
    <t>splitseq("CAAGCTACAGTGTAATTTACGAGCCCAATTTTGCTACTGGTCACCCTCTGACTCAACAAT", 3)  
&gt;CAA GCT ACA GTG TAA TTT ACG AGC CCA ATT TTG CTA CTG GTC ACC CTC TGA CTC AAC AAT 
splitseq("CAAGCTACAGTGTAATTTACGAGCCCAATTTTGCTACTGGTCACCCTCTGACTCAACAAT", 5)  
&gt;CAAGC TACAG TGTAA TTTAC GAGCC CAATT TTGCT ACTGG TCACC CTCTG ACTCA ACAAT</t>
    <phoneticPr fontId="1"/>
  </si>
  <si>
    <t>shrink("CAA GCT ACA GTG TAA TTT ACG AGC CCA ATT TTG CTA CTG GTC ACC CTC TGA CTC AAC AAT")  
&gt;CAAGCTACAGTGTAATTTACGAGCCCAATTTTGCTACTGGTCACCCTCTGACTCAACAAT
shrink("CAAGCTACAGTGTAATTTACGAGCCCAATTTTGCTACTGGTCACCCTCTGACTCAACAA[T]")
&gt;CAAGCTACAGTGTAATTTACGAGCCCAATTTTGCTACTGGTCACCCTCTGACTCAACAAT</t>
    <phoneticPr fontId="1"/>
  </si>
  <si>
    <t>toRNA("CAAGCTACA")  
&gt;CAAGCUACA</t>
    <phoneticPr fontId="1"/>
  </si>
  <si>
    <t>toDNA("CAAGCUACA")  
&gt;CAAGCTACA</t>
    <phoneticPr fontId="1"/>
  </si>
  <si>
    <t>bracket("CAAGCTACAGTGTAATTTACGAGCCCAATTTTGCTACTGGTCACCCTCTGACTCAACAAT", 3)  
&gt;CA[A]GCTACAGTGTAATTTACGAGCCCAATTTTGCTACTGGTCACCCTCTGACTCAACAAT
bracket("CAAGCTACAGTGTAATTTACGAGCCCAATTTTGCTACTGGTCACCCTCTGACTCAACAAT", 1000)  
&gt;CAAGCTACAGTGTAATTTACGAGCCCAATTTTGCTACTGGTCACCCTCTGACTCAACAA[T]</t>
    <phoneticPr fontId="1"/>
  </si>
  <si>
    <t>fold("CAAGCTACAGTGTAATTTACGAGCCCAATTTTGCTACTGGTCACCCTCTGACTCAACAAT", 10)  
&gt;CAAGCTACAG
TGTAATTTAC
GAGCCCAATT
TTGCTACTGG
TCACCCTCTG
ACTCAACAAT</t>
    <phoneticPr fontId="1"/>
  </si>
  <si>
    <r>
      <rPr>
        <u/>
        <sz val="11"/>
        <color rgb="FFFF0000"/>
        <rFont val="Arial"/>
        <family val="2"/>
      </rPr>
      <t>Convert the RNA sequence to DNA sequence</t>
    </r>
    <r>
      <rPr>
        <sz val="11"/>
        <color theme="1"/>
        <rFont val="Arial"/>
        <family val="2"/>
      </rPr>
      <t xml:space="preserve">
This functions convert U/u to T/t in the sequence. This function is valid for RNA sequence.
</t>
    </r>
    <phoneticPr fontId="1"/>
  </si>
  <si>
    <r>
      <rPr>
        <u/>
        <sz val="11"/>
        <color rgb="FFFF0000"/>
        <rFont val="Arial"/>
        <family val="2"/>
      </rPr>
      <t>Split the sequence with space</t>
    </r>
    <r>
      <rPr>
        <sz val="11"/>
        <color theme="1"/>
        <rFont val="Arial"/>
        <family val="2"/>
      </rPr>
      <t xml:space="preserve">
This functions split the sequence with space at every Nth position. This function is available for DNA/RNA/amino acid sequence.
</t>
    </r>
    <phoneticPr fontId="1"/>
  </si>
  <si>
    <r>
      <rPr>
        <u/>
        <sz val="11"/>
        <color rgb="FFFF0000"/>
        <rFont val="Arial"/>
        <family val="2"/>
      </rPr>
      <t>Reverse sequence</t>
    </r>
    <r>
      <rPr>
        <sz val="11"/>
        <color theme="1"/>
        <rFont val="Arial"/>
        <family val="2"/>
      </rPr>
      <t xml:space="preserve">
This function returns sequence in reverse direction. This function is available for DNA/RNA/amino acid sequence.</t>
    </r>
    <phoneticPr fontId="1"/>
  </si>
  <si>
    <t>= compnuc("A")
&gt;"T"
= compnuc("C")
&gt;"G"</t>
    <phoneticPr fontId="1"/>
  </si>
  <si>
    <t>This function returns complement nucleotide (not for sequence).</t>
    <phoneticPr fontId="1"/>
  </si>
  <si>
    <t>Usage:</t>
    <phoneticPr fontId="1"/>
  </si>
  <si>
    <t>=compnuc(NUC)</t>
    <phoneticPr fontId="1"/>
  </si>
  <si>
    <t>Argument</t>
    <phoneticPr fontId="1"/>
  </si>
  <si>
    <t>Return</t>
    <phoneticPr fontId="1"/>
  </si>
  <si>
    <t>G</t>
    <phoneticPr fontId="1"/>
  </si>
  <si>
    <t>"*" will be returned for invalid character.</t>
    <phoneticPr fontId="1"/>
  </si>
  <si>
    <t>ACC</t>
    <phoneticPr fontId="1"/>
  </si>
  <si>
    <t>Argument:</t>
    <phoneticPr fontId="1"/>
  </si>
  <si>
    <t>Return value:</t>
    <phoneticPr fontId="1"/>
  </si>
  <si>
    <t>Reverse sequence</t>
  </si>
  <si>
    <t>=reverse(SEQ)</t>
    <phoneticPr fontId="1"/>
  </si>
  <si>
    <t>ACGT</t>
    <phoneticPr fontId="1"/>
  </si>
  <si>
    <t>CAAGCTACA</t>
  </si>
  <si>
    <t>reverse("CAAGCTACA")  ;; nucleotide sequence
&gt;ACATCGAAC
reverse("KLQCNLRA")    ;; amino acid sequence
&gt;ARLNCQLK</t>
    <phoneticPr fontId="1"/>
  </si>
  <si>
    <t>KLQCNLRA</t>
  </si>
  <si>
    <t xml:space="preserve">This function returns sequence in reverse direction. </t>
    <phoneticPr fontId="1"/>
  </si>
  <si>
    <t>This function is available for DNA/RNA/amino acid sequence.</t>
    <phoneticPr fontId="1"/>
  </si>
  <si>
    <t>Reversed sequence</t>
    <phoneticPr fontId="1"/>
  </si>
  <si>
    <t>ATTNCC</t>
    <phoneticPr fontId="1"/>
  </si>
  <si>
    <t>AAAGU</t>
    <phoneticPr fontId="1"/>
  </si>
  <si>
    <t>DNA sequence</t>
    <phoneticPr fontId="1"/>
  </si>
  <si>
    <t>DNA sequence</t>
    <phoneticPr fontId="1"/>
  </si>
  <si>
    <t>Amino acid sequence</t>
    <phoneticPr fontId="1"/>
  </si>
  <si>
    <t>RNA sequence</t>
    <phoneticPr fontId="1"/>
  </si>
  <si>
    <t>DNA sequence containing N</t>
    <phoneticPr fontId="1"/>
  </si>
  <si>
    <t>NULL will give NULL</t>
    <phoneticPr fontId="1"/>
  </si>
  <si>
    <t>Complementary sequence</t>
  </si>
  <si>
    <t xml:space="preserve">This functions returns the complementary sequence. </t>
  </si>
  <si>
    <t>Complementary sequence</t>
    <phoneticPr fontId="1"/>
  </si>
  <si>
    <t>=comp(SEQ)</t>
    <phoneticPr fontId="1"/>
  </si>
  <si>
    <t>comp("CAAGCTACA")  
&gt;GTTCGATGT</t>
    <phoneticPr fontId="1"/>
  </si>
  <si>
    <t>Amino acid sequence is not acceptable for this function.</t>
    <phoneticPr fontId="1"/>
  </si>
  <si>
    <t>Reverse complementary sequence</t>
  </si>
  <si>
    <r>
      <rPr>
        <u/>
        <sz val="11"/>
        <color rgb="FFFF0000"/>
        <rFont val="Arial"/>
        <family val="2"/>
      </rPr>
      <t>Reverse complementary sequence</t>
    </r>
    <r>
      <rPr>
        <sz val="11"/>
        <color theme="1"/>
        <rFont val="Arial"/>
        <family val="2"/>
      </rPr>
      <t xml:space="preserve">
This functions returns the reverse-complementary sequence. This function is valid for nucleotide sequence.
</t>
    </r>
    <phoneticPr fontId="1"/>
  </si>
  <si>
    <t>=revcomp(SEQ)</t>
    <phoneticPr fontId="1"/>
  </si>
  <si>
    <t>N will be remained when DNA sequence containing N.</t>
    <phoneticPr fontId="1"/>
  </si>
  <si>
    <t>RNA sequence will be converted to DNA sequence</t>
    <phoneticPr fontId="1"/>
  </si>
  <si>
    <t>Split sequence</t>
    <phoneticPr fontId="1"/>
  </si>
  <si>
    <t>CAAGCTACAGTGTAATTTACGAGCCCAATTTTGCTACTGGTCACCCTCTGACTCAACAAT</t>
  </si>
  <si>
    <t>=splitseq(SEQ, interval)</t>
    <phoneticPr fontId="1"/>
  </si>
  <si>
    <t>Interval</t>
    <phoneticPr fontId="1"/>
  </si>
  <si>
    <t>Split the sequence with space</t>
    <phoneticPr fontId="1"/>
  </si>
  <si>
    <t>=bracket(SEQ, position)</t>
    <phoneticPr fontId="1"/>
  </si>
  <si>
    <t>Position</t>
    <phoneticPr fontId="1"/>
  </si>
  <si>
    <t>Position</t>
    <phoneticPr fontId="1"/>
  </si>
  <si>
    <t>Remove extra code in the sequence</t>
  </si>
  <si>
    <r>
      <rPr>
        <u/>
        <sz val="11"/>
        <color rgb="FFFF0000"/>
        <rFont val="Arial"/>
        <family val="2"/>
      </rPr>
      <t>Remove extra code in the sequence</t>
    </r>
    <r>
      <rPr>
        <sz val="11"/>
        <color theme="1"/>
        <rFont val="Arial"/>
        <family val="2"/>
      </rPr>
      <t xml:space="preserve">
This functions remove all extra code (space, bracket) in the sequence. This function is available for DNA/RNA/amino acid sequence.
</t>
    </r>
    <phoneticPr fontId="1"/>
  </si>
  <si>
    <t>=shrink(SEQ)</t>
    <phoneticPr fontId="1"/>
  </si>
  <si>
    <t xml:space="preserve">CAA GCT ACA GTG TAA TTT ACG AGC CCA ATT TTG CTA CTG GTC ACC CTC TGA CTC AAC AAT </t>
  </si>
  <si>
    <t>CAAGCTACAGTGTAATTTA[C]GAGCCCAATTTTGCTACTGGTCACCCTCTGACTCAACAAT</t>
  </si>
  <si>
    <t>CAAGCTACAGTGTAATTTA(C)GAGCCCAATTTTGCTACTGGTCACCCTCTGACTCAACAAT</t>
    <phoneticPr fontId="1"/>
  </si>
  <si>
    <t>CAAGCTACAG
TGTAATTTAC
GAGCCCAATT
TTGCTACTGG
TCACCCTCTG
ACTCAACAAT</t>
    <phoneticPr fontId="1"/>
  </si>
  <si>
    <t>CAAGCTACAGTGTAATTTA/C/GAGCCCAATTTTGCTACTGGTCACCCTCTGACTCAACAAT</t>
    <phoneticPr fontId="1"/>
  </si>
  <si>
    <t>'Bracket' will be removed</t>
    <phoneticPr fontId="1"/>
  </si>
  <si>
    <t>'Space' will be removed</t>
    <phoneticPr fontId="1"/>
  </si>
  <si>
    <t>'Slash' will be removed</t>
    <phoneticPr fontId="1"/>
  </si>
  <si>
    <t>'Parenthesis' will be removed</t>
    <phoneticPr fontId="1"/>
  </si>
  <si>
    <t>'Return' will be removed</t>
    <phoneticPr fontId="1"/>
  </si>
  <si>
    <r>
      <rPr>
        <u/>
        <sz val="11"/>
        <color rgb="FFFF0000"/>
        <rFont val="Arial"/>
        <family val="2"/>
      </rPr>
      <t>Convert the DNA sequence to RNA sequence</t>
    </r>
    <r>
      <rPr>
        <sz val="11"/>
        <color theme="1"/>
        <rFont val="Arial"/>
        <family val="2"/>
      </rPr>
      <t xml:space="preserve">
This functions convert T/t to U/u in the sequence. This function is valid for DNA sequence.
</t>
    </r>
    <phoneticPr fontId="1"/>
  </si>
  <si>
    <t>This function is valid for DNA sequence.</t>
  </si>
  <si>
    <t>=toRNA(SEQ)</t>
    <phoneticPr fontId="1"/>
  </si>
  <si>
    <t>N will be remained when the sequence containing N.</t>
    <phoneticPr fontId="1"/>
  </si>
  <si>
    <t>This function is valid for RNA sequence.</t>
    <phoneticPr fontId="1"/>
  </si>
  <si>
    <t>=toDNA(SEQ)</t>
    <phoneticPr fontId="1"/>
  </si>
  <si>
    <t>ACGU</t>
    <phoneticPr fontId="1"/>
  </si>
  <si>
    <t>CAAGCUACA</t>
    <phoneticPr fontId="1"/>
  </si>
  <si>
    <t>AAAGT</t>
    <phoneticPr fontId="1"/>
  </si>
  <si>
    <t>DNA sequence will be remained.</t>
    <phoneticPr fontId="1"/>
  </si>
  <si>
    <t>RNA sequence will be remained.</t>
    <phoneticPr fontId="1"/>
  </si>
  <si>
    <t>Formatted sequence</t>
    <phoneticPr fontId="1"/>
  </si>
  <si>
    <t>=fold(SEQ, interval)</t>
    <phoneticPr fontId="1"/>
  </si>
  <si>
    <t>Important:</t>
    <phoneticPr fontId="1"/>
  </si>
  <si>
    <r>
      <rPr>
        <u/>
        <sz val="11"/>
        <color rgb="FFFF0000"/>
        <rFont val="Arial"/>
        <family val="2"/>
      </rPr>
      <t>Convert the nucletotide sequence to amino acid sequence</t>
    </r>
    <r>
      <rPr>
        <sz val="11"/>
        <color theme="1"/>
        <rFont val="Arial"/>
        <family val="2"/>
      </rPr>
      <t xml:space="preserve">
This functions convert nucleotide sequence to amino acid sequence in t he Nth reading frame. This function is valid for nucleotide sequence.
</t>
    </r>
    <phoneticPr fontId="1"/>
  </si>
  <si>
    <t>Reading frame</t>
    <phoneticPr fontId="1"/>
  </si>
  <si>
    <t>(not to be defined)</t>
    <phoneticPr fontId="1"/>
  </si>
  <si>
    <t>*) Splitseq will split the sequence at every 3rd position when interval is not defined.</t>
    <phoneticPr fontId="1"/>
  </si>
  <si>
    <t>l.</t>
    <phoneticPr fontId="1"/>
  </si>
  <si>
    <t>nuc2aa("CAAGCTACAGTGTAATTTACGAGCCCAATTTTGCTACTGGTCACCCTCTGACTCAACAAT", 1)
&gt;KLQCNLRAQFCYWSPSDST-</t>
    <phoneticPr fontId="1"/>
  </si>
  <si>
    <t>= composition("CAAGCTACAGTGTAATTTACGAGCCCAATTTTGCTACTGGTCACCCTCTGACTCAACAAT")
&gt; A:17 C:17 G:9 T:17 Else:0 Total:60</t>
    <phoneticPr fontId="1"/>
  </si>
  <si>
    <t>m.</t>
    <phoneticPr fontId="1"/>
  </si>
  <si>
    <t>n.</t>
    <phoneticPr fontId="1"/>
  </si>
  <si>
    <t>o.</t>
    <phoneticPr fontId="1"/>
  </si>
  <si>
    <t>p.</t>
    <phoneticPr fontId="1"/>
  </si>
  <si>
    <t>q.</t>
    <phoneticPr fontId="1"/>
  </si>
  <si>
    <r>
      <rPr>
        <u/>
        <sz val="11"/>
        <color rgb="FFFF0000"/>
        <rFont val="Arial"/>
        <family val="2"/>
      </rPr>
      <t>Convert the DNA code to RNA code</t>
    </r>
    <r>
      <rPr>
        <sz val="11"/>
        <color theme="1"/>
        <rFont val="Arial"/>
        <family val="2"/>
      </rPr>
      <t xml:space="preserve">
This functions convert DNA nucleotide to RNA nucleotide. This function is valid for DNA sequence.
</t>
    </r>
    <phoneticPr fontId="1"/>
  </si>
  <si>
    <r>
      <rPr>
        <u/>
        <sz val="11"/>
        <color rgb="FFFF0000"/>
        <rFont val="Arial"/>
        <family val="2"/>
      </rPr>
      <t>Convert the RNA code to DNA code</t>
    </r>
    <r>
      <rPr>
        <sz val="11"/>
        <color theme="1"/>
        <rFont val="Arial"/>
        <family val="2"/>
      </rPr>
      <t xml:space="preserve">
This functions convert RNA nucleotide to DNA nucleotide. This function is valid for RNA sequence.
</t>
    </r>
    <phoneticPr fontId="1"/>
  </si>
  <si>
    <t>RNA nucleotide</t>
    <phoneticPr fontId="1"/>
  </si>
  <si>
    <t>Small DNA nucleotide</t>
    <phoneticPr fontId="1"/>
  </si>
  <si>
    <t>DNA nucleotide</t>
    <phoneticPr fontId="1"/>
  </si>
  <si>
    <t xml:space="preserve">This functions convert RNA nucleotide to DNA nucleotide. </t>
    <phoneticPr fontId="1"/>
  </si>
  <si>
    <t>A nucleotide</t>
    <phoneticPr fontId="1"/>
  </si>
  <si>
    <t>/</t>
    <phoneticPr fontId="1"/>
  </si>
  <si>
    <t>[</t>
    <phoneticPr fontId="1"/>
  </si>
  <si>
    <t>A special character will be remained.</t>
    <phoneticPr fontId="1"/>
  </si>
  <si>
    <t>=DNA2Rnuc(SEQ)</t>
    <phoneticPr fontId="1"/>
  </si>
  <si>
    <t>=RNA2Dnuc(SEQ)</t>
    <phoneticPr fontId="1"/>
  </si>
  <si>
    <t>j.</t>
    <phoneticPr fontId="1"/>
  </si>
  <si>
    <t>l.</t>
    <phoneticPr fontId="1"/>
  </si>
  <si>
    <t>DNA2Rnuc("T")  
&gt;U</t>
    <phoneticPr fontId="1"/>
  </si>
  <si>
    <t>RNA2Dnuc("U")  
&gt;T</t>
    <phoneticPr fontId="1"/>
  </si>
  <si>
    <r>
      <rPr>
        <u/>
        <sz val="11"/>
        <color rgb="FFFF0000"/>
        <rFont val="Arial"/>
        <family val="2"/>
      </rPr>
      <t>Return the nucletotide composition and sequence length</t>
    </r>
    <r>
      <rPr>
        <sz val="11"/>
        <color theme="1"/>
        <rFont val="Arial"/>
        <family val="2"/>
      </rPr>
      <t xml:space="preserve">
This functions return the composition of nucleotide and the length of the sequence. This function is valid for nucleotide sequence.
</t>
    </r>
    <phoneticPr fontId="1"/>
  </si>
  <si>
    <t>=composition(SEQ)</t>
    <phoneticPr fontId="1"/>
  </si>
  <si>
    <t>TACCGTCCAAGATTCCCGGGATGGCATATTATGGCCTAACACACATTGGCGAAGATTTCC</t>
  </si>
  <si>
    <t>CCGTTTACGGGCNNNNNNNNNNNNNNNNNNAATGGGGTCTAATACGCTCTACGATATTAAGAGCCCCATAGCCTTTTACCA</t>
    <phoneticPr fontId="1"/>
  </si>
  <si>
    <t>Extracted sequence</t>
    <phoneticPr fontId="1"/>
  </si>
  <si>
    <t>=clip5(SEQ, length)</t>
    <phoneticPr fontId="1"/>
  </si>
  <si>
    <t>Length</t>
    <phoneticPr fontId="1"/>
  </si>
  <si>
    <r>
      <rPr>
        <u/>
        <sz val="11"/>
        <color rgb="FFFF0000"/>
        <rFont val="Arial"/>
        <family val="2"/>
      </rPr>
      <t>Extract the 5' nucletotide sequence for N bases</t>
    </r>
    <r>
      <rPr>
        <sz val="11"/>
        <color theme="1"/>
        <rFont val="Arial"/>
        <family val="2"/>
      </rPr>
      <t xml:space="preserve">
This functions return the 5' nucleotide sequence for N bp. The 5' nucleotide will be returned when the length was not defined. This function is valid for nucleotide sequence.
</t>
    </r>
    <phoneticPr fontId="1"/>
  </si>
  <si>
    <r>
      <rPr>
        <u/>
        <sz val="11"/>
        <color rgb="FFFF0000"/>
        <rFont val="Arial"/>
        <family val="2"/>
      </rPr>
      <t>Extract the 3' nucletotide sequence for N bases</t>
    </r>
    <r>
      <rPr>
        <sz val="11"/>
        <color theme="1"/>
        <rFont val="Arial"/>
        <family val="2"/>
      </rPr>
      <t xml:space="preserve">
This functions return the 3' nucleotide sequence for N bp. The 3' nucleotide will be returned when the length was not defined. This function is valid for nucleotide sequence.
</t>
    </r>
    <phoneticPr fontId="1"/>
  </si>
  <si>
    <t>=clip3(SEQ, length)</t>
    <phoneticPr fontId="1"/>
  </si>
  <si>
    <t>q.</t>
    <phoneticPr fontId="1"/>
  </si>
  <si>
    <r>
      <rPr>
        <u/>
        <sz val="11"/>
        <color rgb="FFFF0000"/>
        <rFont val="Arial"/>
        <family val="2"/>
      </rPr>
      <t>Examine the GC ratio of the nucleotide sequence</t>
    </r>
    <r>
      <rPr>
        <sz val="11"/>
        <color theme="1"/>
        <rFont val="Arial"/>
        <family val="2"/>
      </rPr>
      <t xml:space="preserve">
This functions return the GC ratio of the nucleotide sequence. This function is valid for nucleotide sequence.
</t>
    </r>
    <phoneticPr fontId="1"/>
  </si>
  <si>
    <t>Numeric value for the GC ratio.</t>
    <phoneticPr fontId="1"/>
  </si>
  <si>
    <t>=GCratio(SEQ)</t>
    <phoneticPr fontId="1"/>
  </si>
  <si>
    <t>r.</t>
    <phoneticPr fontId="1"/>
  </si>
  <si>
    <t>s.</t>
    <phoneticPr fontId="1"/>
  </si>
  <si>
    <t>Motif sequence</t>
    <phoneticPr fontId="1"/>
  </si>
  <si>
    <t>Number of the motif sequence in the target sequence</t>
    <phoneticPr fontId="1"/>
  </si>
  <si>
    <t>=motifcount(SEQ, motif (,position))</t>
    <phoneticPr fontId="1"/>
  </si>
  <si>
    <t>Start position</t>
    <phoneticPr fontId="1"/>
  </si>
  <si>
    <t>TACCGTCCAAGATTCCCGAATTCCATATTATGGCCTAACACACATTGGCGAAGATTTCC</t>
  </si>
  <si>
    <t>Target sequence</t>
    <phoneticPr fontId="1"/>
  </si>
  <si>
    <t>GAATTC</t>
    <phoneticPr fontId="1"/>
  </si>
  <si>
    <t>AT</t>
    <phoneticPr fontId="1"/>
  </si>
  <si>
    <t>AATT</t>
    <phoneticPr fontId="1"/>
  </si>
  <si>
    <t>CAAGCTACAGTGTAATTTACGAGCCCAATTTTGCTACTGGTCACCCTCTGACTCAACAAT</t>
    <phoneticPr fontId="1"/>
  </si>
  <si>
    <t>t.</t>
    <phoneticPr fontId="1"/>
  </si>
  <si>
    <t>u.</t>
    <phoneticPr fontId="1"/>
  </si>
  <si>
    <t>=firstmotif(SEQ, motif (,position))</t>
    <phoneticPr fontId="1"/>
  </si>
  <si>
    <t>t.</t>
    <phoneticPr fontId="1"/>
  </si>
  <si>
    <t>=findmotif(SEQ, motif)</t>
    <phoneticPr fontId="1"/>
  </si>
  <si>
    <t>You need to enable "Wrap text" functionality of the cell to get the expected result.</t>
    <phoneticPr fontId="1"/>
  </si>
  <si>
    <t>u.</t>
    <phoneticPr fontId="1"/>
  </si>
  <si>
    <t>=markmotif(SEQ, motif)</t>
    <phoneticPr fontId="1"/>
  </si>
  <si>
    <t>*) Reading frame 1 will be selected for minus value of the reading frame.</t>
    <phoneticPr fontId="1"/>
  </si>
  <si>
    <t>*) Reading frame will be adjusted to the mod 3 of the given value when it is larger than 3.</t>
    <phoneticPr fontId="1"/>
  </si>
  <si>
    <t>DNA</t>
    <phoneticPr fontId="1"/>
  </si>
  <si>
    <t>RNA</t>
    <phoneticPr fontId="1"/>
  </si>
  <si>
    <t>Any</t>
    <phoneticPr fontId="1"/>
  </si>
  <si>
    <t>b.</t>
    <phoneticPr fontId="1"/>
  </si>
  <si>
    <t>c.</t>
    <phoneticPr fontId="1"/>
  </si>
  <si>
    <t>n.</t>
    <phoneticPr fontId="1"/>
  </si>
  <si>
    <t>This function is available for any types of sequence.</t>
    <phoneticPr fontId="1"/>
  </si>
  <si>
    <t>Mark the all motif sequence appeared in the target sequence</t>
    <phoneticPr fontId="1"/>
  </si>
  <si>
    <r>
      <rPr>
        <u/>
        <sz val="11"/>
        <color rgb="FFFF0000"/>
        <rFont val="Arial"/>
        <family val="2"/>
      </rPr>
      <t>Count the occurence of a motif in the target sequence</t>
    </r>
    <r>
      <rPr>
        <sz val="11"/>
        <color theme="1"/>
        <rFont val="Arial"/>
        <family val="2"/>
      </rPr>
      <t xml:space="preserve">
This functions counts an occurence of a motif sequence that found in the target sequence after the defined position. This function is availabe for any types of sequence.
</t>
    </r>
    <phoneticPr fontId="1"/>
  </si>
  <si>
    <r>
      <rPr>
        <u/>
        <sz val="11"/>
        <color rgb="FFFF0000"/>
        <rFont val="Arial"/>
        <family val="2"/>
      </rPr>
      <t>Find the first position of a motif sequence appeared in the target sequence</t>
    </r>
    <r>
      <rPr>
        <sz val="11"/>
        <color theme="1"/>
        <rFont val="Arial"/>
        <family val="2"/>
      </rPr>
      <t xml:space="preserve">
This functions return the first position of a motif sequence found in the target sequence after the defined position. This function is availabe for any types of sequence.
</t>
    </r>
    <phoneticPr fontId="1"/>
  </si>
  <si>
    <r>
      <rPr>
        <u/>
        <sz val="11"/>
        <color rgb="FFFF0000"/>
        <rFont val="Arial"/>
        <family val="2"/>
      </rPr>
      <t>Find the all positions of a motif sequence appeared in the target sequence</t>
    </r>
    <r>
      <rPr>
        <sz val="11"/>
        <color theme="1"/>
        <rFont val="Arial"/>
        <family val="2"/>
      </rPr>
      <t xml:space="preserve">
This functions return the all position of a motif sequence found in the target sequence as a text. This function is availabe for any types of sequence.
</t>
    </r>
    <phoneticPr fontId="1"/>
  </si>
  <si>
    <r>
      <rPr>
        <u/>
        <sz val="11"/>
        <color rgb="FFFF0000"/>
        <rFont val="Arial"/>
        <family val="2"/>
      </rPr>
      <t>Mark the all motif sequence appeared in the target sequence</t>
    </r>
    <r>
      <rPr>
        <sz val="11"/>
        <color theme="1"/>
        <rFont val="Arial"/>
        <family val="2"/>
      </rPr>
      <t xml:space="preserve">
This function marks the all motif sequence found in the target sequence with bracket. This function is availabe for any types of sequence.
</t>
    </r>
    <phoneticPr fontId="1"/>
  </si>
  <si>
    <t>SNP genotype</t>
    <phoneticPr fontId="1"/>
  </si>
  <si>
    <t>M genotype</t>
    <phoneticPr fontId="1"/>
  </si>
  <si>
    <t>Arguments:</t>
    <phoneticPr fontId="1"/>
  </si>
  <si>
    <t>The case SSR genotype converted allele to the relative size to the reference SSR genotype</t>
    <phoneticPr fontId="1"/>
  </si>
  <si>
    <t>SNP genotype separated each allele with the separator.</t>
    <phoneticPr fontId="1"/>
  </si>
  <si>
    <t>SNP-like two-letter genotype</t>
    <phoneticPr fontId="1"/>
  </si>
  <si>
    <t xml:space="preserve"> *) The first letter is valid for conversion.</t>
    <phoneticPr fontId="1"/>
  </si>
  <si>
    <t xml:space="preserve"> *) 'U' is not recognized as a valid M genotype.</t>
    <phoneticPr fontId="1"/>
  </si>
  <si>
    <t>Numerical difference between two alleles of the SSR genotype.</t>
    <phoneticPr fontId="1"/>
  </si>
  <si>
    <t>SNP genotype according to the reference, phase, and Illumina's code.</t>
    <phoneticPr fontId="1"/>
  </si>
  <si>
    <t>Right side allele of the SSR genotype</t>
    <phoneticPr fontId="1"/>
  </si>
  <si>
    <t>Right side allele of the SNP genotype</t>
    <phoneticPr fontId="1"/>
  </si>
  <si>
    <t>Left side allele of the SSR genotype</t>
    <phoneticPr fontId="1"/>
  </si>
  <si>
    <t>Left side allele of the SNP genotype</t>
    <phoneticPr fontId="1"/>
  </si>
  <si>
    <t>"TRUE" when homozygous, else "FALSE"</t>
    <phoneticPr fontId="1"/>
  </si>
  <si>
    <t>Arguments:</t>
    <phoneticPr fontId="1"/>
  </si>
  <si>
    <t>"TRUE" when they are identical else "FALSE"</t>
    <phoneticPr fontId="1"/>
  </si>
  <si>
    <t>"TRUE" when the allele was included else "FALSE"</t>
    <phoneticPr fontId="1"/>
  </si>
  <si>
    <t>Ploidy number according to the given SSR genotype</t>
    <phoneticPr fontId="1"/>
  </si>
  <si>
    <t>=SSRDiff(SSR)</t>
    <phoneticPr fontId="1"/>
  </si>
  <si>
    <t>=SSRSharedAllele(SSR1, SSR2)</t>
    <phoneticPr fontId="1"/>
  </si>
  <si>
    <t>=SNPSharedAllele(SNP1, SNP2)</t>
    <phoneticPr fontId="1"/>
  </si>
  <si>
    <t>Array formula that contain the split alleles</t>
    <phoneticPr fontId="1"/>
  </si>
  <si>
    <t>"TRUE" when they shared same allele else "FALSE"</t>
    <phoneticPr fontId="1"/>
  </si>
  <si>
    <t>Abstracted genotype of offspring by CP mode of JoinMap</t>
  </si>
  <si>
    <t>Abstracted genotype of offspring by CP mode of JoinMap</t>
    <phoneticPr fontId="1"/>
  </si>
  <si>
    <t>Abstracted genotype of offspring by BC1 mode of JoinMap</t>
    <phoneticPr fontId="1"/>
  </si>
  <si>
    <t>Abstracted genotype of offspring by BC1 mode of JoinMap</t>
    <phoneticPr fontId="1"/>
  </si>
  <si>
    <t>Abstracted genotype of offspring by F2 mode of JoinMap</t>
    <phoneticPr fontId="1"/>
  </si>
  <si>
    <t>Number of the unique alleles in the SNP dataset</t>
    <phoneticPr fontId="1"/>
  </si>
  <si>
    <t>Number of the unique alleles in the SSR dataset</t>
    <phoneticPr fontId="1"/>
  </si>
  <si>
    <t>Number of the unique genotypes in the SSR dataset</t>
    <phoneticPr fontId="1"/>
  </si>
  <si>
    <t>Number of the unique genotypes in the SNP dataset</t>
    <phoneticPr fontId="1"/>
  </si>
  <si>
    <t>Arguments:</t>
    <phoneticPr fontId="1"/>
  </si>
  <si>
    <t>Arguments:</t>
    <phoneticPr fontId="1"/>
  </si>
  <si>
    <t>The ratio of the alleles matched between the dataset.</t>
    <phoneticPr fontId="1"/>
  </si>
  <si>
    <t>The ratio of the M genotypes matched between the dataset.</t>
    <phoneticPr fontId="1"/>
  </si>
  <si>
    <t>The ratio of the SSR genotypes matched between the dataset.</t>
    <phoneticPr fontId="1"/>
  </si>
  <si>
    <t>The ratio of the SNP genotypes matched between the dataset.</t>
    <phoneticPr fontId="1"/>
  </si>
  <si>
    <t>The ratio of the shared alleles between the SSR dataset.</t>
    <phoneticPr fontId="1"/>
  </si>
  <si>
    <t>The ratio of the shared alleles between the SNP dataset.</t>
    <phoneticPr fontId="1"/>
  </si>
  <si>
    <t>The ratio of the shared alleles between the M dataset.</t>
    <phoneticPr fontId="1"/>
  </si>
  <si>
    <t>=SSRAlleleFreq(Region, allele)</t>
    <phoneticPr fontId="1"/>
  </si>
  <si>
    <t>Allele: an allele of interest</t>
    <phoneticPr fontId="1"/>
  </si>
  <si>
    <t>Ratio of the allele for the SSR genotypes in the region</t>
    <phoneticPr fontId="1"/>
  </si>
  <si>
    <t>Ratio of the allele for the SNP genotypes in the region</t>
    <phoneticPr fontId="1"/>
  </si>
  <si>
    <t>Ratio of the genotype for the SSR genotypes in the region</t>
    <phoneticPr fontId="1"/>
  </si>
  <si>
    <t>Ratio of the genotype for the SNP genotypes in the region</t>
    <phoneticPr fontId="1"/>
  </si>
  <si>
    <t>Polymorphic information content (PIC)</t>
  </si>
  <si>
    <t>Match probability (PM)</t>
  </si>
  <si>
    <t>Power of discrimination (PD)</t>
  </si>
  <si>
    <t>GD for a random population</t>
    <phoneticPr fontId="1"/>
  </si>
  <si>
    <t>GD for a selfed population</t>
    <phoneticPr fontId="1"/>
  </si>
  <si>
    <t>"TRUE" if two genotypes shared a same allele</t>
    <phoneticPr fontId="1"/>
  </si>
  <si>
    <t>=IsChild(Child, Parent1, Parent2)</t>
    <phoneticPr fontId="1"/>
  </si>
  <si>
    <t>=MIsChild(Child, Parent1, Parent2)</t>
    <phoneticPr fontId="1"/>
  </si>
  <si>
    <t>Probability to obtain an offspring with the particular parents</t>
    <phoneticPr fontId="1"/>
  </si>
  <si>
    <t>Probability to obtain an offspring by random mating of the population</t>
    <phoneticPr fontId="1"/>
  </si>
  <si>
    <t>Probability to obtain an offspring from the parent with population</t>
    <phoneticPr fontId="1"/>
  </si>
  <si>
    <t>Ribo nucleic acid sequence</t>
    <phoneticPr fontId="1"/>
  </si>
  <si>
    <t>Deoxyribo nucleic acid sequence</t>
    <phoneticPr fontId="1"/>
  </si>
  <si>
    <t>=nuc2aa(SEQ, frame)</t>
    <phoneticPr fontId="1"/>
  </si>
  <si>
    <t>AC</t>
    <phoneticPr fontId="1"/>
  </si>
  <si>
    <t>ATT</t>
    <phoneticPr fontId="1"/>
  </si>
  <si>
    <t>GAATTC</t>
    <phoneticPr fontId="1"/>
  </si>
  <si>
    <t>This function is valid for nucleic acid sequence (DNA/RNA).</t>
    <phoneticPr fontId="1"/>
  </si>
  <si>
    <t>Complementary nucleotide</t>
    <phoneticPr fontId="1"/>
  </si>
  <si>
    <t>Reverse complementary sequence</t>
    <phoneticPr fontId="1"/>
  </si>
  <si>
    <t>This function inserts a space to the sequence at every N characters interval.</t>
    <phoneticPr fontId="1"/>
  </si>
  <si>
    <t xml:space="preserve">This function returns the reverse-complementary sequence. </t>
    <phoneticPr fontId="1"/>
  </si>
  <si>
    <t>This function encloses a character at the assigned position in the sequence with bracket.</t>
    <phoneticPr fontId="1"/>
  </si>
  <si>
    <t>This function removes all extra code (space, bracket, slash or parenthesis) in the sequence.</t>
    <phoneticPr fontId="1"/>
  </si>
  <si>
    <t>Bracketed sequence</t>
    <phoneticPr fontId="1"/>
  </si>
  <si>
    <t xml:space="preserve">This function converts a code of deoxyribo nucleotide to a code of ribo nucleotide. </t>
    <phoneticPr fontId="1"/>
  </si>
  <si>
    <t>Convert an RNA code to DNA code</t>
    <phoneticPr fontId="1"/>
  </si>
  <si>
    <t>Convert a DNA code to RNA code</t>
    <phoneticPr fontId="1"/>
  </si>
  <si>
    <t>A code of complementary nucleotide for DNA</t>
    <phoneticPr fontId="1"/>
  </si>
  <si>
    <t>A code of ribo nucleotide</t>
    <phoneticPr fontId="1"/>
  </si>
  <si>
    <t>A code of deoxyribo nucleotide</t>
    <phoneticPr fontId="1"/>
  </si>
  <si>
    <t>Convert DNA sequence to RNA sequence</t>
    <phoneticPr fontId="1"/>
  </si>
  <si>
    <t xml:space="preserve">This function converts U/u to T/t in the sequence. </t>
    <phoneticPr fontId="1"/>
  </si>
  <si>
    <t>This function converts T/t to U/u in the sequence.</t>
    <phoneticPr fontId="1"/>
  </si>
  <si>
    <t>Convert RNA sequence to DNA sequence</t>
    <phoneticPr fontId="1"/>
  </si>
  <si>
    <t>Format the sequence by insert line feed at same interval</t>
    <phoneticPr fontId="1"/>
  </si>
  <si>
    <t>Extract 5' nucleotide sequence</t>
    <phoneticPr fontId="1"/>
  </si>
  <si>
    <t>The 5'-end nucleotide will be returned when the length was not defined.</t>
  </si>
  <si>
    <t>Extract the 3' nucleotide sequence for N bases</t>
  </si>
  <si>
    <t>The 3'-end nucleotide will be returned when the length was not defined.</t>
  </si>
  <si>
    <t>Count the occurrence of a motif in the target sequence</t>
  </si>
  <si>
    <t>The first nucleotide is valid for the evaluation.</t>
  </si>
  <si>
    <t>Bracketing a character in the sequence</t>
  </si>
  <si>
    <t>*) Set position longer than the length of the sequence will bracket the 3' end of the sequence.</t>
  </si>
  <si>
    <t>Formatted sequence</t>
    <phoneticPr fontId="1"/>
  </si>
  <si>
    <t>Convert nucleotide sequence to amino acid sequence</t>
    <phoneticPr fontId="1"/>
  </si>
  <si>
    <t>This function converts a nucleotide sequence of the assigned reading frame to amino acid sequence.</t>
    <phoneticPr fontId="1"/>
  </si>
  <si>
    <t>Amino acid sequence</t>
    <phoneticPr fontId="1"/>
  </si>
  <si>
    <t>Nucleotide composition and sequence length</t>
    <phoneticPr fontId="1"/>
  </si>
  <si>
    <t>A text of the nucleotide composition and the sequence length</t>
    <phoneticPr fontId="1"/>
  </si>
  <si>
    <t>GC ratio of the nucleic acid sequence</t>
    <phoneticPr fontId="1"/>
  </si>
  <si>
    <t>This function returns the GC ratio of the nucleic acid sequence.</t>
    <phoneticPr fontId="1"/>
  </si>
  <si>
    <t>This function counts an occurrence of a motif sequence appeared in the target sequence after the defined position.</t>
    <phoneticPr fontId="1"/>
  </si>
  <si>
    <t>Find the first position of a motif sequence appeared in the target sequence</t>
    <phoneticPr fontId="1"/>
  </si>
  <si>
    <t xml:space="preserve">This function returns the first position of a motif sequence found in the target sequence after the defined position. </t>
    <phoneticPr fontId="1"/>
  </si>
  <si>
    <t>The first position of the motif sequence appeared in the target sequence after the position.</t>
    <phoneticPr fontId="1"/>
  </si>
  <si>
    <t>This function returns the list of all positions of the motif sequence found in the target sequence as a text.</t>
    <phoneticPr fontId="1"/>
  </si>
  <si>
    <t>List of positions of the motif sequence appeared in the target sequence</t>
    <phoneticPr fontId="1"/>
  </si>
  <si>
    <t>The target sequence enclosed all motif sequence appeared with brackets.</t>
    <phoneticPr fontId="1"/>
  </si>
  <si>
    <t>This function encloses the all motif sequence appeared in the target sequence with brackets.</t>
    <phoneticPr fontId="1"/>
  </si>
  <si>
    <t>This function extracts 5' nucleotide sequence of the assigned length. The 5' end nucleotide will be returned when the length was not defined.</t>
    <phoneticPr fontId="1"/>
  </si>
  <si>
    <t>This function extracts 5' nucleotide sequence of the assigned length. The 3' end nucleotide will be returned when the length was not defined.</t>
    <phoneticPr fontId="1"/>
  </si>
  <si>
    <t>This function reports the composition of nucleotides and the length of the sequence.</t>
    <phoneticPr fontId="1"/>
  </si>
  <si>
    <t>These functions examine whether a particular genotype of an offspring is consistent with those of two parents and then return the result as a Boolean value.</t>
  </si>
  <si>
    <t>"TRUE" if the offspring is true offspring of the parent</t>
  </si>
  <si>
    <t>These functions estimate T(g0|gm, ga) by Marshall (1998) [4] from the proposed genotypes of the offspring and parents.</t>
  </si>
  <si>
    <t>A unique allele appeared in the region defined by the index</t>
    <phoneticPr fontId="1"/>
  </si>
  <si>
    <t>The index represents the order of a unique allele appeared in the dataset.</t>
    <phoneticPr fontId="1"/>
  </si>
  <si>
    <t>The index represents the order of a unique genotype appeared in the dataset.</t>
    <phoneticPr fontId="1"/>
  </si>
  <si>
    <t>These functions return a text value of the unique genotype that appeared at index position in the dataset.</t>
    <phoneticPr fontId="1"/>
  </si>
  <si>
    <t>These functions return a text value of the unique allele that appeared at index position in the dataset.</t>
    <phoneticPr fontId="1"/>
  </si>
  <si>
    <t>A unique genotype appeared in the region defined by the index.</t>
    <phoneticPr fontId="1"/>
  </si>
  <si>
    <t>Allele index</t>
    <phoneticPr fontId="1"/>
  </si>
  <si>
    <t>A unique allele at the index</t>
    <phoneticPr fontId="1"/>
  </si>
  <si>
    <t>A unique genotype at the index</t>
    <phoneticPr fontId="1"/>
  </si>
  <si>
    <t>Genotype index</t>
    <phoneticPr fontId="1"/>
  </si>
  <si>
    <t>TRUE' if offspring of the parents will segregate for this DNA marker</t>
  </si>
  <si>
    <t>1) The size differences of two genotypes are larger than allowed difference</t>
  </si>
  <si>
    <t>NormXXX functions format a string for SSR, SNP, or M genotype.</t>
    <phoneticPr fontId="1"/>
  </si>
  <si>
    <r>
      <rPr>
        <u/>
        <sz val="11"/>
        <color rgb="FFFF0000"/>
        <rFont val="Arial"/>
        <family val="2"/>
      </rPr>
      <t>Data normalization</t>
    </r>
    <r>
      <rPr>
        <sz val="11"/>
        <color rgb="FFFF0000"/>
        <rFont val="Arial"/>
        <family val="2"/>
      </rPr>
      <t xml:space="preserve">
</t>
    </r>
    <r>
      <rPr>
        <sz val="11"/>
        <color theme="1"/>
        <rFont val="Arial"/>
        <family val="2"/>
      </rPr>
      <t>NormXXX functions format a string for SSR, SNP, or M genotype.</t>
    </r>
    <phoneticPr fontId="1"/>
  </si>
  <si>
    <t>This function returns a value for the size difference of two alleles of an SSR genotype.</t>
    <phoneticPr fontId="1"/>
  </si>
  <si>
    <r>
      <rPr>
        <u/>
        <sz val="11"/>
        <color rgb="FFFF0000"/>
        <rFont val="Arial"/>
        <family val="2"/>
      </rPr>
      <t>Obtain allele size difference of an SSR marker</t>
    </r>
    <r>
      <rPr>
        <sz val="11"/>
        <color rgb="FFFF0000"/>
        <rFont val="Arial"/>
        <family val="2"/>
      </rPr>
      <t xml:space="preserve">
</t>
    </r>
    <r>
      <rPr>
        <sz val="11"/>
        <color theme="1"/>
        <rFont val="Arial"/>
        <family val="2"/>
      </rPr>
      <t>This function will return a value for size difference of two SSR alleles.</t>
    </r>
    <phoneticPr fontId="1"/>
  </si>
  <si>
    <t>These functions return the left-side allele of a designated SSR or SNP genotype.</t>
    <phoneticPr fontId="1"/>
  </si>
  <si>
    <t>Test an allele is included in genotype data</t>
    <phoneticPr fontId="1"/>
  </si>
  <si>
    <r>
      <rPr>
        <u/>
        <sz val="11"/>
        <color rgb="FFFF0000"/>
        <rFont val="Arial"/>
        <family val="2"/>
      </rPr>
      <t>Test an allele is included in genotype data</t>
    </r>
    <r>
      <rPr>
        <sz val="11"/>
        <color rgb="FFFF0000"/>
        <rFont val="Arial"/>
        <family val="2"/>
      </rPr>
      <t xml:space="preserve">
</t>
    </r>
    <r>
      <rPr>
        <sz val="11"/>
        <rFont val="Arial"/>
        <family val="2"/>
      </rPr>
      <t xml:space="preserve">These functions examine whether a designated allele is included in the SSR or SNP genotype. The argument should be the allele, not the genotype.
</t>
    </r>
    <phoneticPr fontId="1"/>
  </si>
  <si>
    <t>Find a shared allele between two genotypes</t>
    <phoneticPr fontId="1"/>
  </si>
  <si>
    <r>
      <rPr>
        <u/>
        <sz val="11"/>
        <color rgb="FFFF0000"/>
        <rFont val="Arial"/>
        <family val="2"/>
      </rPr>
      <t>Find a shared allele between two genotypes</t>
    </r>
    <r>
      <rPr>
        <sz val="11"/>
        <color theme="1"/>
        <rFont val="Arial"/>
        <family val="2"/>
      </rPr>
      <t xml:space="preserve">
These functions find a shared allele between two genotypes and then return the shared allele found. If no allele is shared, ‘0’ (SSR) or ‘Null’ (SNP) will be returned.
</t>
    </r>
    <phoneticPr fontId="1"/>
  </si>
  <si>
    <t>Type of segregation of the offspring estimated from the parents</t>
    <phoneticPr fontId="1"/>
  </si>
  <si>
    <t>A string of the segregation type for CP mode of JoinMap</t>
    <phoneticPr fontId="1"/>
  </si>
  <si>
    <t>A string of the segregation type for CP mode of JoinMap</t>
    <phoneticPr fontId="1"/>
  </si>
  <si>
    <t>A string of the segregation type for BC1 or F2 mode of JoinMap</t>
    <phoneticPr fontId="1"/>
  </si>
  <si>
    <t>These functions estimate the segregation type of offspring from the genotypes of two parental genotypes for the BC1 or F2 mode of JoinMap.</t>
    <phoneticPr fontId="1"/>
  </si>
  <si>
    <t>A string of the segregation type for BC1 or F2 mode of JoinMap</t>
    <phoneticPr fontId="1"/>
  </si>
  <si>
    <t>CP type</t>
    <phoneticPr fontId="1"/>
  </si>
  <si>
    <t>Segregation type</t>
    <phoneticPr fontId="1"/>
  </si>
  <si>
    <t xml:space="preserve">SSR2CPGT(Parent1, parent2, type, offspring)
</t>
    <phoneticPr fontId="1"/>
  </si>
  <si>
    <t xml:space="preserve">SNP2CPGT(Parent1, parent2, type, offspring)
</t>
    <phoneticPr fontId="1"/>
  </si>
  <si>
    <t>Estimate the segregation type according to the BC1 or F2 mode from the genotypes of parents.</t>
    <phoneticPr fontId="1"/>
  </si>
  <si>
    <t>SNP2CPGT(parent1, parent2, type, offspring)
&gt; CP genotype</t>
    <phoneticPr fontId="1"/>
  </si>
  <si>
    <r>
      <rPr>
        <sz val="11"/>
        <color rgb="FF0000FF"/>
        <rFont val="Arial"/>
        <family val="2"/>
      </rPr>
      <t>SSR2CPGT(parent1, parent2, type, offspring)
&gt; CP genotype</t>
    </r>
    <r>
      <rPr>
        <sz val="11"/>
        <color theme="1"/>
        <rFont val="Arial"/>
        <family val="2"/>
      </rPr>
      <t xml:space="preserve">
</t>
    </r>
    <phoneticPr fontId="1"/>
  </si>
  <si>
    <t>SSR2CPType(parent1, parent2)
&gt; segregation type</t>
    <phoneticPr fontId="1"/>
  </si>
  <si>
    <t>SNP2CPType(parent1, parent2)
&gt; segregation type</t>
    <phoneticPr fontId="1"/>
  </si>
  <si>
    <t>These functions estimate the segregation type of offspring from the genotypes of parents according to the CP mode of JoinMap.</t>
    <phoneticPr fontId="1"/>
  </si>
  <si>
    <t>H</t>
    <phoneticPr fontId="1"/>
  </si>
  <si>
    <t>Number of the unique alleles in the M dataset</t>
    <phoneticPr fontId="1"/>
  </si>
  <si>
    <t>Number of the unique alleles in the allele dataset</t>
    <phoneticPr fontId="1"/>
  </si>
  <si>
    <t>=UniqMAlleles(Region)</t>
    <phoneticPr fontId="1"/>
  </si>
  <si>
    <t>=UniqSSRAlleles(Region)</t>
    <phoneticPr fontId="1"/>
  </si>
  <si>
    <t>=UniqSNPAlleles(Region)</t>
    <phoneticPr fontId="1"/>
  </si>
  <si>
    <t>=UniqAlleles(Region)</t>
    <phoneticPr fontId="1"/>
  </si>
  <si>
    <t>Number of the unique genotypes in the M dataset</t>
    <phoneticPr fontId="1"/>
  </si>
  <si>
    <t>=UniqMGTs(Dataset)</t>
    <phoneticPr fontId="1"/>
  </si>
  <si>
    <t>=GetUniqAllele(Region, index)</t>
    <phoneticPr fontId="1"/>
  </si>
  <si>
    <t>=GetUniqMAllele(Region, index)</t>
    <phoneticPr fontId="1"/>
  </si>
  <si>
    <t>=GetUniqSSRAllele(Region, index)</t>
    <phoneticPr fontId="1"/>
  </si>
  <si>
    <t>=GetUniqSNPAllele(Region, index)</t>
    <phoneticPr fontId="1"/>
  </si>
  <si>
    <t>=GetUniqMGT(Region, index)</t>
    <phoneticPr fontId="1"/>
  </si>
  <si>
    <t>=GetUniqSSRGT(Region, index)</t>
    <phoneticPr fontId="1"/>
  </si>
  <si>
    <t>=GetUniqSNPGT(Region, index)</t>
    <phoneticPr fontId="1"/>
  </si>
  <si>
    <t>7) Sequence manipulation</t>
    <phoneticPr fontId="1"/>
  </si>
  <si>
    <t>6) Genetic data analysis</t>
    <phoneticPr fontId="1"/>
  </si>
  <si>
    <t>5) Frequency analysis</t>
    <phoneticPr fontId="1"/>
  </si>
  <si>
    <t>3) Linkage analysis</t>
    <phoneticPr fontId="1"/>
  </si>
  <si>
    <t>2) Basic analysis</t>
    <phoneticPr fontId="1"/>
  </si>
  <si>
    <t>1) Data format conversion</t>
    <phoneticPr fontId="1"/>
  </si>
  <si>
    <t>NUC</t>
    <phoneticPr fontId="1"/>
  </si>
  <si>
    <t>A code of the deoxy-ribo nucleotide (A, C, G, T) or ribo nucleotide (A, C, G, U)</t>
  </si>
  <si>
    <t>SEQ</t>
    <phoneticPr fontId="1"/>
  </si>
  <si>
    <t>A single letter code of amino acid</t>
  </si>
  <si>
    <t>Any</t>
    <phoneticPr fontId="1"/>
  </si>
  <si>
    <t>Any types of sequence (DNA, RNA, amino acid or else)</t>
    <phoneticPr fontId="1"/>
  </si>
  <si>
    <t>Segregation type for the CP mode of JoinMap</t>
    <phoneticPr fontId="1"/>
  </si>
  <si>
    <t>NUC</t>
    <phoneticPr fontId="1"/>
  </si>
  <si>
    <t>Any</t>
    <phoneticPr fontId="1"/>
  </si>
  <si>
    <t>Any types of sequence (DNA, RNA, amino acid or else)</t>
    <phoneticPr fontId="1"/>
  </si>
  <si>
    <t>Nucleotide sequence of DNA or RNA, or amino acid sequence</t>
    <phoneticPr fontId="1"/>
  </si>
  <si>
    <t>A single letter code of amino acid</t>
    <phoneticPr fontId="1"/>
  </si>
  <si>
    <t>A code of the deoxy-ribo nucleotide (A, C, G, T) or ribo nucleotide (A, C, G, U)</t>
    <phoneticPr fontId="1"/>
  </si>
  <si>
    <t>1) Data conversion</t>
    <phoneticPr fontId="1"/>
  </si>
  <si>
    <t>3) Linkage analysis</t>
    <phoneticPr fontId="1"/>
  </si>
  <si>
    <t>5) Frequency Analysis</t>
    <phoneticPr fontId="1"/>
  </si>
  <si>
    <t>6) Genetic data analysis</t>
    <phoneticPr fontId="1"/>
  </si>
  <si>
    <t>7) Sequence manipulation</t>
    <phoneticPr fontId="1"/>
  </si>
  <si>
    <t>5) Frequency Analysis</t>
    <phoneticPr fontId="1"/>
  </si>
  <si>
    <t>7) Sequence Manipulation</t>
    <phoneticPr fontId="1"/>
  </si>
  <si>
    <t>3) Linkage Analysis</t>
    <phoneticPr fontId="1"/>
  </si>
  <si>
    <t>2)  Basic Analysis</t>
    <phoneticPr fontId="1"/>
  </si>
  <si>
    <t>1) Data Format Conversion</t>
    <phoneticPr fontId="1"/>
  </si>
  <si>
    <t>Query seq</t>
    <phoneticPr fontId="1"/>
  </si>
  <si>
    <t>This function compares the query sequence to the reference sequence from 5'-end then shows the matched character.</t>
  </si>
  <si>
    <t>=matchseq(REF, Query)</t>
    <phoneticPr fontId="1"/>
  </si>
  <si>
    <t>REF seq</t>
    <phoneticPr fontId="1"/>
  </si>
  <si>
    <t>TACCGTCCAAGATTCCCGAATTCCATAAAATGGCCTAACACACATTGGCGAAGATTTCC</t>
    <phoneticPr fontId="1"/>
  </si>
  <si>
    <t>TACCGTCCAAGATTCCCGAATTCCATATTATGGCCTAANNNNNNTTGGCGAAGATTTCC</t>
    <phoneticPr fontId="1"/>
  </si>
  <si>
    <t>TACCGTCCAAGATTcccgAATTCCATATTATGGCCTAATTGGCGAAGATTTCC</t>
    <phoneticPr fontId="1"/>
  </si>
  <si>
    <t>1st line: REF sequence, 2nd line: matched QUERY sequence but "." for unmatched.</t>
    <phoneticPr fontId="1"/>
  </si>
  <si>
    <t>SEQ</t>
    <phoneticPr fontId="1"/>
  </si>
  <si>
    <t>ORDER</t>
    <phoneticPr fontId="1"/>
  </si>
  <si>
    <t>CAAGCTACAGTGTAATTTACGAGCCCA[A/C]TTTTGCTACTGGTCACCCTCTGACTCAACAAT</t>
    <phoneticPr fontId="1"/>
  </si>
  <si>
    <t>CAAGCTACAGTGTAATTTACGAGCCCAATTTTGCTACTGGTCACCCTCTGACTCAACAA[T</t>
    <phoneticPr fontId="1"/>
  </si>
  <si>
    <t>CAAG[C/A]TACAGT[G/A]TAATTT[C/A]CGAGCCCA[T/A]TTTTG[C/T]TACTGGTCACCCTCTGACTCAACAAT</t>
    <phoneticPr fontId="1"/>
  </si>
  <si>
    <t>The right side of the SEQ will be returned when it was not closed.</t>
    <phoneticPr fontId="1"/>
  </si>
  <si>
    <t>CAAGCTACAGTGTAATTTACGA]GCCCAATTTTGCTACTGGTCACCCTCTGACTCAACAAT</t>
    <phoneticPr fontId="1"/>
  </si>
  <si>
    <t>*) FIrst bracket will be selected when the value of ORDER was ouside of the range.</t>
    <phoneticPr fontId="1"/>
  </si>
  <si>
    <t>Prune the unnecessary sequence and select the sequence inside the bracket</t>
    <phoneticPr fontId="1"/>
  </si>
  <si>
    <t>User can identify the one to be remained when multiple brackets present in the sequence.</t>
    <phoneticPr fontId="1"/>
  </si>
  <si>
    <t>*) The value of ORDER will be 1 when it was not defined.</t>
    <phoneticPr fontId="1"/>
  </si>
  <si>
    <t>*) Nothing will be returned when the left side bracket didn't present.</t>
    <phoneticPr fontId="1"/>
  </si>
  <si>
    <t>A sequence in the bracket within the SEQ at a position defined by ORDER.</t>
    <phoneticPr fontId="1"/>
  </si>
  <si>
    <t>121/140</t>
    <phoneticPr fontId="1"/>
  </si>
  <si>
    <t>120/141</t>
    <phoneticPr fontId="1"/>
  </si>
  <si>
    <t>Return</t>
    <phoneticPr fontId="1"/>
  </si>
  <si>
    <t>TACCGTCCAAGATTCCCGAATTCCATATTATGGCCTAACACACATTGGCGAAGATTTCC</t>
    <phoneticPr fontId="1"/>
  </si>
  <si>
    <t>CAAGCTACAGTGTAA[TTTACGA]GCCCAAT[T]TTGCTACTGGTCACCCTCTGACTCAACAAT</t>
    <phoneticPr fontId="1"/>
  </si>
  <si>
    <t>Matched ratio of the query sequence to the reference sequence</t>
    <phoneticPr fontId="1"/>
  </si>
  <si>
    <t>This function compares the query sequence to the reference sequence from 5'-end then returns the ratio of the matched character.</t>
    <phoneticPr fontId="1"/>
  </si>
  <si>
    <t>w.</t>
    <phoneticPr fontId="1"/>
  </si>
  <si>
    <t>Ratio of the matched query sequence to the reference sequence</t>
    <phoneticPr fontId="1"/>
  </si>
  <si>
    <t>v.</t>
    <phoneticPr fontId="1"/>
  </si>
  <si>
    <t>x.</t>
    <phoneticPr fontId="1"/>
  </si>
  <si>
    <t>4) Dataset Analysis</t>
    <phoneticPr fontId="1"/>
  </si>
  <si>
    <r>
      <t>= UniqSSRAlleles(</t>
    </r>
    <r>
      <rPr>
        <b/>
        <sz val="12"/>
        <color rgb="FF0000FF"/>
        <rFont val="Calibri"/>
        <family val="2"/>
      </rPr>
      <t>Region</t>
    </r>
    <r>
      <rPr>
        <sz val="12"/>
        <color rgb="FF0000FF"/>
        <rFont val="Calibri"/>
        <family val="2"/>
      </rPr>
      <t>)</t>
    </r>
    <phoneticPr fontId="1"/>
  </si>
  <si>
    <r>
      <t>= UniqSNPAlleles(</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</si>
  <si>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consist of SSR genotype data for the evaluation</t>
    </r>
    <phoneticPr fontId="1"/>
  </si>
  <si>
    <r>
      <rPr>
        <b/>
        <sz val="12"/>
        <color theme="1"/>
        <rFont val="Calibri"/>
        <family val="2"/>
      </rPr>
      <t>Region</t>
    </r>
    <r>
      <rPr>
        <sz val="12"/>
        <color theme="1"/>
        <rFont val="Calibri"/>
        <family val="2"/>
      </rPr>
      <t>: a region consist of SNP genotype data for the evaluation</t>
    </r>
    <phoneticPr fontId="1"/>
  </si>
  <si>
    <r>
      <t>= UniqMAlleles(</t>
    </r>
    <r>
      <rPr>
        <b/>
        <sz val="12"/>
        <color rgb="FF0000FF"/>
        <rFont val="Calibri"/>
        <family val="2"/>
      </rPr>
      <t>Region</t>
    </r>
    <r>
      <rPr>
        <sz val="12"/>
        <color rgb="FF0000FF"/>
        <rFont val="Calibri"/>
        <family val="2"/>
      </rPr>
      <t>)</t>
    </r>
    <phoneticPr fontId="1"/>
  </si>
  <si>
    <r>
      <t>= UniqAlleles(</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</si>
  <si>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consist of M genotype data for the evaluation</t>
    </r>
    <phoneticPr fontId="1"/>
  </si>
  <si>
    <r>
      <rPr>
        <b/>
        <sz val="12"/>
        <color theme="1"/>
        <rFont val="Calibri"/>
        <family val="2"/>
      </rPr>
      <t>Region</t>
    </r>
    <r>
      <rPr>
        <sz val="12"/>
        <color theme="1"/>
        <rFont val="Calibri"/>
        <family val="2"/>
      </rPr>
      <t>: a region consist of allele data for the evaluation</t>
    </r>
    <phoneticPr fontId="1"/>
  </si>
  <si>
    <r>
      <t>= UniqSSRGTs(</t>
    </r>
    <r>
      <rPr>
        <b/>
        <sz val="12"/>
        <color rgb="FF0000FF"/>
        <rFont val="Calibri"/>
        <family val="2"/>
      </rPr>
      <t>Region</t>
    </r>
    <r>
      <rPr>
        <sz val="12"/>
        <color rgb="FF0000FF"/>
        <rFont val="Calibri"/>
        <family val="2"/>
      </rPr>
      <t>)</t>
    </r>
    <phoneticPr fontId="1"/>
  </si>
  <si>
    <r>
      <t>= UniqSNPGTs(</t>
    </r>
    <r>
      <rPr>
        <b/>
        <sz val="12"/>
        <color rgb="FF0000FF"/>
        <rFont val="Calibri"/>
        <family val="2"/>
      </rPr>
      <t>Region</t>
    </r>
    <r>
      <rPr>
        <sz val="12"/>
        <color rgb="FF0000FF"/>
        <rFont val="Calibri"/>
        <family val="2"/>
      </rPr>
      <t>)</t>
    </r>
    <phoneticPr fontId="1"/>
  </si>
  <si>
    <r>
      <t>= UniqMGTs(</t>
    </r>
    <r>
      <rPr>
        <b/>
        <sz val="12"/>
        <color rgb="FF0000FF"/>
        <rFont val="Calibri"/>
        <family val="2"/>
      </rPr>
      <t>Region</t>
    </r>
    <r>
      <rPr>
        <sz val="12"/>
        <color rgb="FF0000FF"/>
        <rFont val="Calibri"/>
        <family val="2"/>
      </rPr>
      <t>)</t>
    </r>
    <phoneticPr fontId="1"/>
  </si>
  <si>
    <r>
      <t>= GetUniqSSRAllele(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</si>
  <si>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GetUniqSNPAllele(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</si>
  <si>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rPr>
        <b/>
        <sz val="12"/>
        <color theme="1"/>
        <rFont val="Calibri"/>
        <family val="2"/>
      </rPr>
      <t>Index</t>
    </r>
    <r>
      <rPr>
        <sz val="12"/>
        <color theme="1"/>
        <rFont val="Calibri"/>
        <family val="2"/>
      </rPr>
      <t>: the order of the unique allele appeared in the dataset.</t>
    </r>
    <phoneticPr fontId="1"/>
  </si>
  <si>
    <r>
      <t>= GetUniqMAllele(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</si>
  <si>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GetUniqSSRGT(</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</si>
  <si>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GetUniqSNPGT(</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</si>
  <si>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rPr>
        <b/>
        <sz val="12"/>
        <color theme="1"/>
        <rFont val="Calibri"/>
        <family val="2"/>
      </rPr>
      <t>Index</t>
    </r>
    <r>
      <rPr>
        <sz val="12"/>
        <color theme="1"/>
        <rFont val="Calibri"/>
        <family val="2"/>
      </rPr>
      <t>: the order of the unique genotype appeared in the dataset.</t>
    </r>
    <phoneticPr fontId="1"/>
  </si>
  <si>
    <r>
      <t>= GetUniqMGT(</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</si>
  <si>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SSRMatchedRatio(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</si>
  <si>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SNPMatchedRatio(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</si>
  <si>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rPr>
        <b/>
        <sz val="12"/>
        <color theme="1"/>
        <rFont val="Calibri"/>
        <family val="2"/>
      </rPr>
      <t>Region1, region2</t>
    </r>
    <r>
      <rPr>
        <sz val="12"/>
        <color theme="1"/>
        <rFont val="Calibri"/>
        <family val="2"/>
      </rPr>
      <t>: sets of SSR genotypes for the evaluation</t>
    </r>
    <phoneticPr fontId="1"/>
  </si>
  <si>
    <r>
      <rPr>
        <b/>
        <sz val="12"/>
        <color theme="1"/>
        <rFont val="Calibri"/>
        <family val="2"/>
      </rPr>
      <t>Region1, region2</t>
    </r>
    <r>
      <rPr>
        <sz val="12"/>
        <color theme="1"/>
        <rFont val="Calibri"/>
        <family val="2"/>
      </rPr>
      <t>: sets of SNP genotypes for the evaluation</t>
    </r>
    <phoneticPr fontId="1"/>
  </si>
  <si>
    <r>
      <t>= MMatchedRatio(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</si>
  <si>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</si>
  <si>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rPr>
        <b/>
        <sz val="12"/>
        <color theme="1"/>
        <rFont val="Calibri"/>
        <family val="2"/>
      </rPr>
      <t>Region1, region2</t>
    </r>
    <r>
      <rPr>
        <sz val="12"/>
        <color theme="1"/>
        <rFont val="Calibri"/>
        <family val="2"/>
      </rPr>
      <t>: sets of M genotypes for the evaluation</t>
    </r>
    <phoneticPr fontId="1"/>
  </si>
  <si>
    <r>
      <rPr>
        <b/>
        <sz val="12"/>
        <color theme="1"/>
        <rFont val="Calibri"/>
        <family val="2"/>
      </rPr>
      <t>Region1, region2</t>
    </r>
    <r>
      <rPr>
        <sz val="12"/>
        <color theme="1"/>
        <rFont val="Calibri"/>
        <family val="2"/>
      </rPr>
      <t>: sets of alleles for the evaluation</t>
    </r>
    <phoneticPr fontId="1"/>
  </si>
  <si>
    <r>
      <t>= SSRSharedRatio(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</si>
  <si>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SNPSharedRatio(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</si>
  <si>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MSharedRatio(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</si>
  <si>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t>Sample SSR dataset 1</t>
  </si>
  <si>
    <t>Sample SNP dataset 1</t>
  </si>
  <si>
    <t>Sample M dataset 1</t>
  </si>
  <si>
    <t>Sample allele dataset 1</t>
  </si>
  <si>
    <t>Number of unique alleles in a designated dataset</t>
  </si>
  <si>
    <t>Results for the sample SSR dataset 1</t>
  </si>
  <si>
    <t>Results for the sample SNP dataset 1</t>
  </si>
  <si>
    <t>Results for the sample M dataset 1</t>
  </si>
  <si>
    <t>Results for the sample allele dataset 1</t>
  </si>
  <si>
    <t>Number of unique genotypes in a designated dataset</t>
  </si>
  <si>
    <t>Region: a region consist of SSR genotype dataset for the evaluation</t>
  </si>
  <si>
    <t>Region: a region consist of SNP genotype dataset for the evaluation</t>
  </si>
  <si>
    <t>Region: a region consist of M genotype dataset for the evaluation</t>
  </si>
  <si>
    <t>A unique allele in a designated dataset</t>
  </si>
  <si>
    <t>A unique genotype in a designated dataset</t>
  </si>
  <si>
    <t>Ratio of matched genotypes by pairwise comparison between the two datasets</t>
  </si>
  <si>
    <t>Sample SSR dataset 2</t>
  </si>
  <si>
    <t>Sample SNP dataset 2</t>
  </si>
  <si>
    <t>Results for the sample SSR dataset 2</t>
  </si>
  <si>
    <t>Results for the sample SNP dataset 2</t>
  </si>
  <si>
    <t>Sample M dataset</t>
  </si>
  <si>
    <t>Sample Allele dataset</t>
  </si>
  <si>
    <t>Results for the sample M dataset</t>
  </si>
  <si>
    <t>Results for the sample allele dataset</t>
  </si>
  <si>
    <t>Ratio of matched alleles by pairwise comparison between the two datasets</t>
  </si>
  <si>
    <t xml:space="preserve">Results for the sample M dataset </t>
  </si>
  <si>
    <t>Frequency of a particular allele in a designated dataset</t>
  </si>
  <si>
    <t>Frequency of a particular genotype in a designated dataset</t>
  </si>
  <si>
    <r>
      <t>=SSRAlleleFreq(</t>
    </r>
    <r>
      <rPr>
        <b/>
        <sz val="12"/>
        <color rgb="FF0000FF"/>
        <rFont val="Calibri"/>
        <family val="2"/>
      </rPr>
      <t>Region</t>
    </r>
    <r>
      <rPr>
        <sz val="12"/>
        <color rgb="FF0000FF"/>
        <rFont val="Calibri"/>
        <family val="2"/>
      </rPr>
      <t xml:space="preserve">, </t>
    </r>
    <r>
      <rPr>
        <b/>
        <sz val="12"/>
        <color rgb="FF0000FF"/>
        <rFont val="Calibri"/>
        <family val="2"/>
      </rPr>
      <t>allele</t>
    </r>
    <r>
      <rPr>
        <sz val="12"/>
        <color rgb="FF0000FF"/>
        <rFont val="Calibri"/>
        <family val="2"/>
      </rPr>
      <t>)</t>
    </r>
    <phoneticPr fontId="1"/>
  </si>
  <si>
    <r>
      <t>=SNPAlleleFreq(</t>
    </r>
    <r>
      <rPr>
        <b/>
        <sz val="12"/>
        <color rgb="FF0000FF"/>
        <rFont val="Calibri"/>
        <family val="2"/>
      </rPr>
      <t>Region</t>
    </r>
    <r>
      <rPr>
        <sz val="12"/>
        <color rgb="FF0000FF"/>
        <rFont val="Calibri"/>
        <family val="2"/>
      </rPr>
      <t xml:space="preserve">, </t>
    </r>
    <r>
      <rPr>
        <b/>
        <sz val="12"/>
        <color rgb="FF0000FF"/>
        <rFont val="Calibri"/>
        <family val="2"/>
      </rPr>
      <t>allele</t>
    </r>
    <r>
      <rPr>
        <sz val="12"/>
        <color rgb="FF0000FF"/>
        <rFont val="Calibri"/>
        <family val="2"/>
      </rPr>
      <t>)</t>
    </r>
    <phoneticPr fontId="1"/>
  </si>
  <si>
    <r>
      <rPr>
        <b/>
        <sz val="12"/>
        <color theme="1"/>
        <rFont val="Calibri"/>
        <family val="2"/>
      </rPr>
      <t>Region</t>
    </r>
    <r>
      <rPr>
        <sz val="12"/>
        <color theme="1"/>
        <rFont val="Calibri"/>
        <family val="2"/>
      </rPr>
      <t>: a region that contains SSR genotypes to be evaluated</t>
    </r>
    <phoneticPr fontId="1"/>
  </si>
  <si>
    <r>
      <rPr>
        <b/>
        <sz val="12"/>
        <color theme="1"/>
        <rFont val="Calibri"/>
        <family val="2"/>
      </rPr>
      <t>Region</t>
    </r>
    <r>
      <rPr>
        <sz val="12"/>
        <color theme="1"/>
        <rFont val="Calibri"/>
        <family val="2"/>
      </rPr>
      <t>: a region that contains SNP genotypes to be evaluated</t>
    </r>
    <phoneticPr fontId="1"/>
  </si>
  <si>
    <r>
      <t>=SSRGTFreq(</t>
    </r>
    <r>
      <rPr>
        <b/>
        <sz val="12"/>
        <color rgb="FF0000FF"/>
        <rFont val="Calibri"/>
        <family val="2"/>
      </rPr>
      <t>Region</t>
    </r>
    <r>
      <rPr>
        <sz val="12"/>
        <color rgb="FF0000FF"/>
        <rFont val="Calibri"/>
        <family val="2"/>
      </rPr>
      <t xml:space="preserve">, </t>
    </r>
    <r>
      <rPr>
        <b/>
        <sz val="12"/>
        <color rgb="FF0000FF"/>
        <rFont val="Calibri"/>
        <family val="2"/>
      </rPr>
      <t>genotype</t>
    </r>
    <r>
      <rPr>
        <sz val="12"/>
        <color rgb="FF0000FF"/>
        <rFont val="Calibri"/>
        <family val="2"/>
      </rPr>
      <t>)</t>
    </r>
    <phoneticPr fontId="1"/>
  </si>
  <si>
    <r>
      <t>=SNPGTFreq(</t>
    </r>
    <r>
      <rPr>
        <b/>
        <sz val="12"/>
        <color rgb="FF0000FF"/>
        <rFont val="Calibri"/>
        <family val="2"/>
      </rPr>
      <t>Region</t>
    </r>
    <r>
      <rPr>
        <sz val="12"/>
        <color rgb="FF0000FF"/>
        <rFont val="Calibri"/>
        <family val="2"/>
      </rPr>
      <t xml:space="preserve">, </t>
    </r>
    <r>
      <rPr>
        <b/>
        <sz val="12"/>
        <color rgb="FF0000FF"/>
        <rFont val="Calibri"/>
        <family val="2"/>
      </rPr>
      <t>genotype</t>
    </r>
    <r>
      <rPr>
        <sz val="12"/>
        <color rgb="FF0000FF"/>
        <rFont val="Calibri"/>
        <family val="2"/>
      </rPr>
      <t>)</t>
    </r>
    <phoneticPr fontId="1"/>
  </si>
  <si>
    <r>
      <rPr>
        <b/>
        <sz val="12"/>
        <color theme="1"/>
        <rFont val="Calibri"/>
        <family val="2"/>
      </rPr>
      <t>Region</t>
    </r>
    <r>
      <rPr>
        <sz val="12"/>
        <color theme="1"/>
        <rFont val="Calibri"/>
        <family val="2"/>
      </rPr>
      <t>: a region that contains SNP genotypes to be evaluated</t>
    </r>
    <phoneticPr fontId="1"/>
  </si>
  <si>
    <r>
      <rPr>
        <b/>
        <sz val="12"/>
        <color theme="1"/>
        <rFont val="Calibri"/>
        <family val="2"/>
      </rPr>
      <t>Genotype</t>
    </r>
    <r>
      <rPr>
        <sz val="12"/>
        <color theme="1"/>
        <rFont val="Calibri"/>
        <family val="2"/>
      </rPr>
      <t>: a genotype of interest</t>
    </r>
    <phoneticPr fontId="1"/>
  </si>
  <si>
    <r>
      <rPr>
        <b/>
        <sz val="12"/>
        <color theme="1"/>
        <rFont val="Calibri"/>
        <family val="2"/>
      </rPr>
      <t>Genotype</t>
    </r>
    <r>
      <rPr>
        <sz val="12"/>
        <color theme="1"/>
        <rFont val="Calibri"/>
        <family val="2"/>
      </rPr>
      <t>: a genotype of interest</t>
    </r>
    <phoneticPr fontId="1"/>
  </si>
  <si>
    <r>
      <t>Observed heterozygosity (</t>
    </r>
    <r>
      <rPr>
        <i/>
        <sz val="12"/>
        <color theme="1"/>
        <rFont val="Calibri"/>
        <family val="2"/>
      </rPr>
      <t>Ho</t>
    </r>
    <r>
      <rPr>
        <sz val="12"/>
        <color theme="1"/>
        <rFont val="Calibri"/>
        <family val="2"/>
      </rPr>
      <t>)</t>
    </r>
    <phoneticPr fontId="1"/>
  </si>
  <si>
    <r>
      <t xml:space="preserve">This </t>
    </r>
    <r>
      <rPr>
        <i/>
        <sz val="12"/>
        <color theme="1"/>
        <rFont val="Calibri"/>
        <family val="2"/>
      </rPr>
      <t>Ho</t>
    </r>
    <r>
      <rPr>
        <sz val="12"/>
        <color theme="1"/>
        <rFont val="Calibri"/>
        <family val="2"/>
      </rPr>
      <t>represents the ratio of the heterozygous genotypes in the region.</t>
    </r>
    <phoneticPr fontId="1"/>
  </si>
  <si>
    <r>
      <t>=SSRHo(</t>
    </r>
    <r>
      <rPr>
        <b/>
        <sz val="12"/>
        <color rgb="FF0000FF"/>
        <rFont val="Calibri"/>
        <family val="2"/>
      </rPr>
      <t>Region</t>
    </r>
    <r>
      <rPr>
        <sz val="12"/>
        <color rgb="FF0000FF"/>
        <rFont val="Calibri"/>
        <family val="2"/>
      </rPr>
      <t>)</t>
    </r>
    <phoneticPr fontId="1"/>
  </si>
  <si>
    <r>
      <t>=SNPHo(</t>
    </r>
    <r>
      <rPr>
        <b/>
        <sz val="12"/>
        <color rgb="FF0000FF"/>
        <rFont val="Calibri"/>
        <family val="2"/>
      </rPr>
      <t>Region</t>
    </r>
    <r>
      <rPr>
        <sz val="12"/>
        <color rgb="FF0000FF"/>
        <rFont val="Calibri"/>
        <family val="2"/>
      </rPr>
      <t>)</t>
    </r>
    <phoneticPr fontId="1"/>
  </si>
  <si>
    <r>
      <t>Observed heterozygosity (</t>
    </r>
    <r>
      <rPr>
        <i/>
        <sz val="12"/>
        <color theme="1"/>
        <rFont val="Calibri"/>
        <family val="2"/>
      </rPr>
      <t>H</t>
    </r>
    <r>
      <rPr>
        <sz val="12"/>
        <color theme="1"/>
        <rFont val="Calibri"/>
        <family val="2"/>
      </rPr>
      <t>o)</t>
    </r>
    <phoneticPr fontId="1"/>
  </si>
  <si>
    <r>
      <t xml:space="preserve">Expected heterozygosity </t>
    </r>
    <r>
      <rPr>
        <i/>
        <sz val="12"/>
        <color theme="1"/>
        <rFont val="Calibri"/>
        <family val="2"/>
      </rPr>
      <t>(He</t>
    </r>
    <r>
      <rPr>
        <sz val="12"/>
        <color theme="1"/>
        <rFont val="Calibri"/>
        <family val="2"/>
      </rPr>
      <t>)</t>
    </r>
    <phoneticPr fontId="1"/>
  </si>
  <si>
    <r>
      <t>=SSRHe(</t>
    </r>
    <r>
      <rPr>
        <b/>
        <sz val="12"/>
        <color rgb="FF0000FF"/>
        <rFont val="Calibri"/>
        <family val="2"/>
      </rPr>
      <t>Region</t>
    </r>
    <r>
      <rPr>
        <sz val="12"/>
        <color rgb="FF0000FF"/>
        <rFont val="Calibri"/>
        <family val="2"/>
      </rPr>
      <t>)</t>
    </r>
    <phoneticPr fontId="1"/>
  </si>
  <si>
    <r>
      <t>=SNPHe(</t>
    </r>
    <r>
      <rPr>
        <b/>
        <sz val="12"/>
        <color rgb="FF0000FF"/>
        <rFont val="Calibri"/>
        <family val="2"/>
      </rPr>
      <t>Region</t>
    </r>
    <r>
      <rPr>
        <sz val="12"/>
        <color rgb="FF0000FF"/>
        <rFont val="Calibri"/>
        <family val="2"/>
      </rPr>
      <t>)</t>
    </r>
    <phoneticPr fontId="1"/>
  </si>
  <si>
    <r>
      <t>Expected heterozygosity (</t>
    </r>
    <r>
      <rPr>
        <i/>
        <sz val="12"/>
        <color theme="1"/>
        <rFont val="Calibri"/>
        <family val="2"/>
      </rPr>
      <t>H</t>
    </r>
    <r>
      <rPr>
        <sz val="12"/>
        <color theme="1"/>
        <rFont val="Calibri"/>
        <family val="2"/>
      </rPr>
      <t>e)</t>
    </r>
    <phoneticPr fontId="1"/>
  </si>
  <si>
    <r>
      <t>=SSRPIC(</t>
    </r>
    <r>
      <rPr>
        <b/>
        <sz val="12"/>
        <color rgb="FF0000FF"/>
        <rFont val="Calibri"/>
        <family val="2"/>
      </rPr>
      <t>Region</t>
    </r>
    <r>
      <rPr>
        <sz val="12"/>
        <color rgb="FF0000FF"/>
        <rFont val="Calibri"/>
        <family val="2"/>
      </rPr>
      <t>)</t>
    </r>
    <phoneticPr fontId="1"/>
  </si>
  <si>
    <r>
      <t>=SNPPIC(</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</si>
  <si>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that contains SSR genotypes to be evaluated</t>
    </r>
    <phoneticPr fontId="1"/>
  </si>
  <si>
    <r>
      <t>=SSRPM(</t>
    </r>
    <r>
      <rPr>
        <b/>
        <sz val="12"/>
        <color rgb="FF0000FF"/>
        <rFont val="Calibri"/>
        <family val="2"/>
      </rPr>
      <t>Region</t>
    </r>
    <r>
      <rPr>
        <sz val="12"/>
        <color rgb="FF0000FF"/>
        <rFont val="Calibri"/>
        <family val="2"/>
      </rPr>
      <t>)</t>
    </r>
    <phoneticPr fontId="1"/>
  </si>
  <si>
    <r>
      <t>=SNPPM(</t>
    </r>
    <r>
      <rPr>
        <b/>
        <sz val="12"/>
        <color rgb="FF0000FF"/>
        <rFont val="Calibri"/>
        <family val="2"/>
      </rPr>
      <t>Region</t>
    </r>
    <r>
      <rPr>
        <sz val="12"/>
        <color rgb="FF0000FF"/>
        <rFont val="Calibri"/>
        <family val="2"/>
      </rPr>
      <t>)</t>
    </r>
    <phoneticPr fontId="1"/>
  </si>
  <si>
    <r>
      <t>=SSRPD(</t>
    </r>
    <r>
      <rPr>
        <b/>
        <sz val="12"/>
        <color rgb="FF0000FF"/>
        <rFont val="Calibri"/>
        <family val="2"/>
      </rPr>
      <t>Region</t>
    </r>
    <r>
      <rPr>
        <sz val="12"/>
        <color rgb="FF0000FF"/>
        <rFont val="Calibri"/>
        <family val="2"/>
      </rPr>
      <t>)</t>
    </r>
    <phoneticPr fontId="1"/>
  </si>
  <si>
    <r>
      <t>=SNPPD(</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</si>
  <si>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that contains SSR genotypes to be evaluated</t>
    </r>
    <phoneticPr fontId="1"/>
  </si>
  <si>
    <r>
      <t>=SSRGD(</t>
    </r>
    <r>
      <rPr>
        <b/>
        <sz val="12"/>
        <color rgb="FF0000FF"/>
        <rFont val="Calibri"/>
        <family val="2"/>
      </rPr>
      <t>Region</t>
    </r>
    <r>
      <rPr>
        <sz val="12"/>
        <color rgb="FF0000FF"/>
        <rFont val="Calibri"/>
        <family val="2"/>
      </rPr>
      <t>)</t>
    </r>
    <phoneticPr fontId="1"/>
  </si>
  <si>
    <r>
      <t>=SNPGD(</t>
    </r>
    <r>
      <rPr>
        <b/>
        <sz val="12"/>
        <color rgb="FF0000FF"/>
        <rFont val="Calibri"/>
        <family val="2"/>
      </rPr>
      <t>Region</t>
    </r>
    <r>
      <rPr>
        <sz val="12"/>
        <color rgb="FF0000FF"/>
        <rFont val="Calibri"/>
        <family val="2"/>
      </rPr>
      <t>)</t>
    </r>
    <phoneticPr fontId="1"/>
  </si>
  <si>
    <r>
      <t>=SSRGD2(</t>
    </r>
    <r>
      <rPr>
        <b/>
        <sz val="12"/>
        <color rgb="FF0000FF"/>
        <rFont val="Calibri"/>
        <family val="2"/>
      </rPr>
      <t>Region</t>
    </r>
    <r>
      <rPr>
        <sz val="12"/>
        <color rgb="FF0000FF"/>
        <rFont val="Calibri"/>
        <family val="2"/>
      </rPr>
      <t>)</t>
    </r>
    <phoneticPr fontId="1"/>
  </si>
  <si>
    <r>
      <t>=SNPGD2(</t>
    </r>
    <r>
      <rPr>
        <b/>
        <sz val="12"/>
        <color rgb="FF0000FF"/>
        <rFont val="Calibri"/>
        <family val="2"/>
      </rPr>
      <t>Region</t>
    </r>
    <r>
      <rPr>
        <sz val="12"/>
        <color rgb="FF0000FF"/>
        <rFont val="Calibri"/>
        <family val="2"/>
      </rPr>
      <t>)</t>
    </r>
    <phoneticPr fontId="1"/>
  </si>
  <si>
    <r>
      <rPr>
        <i/>
        <sz val="12"/>
        <color theme="1"/>
        <rFont val="Calibri"/>
        <family val="2"/>
      </rPr>
      <t>Tips</t>
    </r>
    <r>
      <rPr>
        <sz val="12"/>
        <color theme="1"/>
        <rFont val="Calibri"/>
        <family val="2"/>
      </rPr>
      <t>: This is a common function of all genotype data.</t>
    </r>
    <phoneticPr fontId="1"/>
  </si>
  <si>
    <r>
      <t>=</t>
    </r>
    <r>
      <rPr>
        <sz val="12"/>
        <color rgb="FFFF0000"/>
        <rFont val="Calibri"/>
        <family val="2"/>
      </rPr>
      <t>Ukaif0</t>
    </r>
    <r>
      <rPr>
        <sz val="12"/>
        <color theme="1"/>
        <rFont val="Calibri"/>
        <family val="2"/>
      </rPr>
      <t>(Region for fi)</t>
    </r>
    <phoneticPr fontId="1"/>
  </si>
  <si>
    <r>
      <rPr>
        <i/>
        <sz val="12"/>
        <color rgb="FFFF0000"/>
        <rFont val="Calibri"/>
        <family val="2"/>
      </rPr>
      <t>f</t>
    </r>
    <r>
      <rPr>
        <sz val="12"/>
        <color rgb="FFFF0000"/>
        <rFont val="Calibri"/>
        <family val="2"/>
      </rPr>
      <t>0 =</t>
    </r>
    <phoneticPr fontId="1"/>
  </si>
  <si>
    <r>
      <t>=</t>
    </r>
    <r>
      <rPr>
        <sz val="12"/>
        <color rgb="FFFF0000"/>
        <rFont val="Calibri"/>
        <family val="2"/>
      </rPr>
      <t>UkaiP1</t>
    </r>
    <r>
      <rPr>
        <sz val="12"/>
        <color theme="1"/>
        <rFont val="Calibri"/>
        <family val="2"/>
      </rPr>
      <t>(Region for fi, N for individuals)</t>
    </r>
    <phoneticPr fontId="1"/>
  </si>
  <si>
    <r>
      <t>= AlleleShared(</t>
    </r>
    <r>
      <rPr>
        <b/>
        <sz val="12"/>
        <color rgb="FF0000FF"/>
        <rFont val="Calibri"/>
        <family val="2"/>
      </rPr>
      <t>SSR1</t>
    </r>
    <r>
      <rPr>
        <sz val="12"/>
        <color rgb="FF0000FF"/>
        <rFont val="Calibri"/>
        <family val="2"/>
      </rPr>
      <t xml:space="preserve">, </t>
    </r>
    <r>
      <rPr>
        <b/>
        <sz val="12"/>
        <color rgb="FF0000FF"/>
        <rFont val="Calibri"/>
        <family val="2"/>
      </rPr>
      <t>SSR2</t>
    </r>
    <r>
      <rPr>
        <sz val="12"/>
        <color rgb="FF0000FF"/>
        <rFont val="Calibri"/>
        <family val="2"/>
      </rPr>
      <t>)</t>
    </r>
    <phoneticPr fontId="1"/>
  </si>
  <si>
    <r>
      <t>= SNPAlleleShared(</t>
    </r>
    <r>
      <rPr>
        <b/>
        <sz val="12"/>
        <color rgb="FF0000FF"/>
        <rFont val="Calibri"/>
        <family val="2"/>
      </rPr>
      <t>SNP1</t>
    </r>
    <r>
      <rPr>
        <sz val="12"/>
        <color rgb="FF0000FF"/>
        <rFont val="Calibri"/>
        <family val="2"/>
      </rPr>
      <t xml:space="preserve">, </t>
    </r>
    <r>
      <rPr>
        <b/>
        <sz val="12"/>
        <color rgb="FF0000FF"/>
        <rFont val="Calibri"/>
        <family val="2"/>
      </rPr>
      <t>SNP2</t>
    </r>
    <r>
      <rPr>
        <sz val="12"/>
        <color rgb="FF0000FF"/>
        <rFont val="Calibri"/>
        <family val="2"/>
      </rPr>
      <t>)</t>
    </r>
    <phoneticPr fontId="1"/>
  </si>
  <si>
    <r>
      <rPr>
        <b/>
        <sz val="12"/>
        <color theme="1"/>
        <rFont val="Calibri"/>
        <family val="2"/>
      </rPr>
      <t>SSR</t>
    </r>
    <r>
      <rPr>
        <sz val="12"/>
        <color theme="1"/>
        <rFont val="Calibri"/>
        <family val="2"/>
      </rPr>
      <t xml:space="preserve"> genotype to be evaluated</t>
    </r>
    <phoneticPr fontId="1"/>
  </si>
  <si>
    <r>
      <rPr>
        <b/>
        <sz val="12"/>
        <color theme="1"/>
        <rFont val="Calibri"/>
        <family val="2"/>
      </rPr>
      <t>SNP</t>
    </r>
    <r>
      <rPr>
        <sz val="12"/>
        <color theme="1"/>
        <rFont val="Calibri"/>
        <family val="2"/>
      </rPr>
      <t xml:space="preserve"> genotype to be evaluated</t>
    </r>
    <phoneticPr fontId="1"/>
  </si>
  <si>
    <r>
      <t>= IsChild(</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</si>
  <si>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t>= MIsChild(</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</si>
  <si>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rPr>
        <b/>
        <sz val="12"/>
        <color theme="1"/>
        <rFont val="Calibri"/>
        <family val="2"/>
      </rPr>
      <t>Offspring</t>
    </r>
    <r>
      <rPr>
        <sz val="12"/>
        <color theme="1"/>
        <rFont val="Calibri"/>
        <family val="2"/>
      </rPr>
      <t>: SSR genotype of offspring individual</t>
    </r>
    <phoneticPr fontId="1"/>
  </si>
  <si>
    <r>
      <rPr>
        <b/>
        <sz val="12"/>
        <color theme="1"/>
        <rFont val="Calibri"/>
        <family val="2"/>
      </rPr>
      <t>Offspring</t>
    </r>
    <r>
      <rPr>
        <sz val="12"/>
        <color theme="1"/>
        <rFont val="Calibri"/>
        <family val="2"/>
      </rPr>
      <t>: M genotype of offspring individual</t>
    </r>
    <phoneticPr fontId="1"/>
  </si>
  <si>
    <r>
      <rPr>
        <b/>
        <sz val="12"/>
        <color theme="1"/>
        <rFont val="Calibri"/>
        <family val="2"/>
      </rPr>
      <t xml:space="preserve">Parent1, parent2: </t>
    </r>
    <r>
      <rPr>
        <sz val="12"/>
        <color theme="1"/>
        <rFont val="Calibri"/>
        <family val="2"/>
      </rPr>
      <t>SSR genotype to be evaluated</t>
    </r>
    <phoneticPr fontId="1"/>
  </si>
  <si>
    <r>
      <rPr>
        <b/>
        <sz val="12"/>
        <color theme="1"/>
        <rFont val="Calibri"/>
        <family val="2"/>
      </rPr>
      <t xml:space="preserve">Parent1, parent2: </t>
    </r>
    <r>
      <rPr>
        <sz val="12"/>
        <color theme="1"/>
        <rFont val="Calibri"/>
        <family val="2"/>
      </rPr>
      <t>M genotype to be evaluated</t>
    </r>
    <phoneticPr fontId="1"/>
  </si>
  <si>
    <r>
      <t>= SNPIsChild(</t>
    </r>
    <r>
      <rPr>
        <b/>
        <sz val="12"/>
        <color theme="1"/>
        <rFont val="Calibri"/>
        <family val="2"/>
      </rPr>
      <t>Offspring</t>
    </r>
    <r>
      <rPr>
        <sz val="12"/>
        <color theme="1"/>
        <rFont val="Calibri"/>
        <family val="2"/>
      </rPr>
      <t xml:space="preserve">, </t>
    </r>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t>
    </r>
    <phoneticPr fontId="1"/>
  </si>
  <si>
    <r>
      <rPr>
        <b/>
        <sz val="12"/>
        <color theme="1"/>
        <rFont val="Calibri"/>
        <family val="2"/>
      </rPr>
      <t>Offspring</t>
    </r>
    <r>
      <rPr>
        <sz val="12"/>
        <color theme="1"/>
        <rFont val="Calibri"/>
        <family val="2"/>
      </rPr>
      <t>: SNP genotype of offspring individual</t>
    </r>
    <phoneticPr fontId="1"/>
  </si>
  <si>
    <r>
      <rPr>
        <b/>
        <sz val="12"/>
        <color theme="1"/>
        <rFont val="Calibri"/>
        <family val="2"/>
      </rPr>
      <t xml:space="preserve">Parent1, parent2: </t>
    </r>
    <r>
      <rPr>
        <sz val="12"/>
        <color theme="1"/>
        <rFont val="Calibri"/>
        <family val="2"/>
      </rPr>
      <t>SNP genotype to be evaluated</t>
    </r>
    <phoneticPr fontId="1"/>
  </si>
  <si>
    <r>
      <t>= SSRChildProbability(</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Diff</t>
    </r>
    <r>
      <rPr>
        <sz val="12"/>
        <color rgb="FF0000FF"/>
        <rFont val="Calibri"/>
        <family val="2"/>
      </rPr>
      <t>)</t>
    </r>
    <phoneticPr fontId="1"/>
  </si>
  <si>
    <r>
      <t>= SNPChildProbability(</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</si>
  <si>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rPr>
        <b/>
        <sz val="12"/>
        <color theme="1"/>
        <rFont val="Calibri"/>
        <family val="2"/>
      </rPr>
      <t>Offspring</t>
    </r>
    <r>
      <rPr>
        <sz val="12"/>
        <color theme="1"/>
        <rFont val="Calibri"/>
        <family val="2"/>
      </rPr>
      <t>: SNP genotype of offspring individual</t>
    </r>
    <phoneticPr fontId="1"/>
  </si>
  <si>
    <r>
      <rPr>
        <b/>
        <sz val="12"/>
        <color theme="1"/>
        <rFont val="Calibri"/>
        <family val="2"/>
      </rPr>
      <t xml:space="preserve">Parent1, parent2: </t>
    </r>
    <r>
      <rPr>
        <sz val="12"/>
        <color theme="1"/>
        <rFont val="Calibri"/>
        <family val="2"/>
      </rPr>
      <t>SSR genotype to be evaluated</t>
    </r>
    <phoneticPr fontId="1"/>
  </si>
  <si>
    <r>
      <rPr>
        <b/>
        <sz val="12"/>
        <color theme="1"/>
        <rFont val="Calibri"/>
        <family val="2"/>
      </rPr>
      <t xml:space="preserve">Parent1, parent2: </t>
    </r>
    <r>
      <rPr>
        <sz val="12"/>
        <color theme="1"/>
        <rFont val="Calibri"/>
        <family val="2"/>
      </rPr>
      <t>SNP genotype to be evaluated</t>
    </r>
    <phoneticPr fontId="1"/>
  </si>
  <si>
    <r>
      <rPr>
        <b/>
        <sz val="12"/>
        <color theme="1"/>
        <rFont val="Calibri"/>
        <family val="2"/>
      </rPr>
      <t>DIFF</t>
    </r>
    <r>
      <rPr>
        <sz val="12"/>
        <color theme="1"/>
        <rFont val="Calibri"/>
        <family val="2"/>
      </rPr>
      <t>: allowed differences between alleles to regard them identical</t>
    </r>
    <phoneticPr fontId="1"/>
  </si>
  <si>
    <r>
      <t>T(</t>
    </r>
    <r>
      <rPr>
        <i/>
        <sz val="12"/>
        <color rgb="FF000000"/>
        <rFont val="Calibri"/>
        <family val="2"/>
      </rPr>
      <t>g</t>
    </r>
    <r>
      <rPr>
        <i/>
        <vertAlign val="subscript"/>
        <sz val="12"/>
        <color rgb="FF000000"/>
        <rFont val="Calibri"/>
        <family val="2"/>
      </rPr>
      <t>0</t>
    </r>
    <r>
      <rPr>
        <sz val="12"/>
        <color rgb="FF000000"/>
        <rFont val="Calibri"/>
        <family val="2"/>
      </rPr>
      <t>|</t>
    </r>
    <r>
      <rPr>
        <i/>
        <sz val="12"/>
        <color rgb="FF000000"/>
        <rFont val="Calibri"/>
        <family val="2"/>
      </rPr>
      <t>g</t>
    </r>
    <r>
      <rPr>
        <i/>
        <vertAlign val="subscript"/>
        <sz val="12"/>
        <color rgb="FF000000"/>
        <rFont val="Calibri"/>
        <family val="2"/>
      </rPr>
      <t>m</t>
    </r>
    <r>
      <rPr>
        <sz val="12"/>
        <color rgb="FF000000"/>
        <rFont val="Calibri"/>
        <family val="2"/>
      </rPr>
      <t xml:space="preserve">, </t>
    </r>
    <r>
      <rPr>
        <i/>
        <sz val="12"/>
        <color rgb="FF000000"/>
        <rFont val="Calibri"/>
        <family val="2"/>
      </rPr>
      <t>g</t>
    </r>
    <r>
      <rPr>
        <i/>
        <vertAlign val="subscript"/>
        <sz val="12"/>
        <color rgb="FF000000"/>
        <rFont val="Calibri"/>
        <family val="2"/>
      </rPr>
      <t>a</t>
    </r>
    <r>
      <rPr>
        <sz val="12"/>
        <color rgb="FF000000"/>
        <rFont val="Calibri"/>
        <family val="2"/>
      </rPr>
      <t>)</t>
    </r>
  </si>
  <si>
    <r>
      <t>= SSRGTProbability(</t>
    </r>
    <r>
      <rPr>
        <b/>
        <sz val="12"/>
        <color rgb="FF0000FF"/>
        <rFont val="Calibri"/>
        <family val="2"/>
      </rPr>
      <t>Region, offspring</t>
    </r>
    <r>
      <rPr>
        <sz val="12"/>
        <color rgb="FF0000FF"/>
        <rFont val="Calibri"/>
        <family val="2"/>
      </rPr>
      <t>)</t>
    </r>
    <phoneticPr fontId="1"/>
  </si>
  <si>
    <r>
      <t>= SNPGTProbability(</t>
    </r>
    <r>
      <rPr>
        <b/>
        <sz val="12"/>
        <color rgb="FF0000FF"/>
        <rFont val="Calibri"/>
        <family val="2"/>
      </rPr>
      <t>Region, offspring</t>
    </r>
    <r>
      <rPr>
        <sz val="12"/>
        <color rgb="FF0000FF"/>
        <rFont val="Calibri"/>
        <family val="2"/>
      </rPr>
      <t>)</t>
    </r>
    <phoneticPr fontId="1"/>
  </si>
  <si>
    <r>
      <rPr>
        <b/>
        <sz val="12"/>
        <color theme="1"/>
        <rFont val="Calibri"/>
        <family val="2"/>
      </rPr>
      <t xml:space="preserve">Region: </t>
    </r>
    <r>
      <rPr>
        <sz val="12"/>
        <color theme="1"/>
        <rFont val="Calibri"/>
        <family val="2"/>
      </rPr>
      <t>a set of SSR genotypes to be evaluated</t>
    </r>
    <phoneticPr fontId="1"/>
  </si>
  <si>
    <r>
      <rPr>
        <b/>
        <sz val="12"/>
        <color theme="1"/>
        <rFont val="Calibri"/>
        <family val="2"/>
      </rPr>
      <t xml:space="preserve">Region: </t>
    </r>
    <r>
      <rPr>
        <sz val="12"/>
        <color theme="1"/>
        <rFont val="Calibri"/>
        <family val="2"/>
      </rPr>
      <t>a set of SNP genotypes to be evaluated</t>
    </r>
    <phoneticPr fontId="1"/>
  </si>
  <si>
    <r>
      <rPr>
        <b/>
        <sz val="12"/>
        <color theme="1"/>
        <rFont val="Calibri"/>
        <family val="2"/>
      </rPr>
      <t>Offspring</t>
    </r>
    <r>
      <rPr>
        <sz val="12"/>
        <color theme="1"/>
        <rFont val="Calibri"/>
        <family val="2"/>
      </rPr>
      <t>: SSR genotype of offspring individual</t>
    </r>
    <phoneticPr fontId="1"/>
  </si>
  <si>
    <r>
      <t>= SSRParentageProbability(</t>
    </r>
    <r>
      <rPr>
        <b/>
        <sz val="12"/>
        <color rgb="FF0000FF"/>
        <rFont val="Calibri"/>
        <family val="2"/>
      </rPr>
      <t>Offspring</t>
    </r>
    <r>
      <rPr>
        <sz val="12"/>
        <color rgb="FF0000FF"/>
        <rFont val="Calibri"/>
        <family val="2"/>
      </rPr>
      <t xml:space="preserve">, </t>
    </r>
    <r>
      <rPr>
        <b/>
        <sz val="12"/>
        <color rgb="FF0000FF"/>
        <rFont val="Calibri"/>
        <family val="2"/>
      </rPr>
      <t>parent</t>
    </r>
    <r>
      <rPr>
        <sz val="12"/>
        <color rgb="FF0000FF"/>
        <rFont val="Calibri"/>
        <family val="2"/>
      </rPr>
      <t xml:space="preserve">, </t>
    </r>
    <r>
      <rPr>
        <b/>
        <sz val="12"/>
        <color rgb="FF0000FF"/>
        <rFont val="Calibri"/>
        <family val="2"/>
      </rPr>
      <t>region</t>
    </r>
    <r>
      <rPr>
        <sz val="12"/>
        <color rgb="FF0000FF"/>
        <rFont val="Calibri"/>
        <family val="2"/>
      </rPr>
      <t>)</t>
    </r>
    <phoneticPr fontId="1"/>
  </si>
  <si>
    <r>
      <t>= SNPParentageProbability(</t>
    </r>
    <r>
      <rPr>
        <b/>
        <sz val="12"/>
        <color rgb="FF0000FF"/>
        <rFont val="Calibri"/>
        <family val="2"/>
      </rPr>
      <t>Offspring</t>
    </r>
    <r>
      <rPr>
        <sz val="12"/>
        <color rgb="FF0000FF"/>
        <rFont val="Calibri"/>
        <family val="2"/>
      </rPr>
      <t xml:space="preserve">, </t>
    </r>
    <r>
      <rPr>
        <b/>
        <sz val="12"/>
        <color rgb="FF0000FF"/>
        <rFont val="Calibri"/>
        <family val="2"/>
      </rPr>
      <t>parent</t>
    </r>
    <r>
      <rPr>
        <sz val="12"/>
        <color rgb="FF0000FF"/>
        <rFont val="Calibri"/>
        <family val="2"/>
      </rPr>
      <t xml:space="preserve">, </t>
    </r>
    <r>
      <rPr>
        <b/>
        <sz val="12"/>
        <color rgb="FF0000FF"/>
        <rFont val="Calibri"/>
        <family val="2"/>
      </rPr>
      <t>region</t>
    </r>
    <r>
      <rPr>
        <sz val="12"/>
        <color rgb="FF0000FF"/>
        <rFont val="Calibri"/>
        <family val="2"/>
      </rPr>
      <t>)</t>
    </r>
    <phoneticPr fontId="1"/>
  </si>
  <si>
    <r>
      <rPr>
        <b/>
        <sz val="12"/>
        <color theme="1"/>
        <rFont val="Calibri"/>
        <family val="2"/>
      </rPr>
      <t>Offspring</t>
    </r>
    <r>
      <rPr>
        <sz val="12"/>
        <color theme="1"/>
        <rFont val="Calibri"/>
        <family val="2"/>
      </rPr>
      <t>: SSR genotype of offspring individual</t>
    </r>
    <phoneticPr fontId="1"/>
  </si>
  <si>
    <r>
      <rPr>
        <b/>
        <sz val="12"/>
        <color theme="1"/>
        <rFont val="Calibri"/>
        <family val="2"/>
      </rPr>
      <t>Offspring</t>
    </r>
    <r>
      <rPr>
        <sz val="12"/>
        <color theme="1"/>
        <rFont val="Calibri"/>
        <family val="2"/>
      </rPr>
      <t>: SNP genotype of offspring individual</t>
    </r>
    <phoneticPr fontId="1"/>
  </si>
  <si>
    <r>
      <rPr>
        <b/>
        <sz val="12"/>
        <color theme="1"/>
        <rFont val="Calibri"/>
        <family val="2"/>
      </rPr>
      <t xml:space="preserve">Parent: </t>
    </r>
    <r>
      <rPr>
        <sz val="12"/>
        <color theme="1"/>
        <rFont val="Calibri"/>
        <family val="2"/>
      </rPr>
      <t>SSR genotype of alleged parent</t>
    </r>
    <phoneticPr fontId="1"/>
  </si>
  <si>
    <r>
      <rPr>
        <b/>
        <sz val="12"/>
        <color theme="1"/>
        <rFont val="Calibri"/>
        <family val="2"/>
      </rPr>
      <t xml:space="preserve">Parent: </t>
    </r>
    <r>
      <rPr>
        <sz val="12"/>
        <color theme="1"/>
        <rFont val="Calibri"/>
        <family val="2"/>
      </rPr>
      <t>SNP genotype of alleged parent</t>
    </r>
    <phoneticPr fontId="1"/>
  </si>
  <si>
    <r>
      <rPr>
        <b/>
        <sz val="12"/>
        <color theme="1"/>
        <rFont val="Calibri"/>
        <family val="2"/>
      </rPr>
      <t>Region</t>
    </r>
    <r>
      <rPr>
        <sz val="12"/>
        <color theme="1"/>
        <rFont val="Calibri"/>
        <family val="2"/>
      </rPr>
      <t>: reference population consists of SSR genotypes</t>
    </r>
    <phoneticPr fontId="1"/>
  </si>
  <si>
    <r>
      <rPr>
        <b/>
        <sz val="12"/>
        <color theme="1"/>
        <rFont val="Calibri"/>
        <family val="2"/>
      </rPr>
      <t>Region</t>
    </r>
    <r>
      <rPr>
        <sz val="12"/>
        <color theme="1"/>
        <rFont val="Calibri"/>
        <family val="2"/>
      </rPr>
      <t>: reference population consists of SSR genotypes</t>
    </r>
    <phoneticPr fontId="1"/>
  </si>
  <si>
    <t>Results for SSR dataset</t>
  </si>
  <si>
    <t>Results for SNP dataset</t>
  </si>
  <si>
    <t>Results for M dataset</t>
  </si>
  <si>
    <r>
      <t>= compnuc(</t>
    </r>
    <r>
      <rPr>
        <b/>
        <sz val="12"/>
        <color rgb="FF0000FF"/>
        <rFont val="Calibri"/>
        <family val="2"/>
      </rPr>
      <t>NUC</t>
    </r>
    <r>
      <rPr>
        <sz val="12"/>
        <color rgb="FF0000FF"/>
        <rFont val="Calibri"/>
        <family val="2"/>
      </rPr>
      <t>)</t>
    </r>
    <phoneticPr fontId="1"/>
  </si>
  <si>
    <r>
      <rPr>
        <b/>
        <sz val="12"/>
        <color theme="1"/>
        <rFont val="Calibri"/>
        <family val="2"/>
      </rPr>
      <t>NUC</t>
    </r>
    <r>
      <rPr>
        <sz val="12"/>
        <color theme="1"/>
        <rFont val="Calibri"/>
        <family val="2"/>
      </rPr>
      <t>: a code of nucleotide (not sequence)</t>
    </r>
    <phoneticPr fontId="1"/>
  </si>
  <si>
    <r>
      <t>= comp(</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</si>
  <si>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</si>
  <si>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t>= reverse(</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</si>
  <si>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acid/amino acid sequence</t>
    </r>
    <phoneticPr fontId="1"/>
  </si>
  <si>
    <r>
      <t>= revcomp(</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</si>
  <si>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</si>
  <si>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t>= splitseq(</t>
    </r>
    <r>
      <rPr>
        <b/>
        <sz val="12"/>
        <color rgb="FF0000FF"/>
        <rFont val="Calibri"/>
        <family val="2"/>
      </rPr>
      <t>SEQ</t>
    </r>
    <r>
      <rPr>
        <sz val="12"/>
        <color rgb="FF0000FF"/>
        <rFont val="Calibri"/>
        <family val="2"/>
      </rPr>
      <t xml:space="preserve">, </t>
    </r>
    <r>
      <rPr>
        <b/>
        <sz val="12"/>
        <color rgb="FF0000FF"/>
        <rFont val="Calibri"/>
        <family val="2"/>
      </rPr>
      <t>interval</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</si>
  <si>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</si>
  <si>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rPr>
        <b/>
        <sz val="12"/>
        <color theme="1"/>
        <rFont val="Calibri"/>
        <family val="2"/>
      </rPr>
      <t>Interval</t>
    </r>
    <r>
      <rPr>
        <sz val="12"/>
        <color theme="1"/>
        <rFont val="Calibri"/>
        <family val="2"/>
      </rPr>
      <t>: length to insert a space</t>
    </r>
    <phoneticPr fontId="1"/>
  </si>
  <si>
    <r>
      <t>= bracket(</t>
    </r>
    <r>
      <rPr>
        <b/>
        <sz val="12"/>
        <color rgb="FF0000FF"/>
        <rFont val="Calibri"/>
        <family val="2"/>
      </rPr>
      <t>SEQ</t>
    </r>
    <r>
      <rPr>
        <sz val="12"/>
        <color rgb="FF0000FF"/>
        <rFont val="Calibri"/>
        <family val="2"/>
      </rPr>
      <t xml:space="preserve">, </t>
    </r>
    <r>
      <rPr>
        <b/>
        <sz val="12"/>
        <color rgb="FF0000FF"/>
        <rFont val="Calibri"/>
        <family val="2"/>
      </rPr>
      <t>position</t>
    </r>
    <r>
      <rPr>
        <sz val="12"/>
        <color rgb="FF0000FF"/>
        <rFont val="Calibri"/>
        <family val="2"/>
      </rPr>
      <t>)</t>
    </r>
    <phoneticPr fontId="1"/>
  </si>
  <si>
    <r>
      <rPr>
        <b/>
        <sz val="12"/>
        <color theme="1"/>
        <rFont val="Calibri"/>
        <family val="2"/>
      </rPr>
      <t>SEQ</t>
    </r>
    <r>
      <rPr>
        <sz val="12"/>
        <color theme="1"/>
        <rFont val="Calibri"/>
        <family val="2"/>
      </rPr>
      <t>: nucleotide/amino acid sequence</t>
    </r>
    <phoneticPr fontId="1"/>
  </si>
  <si>
    <r>
      <rPr>
        <b/>
        <sz val="12"/>
        <color theme="1"/>
        <rFont val="Calibri"/>
        <family val="2"/>
      </rPr>
      <t>Position</t>
    </r>
    <r>
      <rPr>
        <sz val="12"/>
        <color theme="1"/>
        <rFont val="Calibri"/>
        <family val="2"/>
      </rPr>
      <t xml:space="preserve"> to be bracketed.</t>
    </r>
  </si>
  <si>
    <r>
      <t>= shrink(</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</si>
  <si>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acid/amino acid sequence</t>
    </r>
    <phoneticPr fontId="1"/>
  </si>
  <si>
    <r>
      <t>= DNA2Rnuc(</t>
    </r>
    <r>
      <rPr>
        <b/>
        <sz val="12"/>
        <color rgb="FF0000FF"/>
        <rFont val="Calibri"/>
        <family val="2"/>
      </rPr>
      <t>NU</t>
    </r>
    <r>
      <rPr>
        <sz val="12"/>
        <color rgb="FF0000FF"/>
        <rFont val="Calibri"/>
        <family val="2"/>
      </rPr>
      <t>C)</t>
    </r>
    <phoneticPr fontId="1"/>
  </si>
  <si>
    <r>
      <rPr>
        <b/>
        <sz val="12"/>
        <color theme="1"/>
        <rFont val="Calibri"/>
        <family val="2"/>
      </rPr>
      <t>NUC</t>
    </r>
    <r>
      <rPr>
        <sz val="12"/>
        <color theme="1"/>
        <rFont val="Calibri"/>
        <family val="2"/>
      </rPr>
      <t>: a code of deoxyribo nucleotide (not sequence)</t>
    </r>
    <phoneticPr fontId="1"/>
  </si>
  <si>
    <r>
      <t>= RNA2Dnuc(</t>
    </r>
    <r>
      <rPr>
        <b/>
        <sz val="12"/>
        <color rgb="FF0000FF"/>
        <rFont val="Calibri"/>
        <family val="2"/>
      </rPr>
      <t>NUC</t>
    </r>
    <r>
      <rPr>
        <sz val="12"/>
        <color rgb="FF0000FF"/>
        <rFont val="Calibri"/>
        <family val="2"/>
      </rPr>
      <t>)</t>
    </r>
    <phoneticPr fontId="1"/>
  </si>
  <si>
    <r>
      <rPr>
        <b/>
        <sz val="12"/>
        <color theme="1"/>
        <rFont val="Calibri"/>
        <family val="2"/>
      </rPr>
      <t>NUC</t>
    </r>
    <r>
      <rPr>
        <sz val="12"/>
        <color theme="1"/>
        <rFont val="Calibri"/>
        <family val="2"/>
      </rPr>
      <t>: a code of ribo nucleotide (not sequence)</t>
    </r>
    <phoneticPr fontId="1"/>
  </si>
  <si>
    <r>
      <t>= toRNA(</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</si>
  <si>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deoxyribo nucleic acid sequence (not nucleotide)</t>
    </r>
    <phoneticPr fontId="1"/>
  </si>
  <si>
    <r>
      <rPr>
        <b/>
        <sz val="12"/>
        <color theme="1"/>
        <rFont val="Calibri"/>
        <family val="2"/>
      </rPr>
      <t>SEQ</t>
    </r>
    <r>
      <rPr>
        <sz val="12"/>
        <color theme="1"/>
        <rFont val="Calibri"/>
        <family val="2"/>
      </rPr>
      <t>: ribo nucleic acid sequence (not nucleotide)</t>
    </r>
    <phoneticPr fontId="1"/>
  </si>
  <si>
    <r>
      <t>= fold(</t>
    </r>
    <r>
      <rPr>
        <b/>
        <sz val="12"/>
        <color rgb="FF0000FF"/>
        <rFont val="Calibri"/>
        <family val="2"/>
      </rPr>
      <t>SEQ</t>
    </r>
    <r>
      <rPr>
        <sz val="12"/>
        <color rgb="FF0000FF"/>
        <rFont val="Calibri"/>
        <family val="2"/>
      </rPr>
      <t xml:space="preserve">, </t>
    </r>
    <r>
      <rPr>
        <b/>
        <sz val="12"/>
        <color rgb="FF0000FF"/>
        <rFont val="Calibri"/>
        <family val="2"/>
      </rPr>
      <t>interval)</t>
    </r>
    <phoneticPr fontId="1"/>
  </si>
  <si>
    <r>
      <rPr>
        <b/>
        <sz val="12"/>
        <color theme="1"/>
        <rFont val="Calibri"/>
        <family val="2"/>
      </rPr>
      <t>SEQ</t>
    </r>
    <r>
      <rPr>
        <sz val="12"/>
        <color theme="1"/>
        <rFont val="Calibri"/>
        <family val="2"/>
      </rPr>
      <t>: nucleic acid/amino acid sequence</t>
    </r>
    <phoneticPr fontId="1"/>
  </si>
  <si>
    <r>
      <rPr>
        <b/>
        <sz val="12"/>
        <color theme="1"/>
        <rFont val="Calibri"/>
        <family val="2"/>
      </rPr>
      <t>Interval</t>
    </r>
    <r>
      <rPr>
        <sz val="12"/>
        <color theme="1"/>
        <rFont val="Calibri"/>
        <family val="2"/>
      </rPr>
      <t>: duration to insert a line feed</t>
    </r>
    <phoneticPr fontId="1"/>
  </si>
  <si>
    <r>
      <t>= clip5(</t>
    </r>
    <r>
      <rPr>
        <b/>
        <sz val="12"/>
        <color rgb="FF0000FF"/>
        <rFont val="Calibri"/>
        <family val="2"/>
      </rPr>
      <t>SEQ</t>
    </r>
    <r>
      <rPr>
        <sz val="12"/>
        <color rgb="FF0000FF"/>
        <rFont val="Calibri"/>
        <family val="2"/>
      </rPr>
      <t xml:space="preserve">, </t>
    </r>
    <r>
      <rPr>
        <b/>
        <sz val="12"/>
        <color rgb="FF0000FF"/>
        <rFont val="Calibri"/>
        <family val="2"/>
      </rPr>
      <t>length</t>
    </r>
    <r>
      <rPr>
        <sz val="12"/>
        <color rgb="FF0000FF"/>
        <rFont val="Calibri"/>
        <family val="2"/>
      </rPr>
      <t>)</t>
    </r>
    <phoneticPr fontId="1"/>
  </si>
  <si>
    <r>
      <rPr>
        <b/>
        <sz val="12"/>
        <color theme="1"/>
        <rFont val="Calibri"/>
        <family val="2"/>
      </rPr>
      <t>Length</t>
    </r>
    <r>
      <rPr>
        <sz val="12"/>
        <color theme="1"/>
        <rFont val="Calibri"/>
        <family val="2"/>
      </rPr>
      <t>: distance from the 5' end</t>
    </r>
    <phoneticPr fontId="1"/>
  </si>
  <si>
    <r>
      <t>= clip3(</t>
    </r>
    <r>
      <rPr>
        <b/>
        <sz val="12"/>
        <color rgb="FF0000FF"/>
        <rFont val="Calibri"/>
        <family val="2"/>
      </rPr>
      <t>SEQ</t>
    </r>
    <r>
      <rPr>
        <sz val="12"/>
        <color rgb="FF0000FF"/>
        <rFont val="Calibri"/>
        <family val="2"/>
      </rPr>
      <t xml:space="preserve">, </t>
    </r>
    <r>
      <rPr>
        <b/>
        <sz val="12"/>
        <color rgb="FF0000FF"/>
        <rFont val="Calibri"/>
        <family val="2"/>
      </rPr>
      <t>length</t>
    </r>
    <r>
      <rPr>
        <sz val="12"/>
        <color rgb="FF0000FF"/>
        <rFont val="Calibri"/>
        <family val="2"/>
      </rPr>
      <t>)</t>
    </r>
    <phoneticPr fontId="1"/>
  </si>
  <si>
    <r>
      <rPr>
        <b/>
        <sz val="12"/>
        <color theme="1"/>
        <rFont val="Calibri"/>
        <family val="2"/>
      </rPr>
      <t>Length</t>
    </r>
    <r>
      <rPr>
        <sz val="12"/>
        <color theme="1"/>
        <rFont val="Calibri"/>
        <family val="2"/>
      </rPr>
      <t>: distance from the 5' end</t>
    </r>
    <phoneticPr fontId="1"/>
  </si>
  <si>
    <r>
      <t>= nuc2aa(</t>
    </r>
    <r>
      <rPr>
        <b/>
        <sz val="12"/>
        <color rgb="FF0000FF"/>
        <rFont val="Calibri"/>
        <family val="2"/>
      </rPr>
      <t>SEQ</t>
    </r>
    <r>
      <rPr>
        <sz val="12"/>
        <color rgb="FF0000FF"/>
        <rFont val="Calibri"/>
        <family val="2"/>
      </rPr>
      <t xml:space="preserve">, </t>
    </r>
    <r>
      <rPr>
        <b/>
        <sz val="12"/>
        <color rgb="FF0000FF"/>
        <rFont val="Calibri"/>
        <family val="2"/>
      </rPr>
      <t>frame</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</si>
  <si>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</si>
  <si>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rPr>
        <b/>
        <sz val="12"/>
        <color theme="1"/>
        <rFont val="Calibri"/>
        <family val="2"/>
      </rPr>
      <t>Frame</t>
    </r>
    <r>
      <rPr>
        <sz val="12"/>
        <color theme="1"/>
        <rFont val="Calibri"/>
        <family val="2"/>
      </rPr>
      <t>: reading frame (integer)</t>
    </r>
  </si>
  <si>
    <r>
      <t>= composition(</t>
    </r>
    <r>
      <rPr>
        <b/>
        <sz val="12"/>
        <color rgb="FF0000FF"/>
        <rFont val="Calibri"/>
        <family val="2"/>
      </rPr>
      <t>SEQ</t>
    </r>
    <r>
      <rPr>
        <sz val="12"/>
        <color rgb="FF0000FF"/>
        <rFont val="Calibri"/>
        <family val="2"/>
      </rPr>
      <t>)</t>
    </r>
    <phoneticPr fontId="1"/>
  </si>
  <si>
    <r>
      <t>= GCratio(</t>
    </r>
    <r>
      <rPr>
        <b/>
        <sz val="12"/>
        <color rgb="FF0000FF"/>
        <rFont val="Calibri"/>
        <family val="2"/>
      </rPr>
      <t>SEQ</t>
    </r>
    <r>
      <rPr>
        <sz val="12"/>
        <color rgb="FF0000FF"/>
        <rFont val="Calibri"/>
        <family val="2"/>
      </rPr>
      <t>)</t>
    </r>
    <phoneticPr fontId="1"/>
  </si>
  <si>
    <r>
      <t>= motifcount(</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 xml:space="preserve"> (,</t>
    </r>
    <r>
      <rPr>
        <b/>
        <sz val="12"/>
        <color rgb="FF0000FF"/>
        <rFont val="Calibri"/>
        <family val="2"/>
      </rPr>
      <t>position</t>
    </r>
    <r>
      <rPr>
        <sz val="12"/>
        <color rgb="FF0000FF"/>
        <rFont val="Calibri"/>
        <family val="2"/>
      </rPr>
      <t>))</t>
    </r>
    <phoneticPr fontId="1"/>
  </si>
  <si>
    <r>
      <rPr>
        <b/>
        <sz val="12"/>
        <color theme="1"/>
        <rFont val="Calibri"/>
        <family val="2"/>
      </rPr>
      <t>SEQ</t>
    </r>
    <r>
      <rPr>
        <sz val="12"/>
        <color theme="1"/>
        <rFont val="Calibri"/>
        <family val="2"/>
      </rPr>
      <t>: target  sequence to be evaluated</t>
    </r>
    <phoneticPr fontId="1"/>
  </si>
  <si>
    <r>
      <rPr>
        <b/>
        <sz val="12"/>
        <color theme="1"/>
        <rFont val="Calibri"/>
        <family val="2"/>
      </rPr>
      <t>Motif</t>
    </r>
    <r>
      <rPr>
        <sz val="12"/>
        <color theme="1"/>
        <rFont val="Calibri"/>
        <family val="2"/>
      </rPr>
      <t>: a sequence of interest</t>
    </r>
    <phoneticPr fontId="1"/>
  </si>
  <si>
    <r>
      <rPr>
        <b/>
        <sz val="12"/>
        <color theme="1"/>
        <rFont val="Calibri"/>
        <family val="2"/>
      </rPr>
      <t>Position</t>
    </r>
    <r>
      <rPr>
        <sz val="12"/>
        <color theme="1"/>
        <rFont val="Calibri"/>
        <family val="2"/>
      </rPr>
      <t>: the position in the target sequence to start with the evaluation (optional)</t>
    </r>
    <phoneticPr fontId="1"/>
  </si>
  <si>
    <r>
      <t>= firstmotif(</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 xml:space="preserve"> (</t>
    </r>
    <r>
      <rPr>
        <b/>
        <sz val="12"/>
        <color rgb="FF0000FF"/>
        <rFont val="Calibri"/>
        <family val="2"/>
      </rPr>
      <t>,position</t>
    </r>
    <r>
      <rPr>
        <sz val="12"/>
        <color rgb="FF0000FF"/>
        <rFont val="Calibri"/>
        <family val="2"/>
      </rPr>
      <t>))</t>
    </r>
    <phoneticPr fontId="1"/>
  </si>
  <si>
    <r>
      <rPr>
        <b/>
        <sz val="12"/>
        <color theme="1"/>
        <rFont val="Calibri"/>
        <family val="2"/>
      </rPr>
      <t>SEQ</t>
    </r>
    <r>
      <rPr>
        <sz val="12"/>
        <color theme="1"/>
        <rFont val="Calibri"/>
        <family val="2"/>
      </rPr>
      <t>: target  sequence to be evaluated</t>
    </r>
    <phoneticPr fontId="1"/>
  </si>
  <si>
    <r>
      <rPr>
        <b/>
        <sz val="12"/>
        <color theme="1"/>
        <rFont val="Calibri"/>
        <family val="2"/>
      </rPr>
      <t>Position</t>
    </r>
    <r>
      <rPr>
        <sz val="12"/>
        <color theme="1"/>
        <rFont val="Calibri"/>
        <family val="2"/>
      </rPr>
      <t>: a start position in the target sequence for the evaluation (optional)</t>
    </r>
    <phoneticPr fontId="1"/>
  </si>
  <si>
    <r>
      <t>= findmotif(</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t>
    </r>
    <phoneticPr fontId="1"/>
  </si>
  <si>
    <r>
      <t>= markmotif(</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t>
    </r>
    <phoneticPr fontId="1"/>
  </si>
  <si>
    <r>
      <rPr>
        <b/>
        <sz val="12"/>
        <color theme="1"/>
        <rFont val="Calibri"/>
        <family val="2"/>
      </rPr>
      <t>SEQ</t>
    </r>
    <r>
      <rPr>
        <sz val="12"/>
        <color theme="1"/>
        <rFont val="Calibri"/>
        <family val="2"/>
      </rPr>
      <t>: a sequence to be evaluated</t>
    </r>
    <phoneticPr fontId="1"/>
  </si>
  <si>
    <r>
      <rPr>
        <b/>
        <sz val="12"/>
        <color theme="1"/>
        <rFont val="Calibri"/>
        <family val="2"/>
      </rPr>
      <t>Motif</t>
    </r>
    <r>
      <rPr>
        <sz val="12"/>
        <color theme="1"/>
        <rFont val="Calibri"/>
        <family val="2"/>
      </rPr>
      <t>: a sequence of interest</t>
    </r>
    <phoneticPr fontId="1"/>
  </si>
  <si>
    <r>
      <t>= matchseq(</t>
    </r>
    <r>
      <rPr>
        <b/>
        <sz val="12"/>
        <color rgb="FF0000FF"/>
        <rFont val="Calibri"/>
        <family val="2"/>
      </rPr>
      <t>REF</t>
    </r>
    <r>
      <rPr>
        <sz val="12"/>
        <color rgb="FF0000FF"/>
        <rFont val="Calibri"/>
        <family val="2"/>
      </rPr>
      <t xml:space="preserve">, </t>
    </r>
    <r>
      <rPr>
        <b/>
        <sz val="12"/>
        <color rgb="FF0000FF"/>
        <rFont val="Calibri"/>
        <family val="2"/>
      </rPr>
      <t>QUERY</t>
    </r>
    <r>
      <rPr>
        <sz val="12"/>
        <color rgb="FF0000FF"/>
        <rFont val="Calibri"/>
        <family val="2"/>
      </rPr>
      <t>)</t>
    </r>
    <phoneticPr fontId="1"/>
  </si>
  <si>
    <r>
      <rPr>
        <b/>
        <sz val="12"/>
        <color theme="1"/>
        <rFont val="Calibri"/>
        <family val="2"/>
      </rPr>
      <t>REF</t>
    </r>
    <r>
      <rPr>
        <sz val="12"/>
        <color theme="1"/>
        <rFont val="Calibri"/>
        <family val="2"/>
      </rPr>
      <t>: reference sequence to be compared</t>
    </r>
    <phoneticPr fontId="1"/>
  </si>
  <si>
    <r>
      <rPr>
        <b/>
        <sz val="12"/>
        <color theme="1"/>
        <rFont val="Calibri"/>
        <family val="2"/>
      </rPr>
      <t>QUERY</t>
    </r>
    <r>
      <rPr>
        <sz val="12"/>
        <color theme="1"/>
        <rFont val="Calibri"/>
        <family val="2"/>
      </rPr>
      <t>: a sequence of interest</t>
    </r>
    <phoneticPr fontId="1"/>
  </si>
  <si>
    <r>
      <t xml:space="preserve">The </t>
    </r>
    <r>
      <rPr>
        <i/>
        <sz val="12"/>
        <color theme="1"/>
        <rFont val="Calibri"/>
        <family val="2"/>
      </rPr>
      <t>matchseq</t>
    </r>
    <r>
      <rPr>
        <sz val="12"/>
        <color theme="1"/>
        <rFont val="Calibri"/>
        <family val="2"/>
      </rPr>
      <t xml:space="preserve"> function does not consider INDEL or opposite direction. Try to use the </t>
    </r>
    <r>
      <rPr>
        <i/>
        <sz val="12"/>
        <color theme="1"/>
        <rFont val="Calibri"/>
        <family val="2"/>
      </rPr>
      <t>markmotif</t>
    </r>
    <r>
      <rPr>
        <sz val="12"/>
        <color theme="1"/>
        <rFont val="Calibri"/>
        <family val="2"/>
      </rPr>
      <t xml:space="preserve"> function to find a sequence within a reference sequence.</t>
    </r>
    <phoneticPr fontId="1"/>
  </si>
  <si>
    <r>
      <t>= matchscore(</t>
    </r>
    <r>
      <rPr>
        <b/>
        <sz val="12"/>
        <color rgb="FF0000FF"/>
        <rFont val="Calibri"/>
        <family val="2"/>
      </rPr>
      <t>REF</t>
    </r>
    <r>
      <rPr>
        <sz val="12"/>
        <color rgb="FF0000FF"/>
        <rFont val="Calibri"/>
        <family val="2"/>
      </rPr>
      <t xml:space="preserve">, </t>
    </r>
    <r>
      <rPr>
        <b/>
        <sz val="12"/>
        <color rgb="FF0000FF"/>
        <rFont val="Calibri"/>
        <family val="2"/>
      </rPr>
      <t>QUERY</t>
    </r>
    <r>
      <rPr>
        <sz val="12"/>
        <color rgb="FF0000FF"/>
        <rFont val="Calibri"/>
        <family val="2"/>
      </rPr>
      <t>)</t>
    </r>
    <phoneticPr fontId="1"/>
  </si>
  <si>
    <r>
      <rPr>
        <b/>
        <sz val="12"/>
        <color theme="1"/>
        <rFont val="Calibri"/>
        <family val="2"/>
      </rPr>
      <t>REF</t>
    </r>
    <r>
      <rPr>
        <sz val="12"/>
        <color theme="1"/>
        <rFont val="Calibri"/>
        <family val="2"/>
      </rPr>
      <t>: reference sequence to be compared</t>
    </r>
    <phoneticPr fontId="1"/>
  </si>
  <si>
    <r>
      <rPr>
        <b/>
        <sz val="12"/>
        <color theme="1"/>
        <rFont val="Calibri"/>
        <family val="2"/>
      </rPr>
      <t>QUERY</t>
    </r>
    <r>
      <rPr>
        <sz val="12"/>
        <color theme="1"/>
        <rFont val="Calibri"/>
        <family val="2"/>
      </rPr>
      <t>: a sequence of interest</t>
    </r>
    <phoneticPr fontId="1"/>
  </si>
  <si>
    <r>
      <t xml:space="preserve">The </t>
    </r>
    <r>
      <rPr>
        <i/>
        <sz val="12"/>
        <color theme="1"/>
        <rFont val="Calibri"/>
        <family val="2"/>
      </rPr>
      <t>matchscore</t>
    </r>
    <r>
      <rPr>
        <sz val="12"/>
        <color theme="1"/>
        <rFont val="Calibri"/>
        <family val="2"/>
      </rPr>
      <t xml:space="preserve"> function does not consider INDEL or opposite direction. Try to use the </t>
    </r>
    <r>
      <rPr>
        <i/>
        <sz val="12"/>
        <color theme="1"/>
        <rFont val="Calibri"/>
        <family val="2"/>
      </rPr>
      <t>markmotif</t>
    </r>
    <r>
      <rPr>
        <sz val="12"/>
        <color theme="1"/>
        <rFont val="Calibri"/>
        <family val="2"/>
      </rPr>
      <t xml:space="preserve"> function to find a sequence within a reference sequence.</t>
    </r>
    <phoneticPr fontId="1"/>
  </si>
  <si>
    <r>
      <rPr>
        <b/>
        <sz val="12"/>
        <color theme="1"/>
        <rFont val="Calibri"/>
        <family val="2"/>
      </rPr>
      <t>SEQ</t>
    </r>
    <r>
      <rPr>
        <sz val="12"/>
        <color theme="1"/>
        <rFont val="Calibri"/>
        <family val="2"/>
      </rPr>
      <t>: sequence to be evaluated</t>
    </r>
    <phoneticPr fontId="1"/>
  </si>
  <si>
    <r>
      <rPr>
        <sz val="12"/>
        <color rgb="FF0000FF"/>
        <rFont val="Calibri"/>
        <family val="2"/>
      </rPr>
      <t>= SSR2CPType(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</si>
  <si>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SSR genotypes for the parents</t>
    </r>
    <phoneticPr fontId="1"/>
  </si>
  <si>
    <r>
      <rPr>
        <sz val="12"/>
        <color rgb="FF0000FF"/>
        <rFont val="Calibri"/>
        <family val="2"/>
      </rPr>
      <t>= SNP2CPType(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</si>
  <si>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SNP genotypes for the parents</t>
    </r>
    <phoneticPr fontId="1"/>
  </si>
  <si>
    <r>
      <rPr>
        <sz val="12"/>
        <color rgb="FF0000FF"/>
        <rFont val="Calibri"/>
        <family val="2"/>
      </rPr>
      <t>= SSR2CPGT(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type</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</si>
  <si>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SSR genotypes for the parents</t>
    </r>
    <phoneticPr fontId="1"/>
  </si>
  <si>
    <r>
      <rPr>
        <b/>
        <sz val="12"/>
        <color theme="1"/>
        <rFont val="Calibri"/>
        <family val="2"/>
      </rPr>
      <t>Type</t>
    </r>
    <r>
      <rPr>
        <sz val="12"/>
        <color theme="1"/>
        <rFont val="Calibri"/>
        <family val="2"/>
      </rPr>
      <t>: segregation type for CP mode</t>
    </r>
    <phoneticPr fontId="1"/>
  </si>
  <si>
    <r>
      <rPr>
        <b/>
        <sz val="12"/>
        <color theme="1"/>
        <rFont val="Calibri"/>
        <family val="2"/>
      </rPr>
      <t>offspring</t>
    </r>
    <r>
      <rPr>
        <sz val="12"/>
        <color theme="1"/>
        <rFont val="Calibri"/>
        <family val="2"/>
      </rPr>
      <t>: SSR genotype for the offspring</t>
    </r>
    <phoneticPr fontId="1"/>
  </si>
  <si>
    <r>
      <rPr>
        <sz val="12"/>
        <color rgb="FF0000FF"/>
        <rFont val="Calibri"/>
        <family val="2"/>
      </rPr>
      <t>= SNP2CPGT(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type</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</si>
  <si>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SNP genotypes for the parents</t>
    </r>
    <phoneticPr fontId="1"/>
  </si>
  <si>
    <r>
      <rPr>
        <b/>
        <sz val="12"/>
        <color theme="1"/>
        <rFont val="Calibri"/>
        <family val="2"/>
      </rPr>
      <t>offspring</t>
    </r>
    <r>
      <rPr>
        <sz val="12"/>
        <color theme="1"/>
        <rFont val="Calibri"/>
        <family val="2"/>
      </rPr>
      <t>: SNP genotype for the offspring</t>
    </r>
    <phoneticPr fontId="1"/>
  </si>
  <si>
    <r>
      <rPr>
        <sz val="12"/>
        <color rgb="FF0000FF"/>
        <rFont val="Calibri"/>
        <family val="2"/>
      </rPr>
      <t>= SSR2SegType(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</si>
  <si>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sz val="12"/>
        <color rgb="FF0000FF"/>
        <rFont val="Calibri"/>
        <family val="2"/>
      </rPr>
      <t>= SNP2SegType(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</si>
  <si>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sz val="12"/>
        <color rgb="FF0000FF"/>
        <rFont val="Calibri"/>
        <family val="2"/>
      </rPr>
      <t>= SSR2BC1GT(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</si>
  <si>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sz val="12"/>
        <color rgb="FF0000FF"/>
        <rFont val="Calibri"/>
        <family val="2"/>
      </rPr>
      <t>= SNP2BC1GT(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</si>
  <si>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b/>
        <sz val="12"/>
        <color theme="1"/>
        <rFont val="Calibri"/>
        <family val="2"/>
      </rPr>
      <t>offspring</t>
    </r>
    <r>
      <rPr>
        <sz val="12"/>
        <color theme="1"/>
        <rFont val="Calibri"/>
        <family val="2"/>
      </rPr>
      <t>: SNP genotype for the offspring</t>
    </r>
    <phoneticPr fontId="1"/>
  </si>
  <si>
    <r>
      <rPr>
        <sz val="12"/>
        <color rgb="FF0000FF"/>
        <rFont val="Calibri"/>
        <family val="2"/>
      </rPr>
      <t>= SSR2F2GT(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</si>
  <si>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sz val="12"/>
        <color rgb="FF0000FF"/>
        <rFont val="Calibri"/>
        <family val="2"/>
      </rPr>
      <t>= SNP2F2GT(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</si>
  <si>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sz val="12"/>
        <color rgb="FF0000FF"/>
        <rFont val="Calibri"/>
        <family val="2"/>
      </rPr>
      <t>= MWillSegregate(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</si>
  <si>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M genotypes for the parents</t>
    </r>
    <phoneticPr fontId="1"/>
  </si>
  <si>
    <r>
      <t>= MSegregateType(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</si>
  <si>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M genotypes for the parents</t>
    </r>
    <phoneticPr fontId="1"/>
  </si>
  <si>
    <r>
      <t xml:space="preserve">Estimate the segregation type according to the </t>
    </r>
    <r>
      <rPr>
        <sz val="12"/>
        <color rgb="FFFF0000"/>
        <rFont val="Calibri"/>
        <family val="2"/>
      </rPr>
      <t>CP</t>
    </r>
    <r>
      <rPr>
        <sz val="12"/>
        <color theme="1"/>
        <rFont val="Calibri"/>
        <family val="2"/>
      </rPr>
      <t xml:space="preserve"> mode from the genotypes of parents.</t>
    </r>
    <phoneticPr fontId="1"/>
  </si>
  <si>
    <r>
      <t xml:space="preserve">Convert the offspring's genotype according to the segregation type for the </t>
    </r>
    <r>
      <rPr>
        <sz val="12"/>
        <color rgb="FFFF0000"/>
        <rFont val="Calibri"/>
        <family val="2"/>
      </rPr>
      <t>CP</t>
    </r>
    <r>
      <rPr>
        <sz val="12"/>
        <color theme="1"/>
        <rFont val="Calibri"/>
        <family val="2"/>
      </rPr>
      <t xml:space="preserve"> mode from the genotypes of parents, and offspring.</t>
    </r>
    <phoneticPr fontId="1"/>
  </si>
  <si>
    <r>
      <rPr>
        <sz val="12"/>
        <color rgb="FF0000FF"/>
        <rFont val="Calibri"/>
        <family val="2"/>
      </rPr>
      <t>SSR2CPType(Parent1, parent2)</t>
    </r>
    <r>
      <rPr>
        <sz val="12"/>
        <color theme="1"/>
        <rFont val="Calibri"/>
        <family val="2"/>
      </rPr>
      <t xml:space="preserve">
</t>
    </r>
    <phoneticPr fontId="1"/>
  </si>
  <si>
    <r>
      <rPr>
        <sz val="12"/>
        <color rgb="FF0000FF"/>
        <rFont val="Calibri"/>
        <family val="2"/>
      </rPr>
      <t>SNP2CPType(Parent1, parent2)</t>
    </r>
    <r>
      <rPr>
        <sz val="12"/>
        <color theme="1"/>
        <rFont val="Calibri"/>
        <family val="2"/>
      </rPr>
      <t xml:space="preserve">
</t>
    </r>
    <phoneticPr fontId="1"/>
  </si>
  <si>
    <r>
      <t xml:space="preserve">Convert the offspring's genotype according to the </t>
    </r>
    <r>
      <rPr>
        <sz val="12"/>
        <color rgb="FFFF0000"/>
        <rFont val="Calibri"/>
        <family val="2"/>
      </rPr>
      <t>BC2</t>
    </r>
    <r>
      <rPr>
        <sz val="12"/>
        <color theme="1"/>
        <rFont val="Calibri"/>
        <family val="2"/>
      </rPr>
      <t xml:space="preserve"> mode from the genotypes of parents, and offspring.</t>
    </r>
    <phoneticPr fontId="1"/>
  </si>
  <si>
    <r>
      <t xml:space="preserve">Convert the offspring's genotype according to the </t>
    </r>
    <r>
      <rPr>
        <sz val="12"/>
        <color rgb="FFFF0000"/>
        <rFont val="Calibri"/>
        <family val="2"/>
      </rPr>
      <t>F2</t>
    </r>
    <r>
      <rPr>
        <sz val="12"/>
        <color theme="1"/>
        <rFont val="Calibri"/>
        <family val="2"/>
      </rPr>
      <t xml:space="preserve"> mode from the genotypes of parents, and offspring.</t>
    </r>
    <phoneticPr fontId="1"/>
  </si>
  <si>
    <r>
      <t>=RightAllele(</t>
    </r>
    <r>
      <rPr>
        <b/>
        <sz val="12"/>
        <color rgb="FF0000FF"/>
        <rFont val="Calibri"/>
        <family val="2"/>
      </rPr>
      <t>SSR</t>
    </r>
    <r>
      <rPr>
        <sz val="12"/>
        <color rgb="FF0000FF"/>
        <rFont val="Calibri"/>
        <family val="2"/>
      </rPr>
      <t>)</t>
    </r>
    <phoneticPr fontId="1"/>
  </si>
  <si>
    <r>
      <t>=SNPRightAllele(</t>
    </r>
    <r>
      <rPr>
        <b/>
        <sz val="12"/>
        <color rgb="FF0000FF"/>
        <rFont val="Calibri"/>
        <family val="2"/>
      </rPr>
      <t>SNP</t>
    </r>
    <r>
      <rPr>
        <sz val="12"/>
        <color rgb="FF0000FF"/>
        <rFont val="Calibri"/>
        <family val="2"/>
      </rPr>
      <t>)</t>
    </r>
    <phoneticPr fontId="1"/>
  </si>
  <si>
    <r>
      <rPr>
        <b/>
        <sz val="12"/>
        <color theme="1"/>
        <rFont val="Calibri"/>
        <family val="2"/>
      </rPr>
      <t>SSR</t>
    </r>
    <r>
      <rPr>
        <sz val="12"/>
        <color theme="1"/>
        <rFont val="Calibri"/>
        <family val="2"/>
      </rPr>
      <t xml:space="preserve"> genotype</t>
    </r>
    <phoneticPr fontId="1"/>
  </si>
  <si>
    <r>
      <rPr>
        <b/>
        <sz val="12"/>
        <color theme="1"/>
        <rFont val="Calibri"/>
        <family val="2"/>
      </rPr>
      <t>SNP</t>
    </r>
    <r>
      <rPr>
        <sz val="12"/>
        <color theme="1"/>
        <rFont val="Calibri"/>
        <family val="2"/>
      </rPr>
      <t xml:space="preserve"> genotype</t>
    </r>
    <phoneticPr fontId="1"/>
  </si>
  <si>
    <r>
      <t>=LeftAllele(</t>
    </r>
    <r>
      <rPr>
        <b/>
        <sz val="12"/>
        <color rgb="FF0000FF"/>
        <rFont val="Calibri"/>
        <family val="2"/>
      </rPr>
      <t>SSR</t>
    </r>
    <r>
      <rPr>
        <sz val="12"/>
        <color rgb="FF0000FF"/>
        <rFont val="Calibri"/>
        <family val="2"/>
      </rPr>
      <t>)</t>
    </r>
    <phoneticPr fontId="1"/>
  </si>
  <si>
    <r>
      <t>=SNPLeftAllele(</t>
    </r>
    <r>
      <rPr>
        <b/>
        <sz val="12"/>
        <color rgb="FF0000FF"/>
        <rFont val="Calibri"/>
        <family val="2"/>
      </rPr>
      <t>SNP</t>
    </r>
    <r>
      <rPr>
        <sz val="12"/>
        <color rgb="FF0000FF"/>
        <rFont val="Calibri"/>
        <family val="2"/>
      </rPr>
      <t>)</t>
    </r>
    <phoneticPr fontId="1"/>
  </si>
  <si>
    <r>
      <rPr>
        <b/>
        <sz val="12"/>
        <color theme="1"/>
        <rFont val="Calibri"/>
        <family val="2"/>
      </rPr>
      <t>SSR</t>
    </r>
    <r>
      <rPr>
        <sz val="12"/>
        <color theme="1"/>
        <rFont val="Calibri"/>
        <family val="2"/>
      </rPr>
      <t xml:space="preserve"> genotype</t>
    </r>
    <phoneticPr fontId="1"/>
  </si>
  <si>
    <r>
      <t>=IsHOMOZygous(</t>
    </r>
    <r>
      <rPr>
        <b/>
        <sz val="12"/>
        <color rgb="FF0000FF"/>
        <rFont val="Calibri"/>
        <family val="2"/>
      </rPr>
      <t>SSR</t>
    </r>
    <r>
      <rPr>
        <sz val="12"/>
        <color rgb="FF0000FF"/>
        <rFont val="Calibri"/>
        <family val="2"/>
      </rPr>
      <t>)</t>
    </r>
    <phoneticPr fontId="1"/>
  </si>
  <si>
    <r>
      <t>=SNPIsHOMOZygous(</t>
    </r>
    <r>
      <rPr>
        <b/>
        <sz val="12"/>
        <color rgb="FF0000FF"/>
        <rFont val="Calibri"/>
        <family val="2"/>
      </rPr>
      <t>SNP</t>
    </r>
    <r>
      <rPr>
        <sz val="12"/>
        <color rgb="FF0000FF"/>
        <rFont val="Calibri"/>
        <family val="2"/>
      </rPr>
      <t>)</t>
    </r>
    <phoneticPr fontId="1"/>
  </si>
  <si>
    <r>
      <rPr>
        <b/>
        <sz val="12"/>
        <color theme="1"/>
        <rFont val="Calibri"/>
        <family val="2"/>
      </rPr>
      <t>SNP</t>
    </r>
    <r>
      <rPr>
        <sz val="12"/>
        <color theme="1"/>
        <rFont val="Calibri"/>
        <family val="2"/>
      </rPr>
      <t xml:space="preserve"> genotype</t>
    </r>
    <phoneticPr fontId="1"/>
  </si>
  <si>
    <r>
      <t>=IsSameSSR(</t>
    </r>
    <r>
      <rPr>
        <b/>
        <sz val="12"/>
        <color rgb="FF0000FF"/>
        <rFont val="Calibri"/>
        <family val="2"/>
      </rPr>
      <t>SSR1</t>
    </r>
    <r>
      <rPr>
        <sz val="12"/>
        <color rgb="FF0000FF"/>
        <rFont val="Calibri"/>
        <family val="2"/>
      </rPr>
      <t xml:space="preserve">, </t>
    </r>
    <r>
      <rPr>
        <b/>
        <sz val="12"/>
        <color rgb="FF0000FF"/>
        <rFont val="Calibri"/>
        <family val="2"/>
      </rPr>
      <t>SSR2</t>
    </r>
    <r>
      <rPr>
        <sz val="12"/>
        <color rgb="FF0000FF"/>
        <rFont val="Calibri"/>
        <family val="2"/>
      </rPr>
      <t xml:space="preserve">, </t>
    </r>
    <r>
      <rPr>
        <b/>
        <sz val="12"/>
        <color rgb="FF0000FF"/>
        <rFont val="Calibri"/>
        <family val="2"/>
      </rPr>
      <t>Diff)</t>
    </r>
    <phoneticPr fontId="1"/>
  </si>
  <si>
    <r>
      <t>=SNPMatch(</t>
    </r>
    <r>
      <rPr>
        <b/>
        <sz val="12"/>
        <color rgb="FF0000FF"/>
        <rFont val="Calibri"/>
        <family val="2"/>
      </rPr>
      <t>SNP1</t>
    </r>
    <r>
      <rPr>
        <sz val="12"/>
        <color rgb="FF0000FF"/>
        <rFont val="Calibri"/>
        <family val="2"/>
      </rPr>
      <t xml:space="preserve">, </t>
    </r>
    <r>
      <rPr>
        <b/>
        <sz val="12"/>
        <color rgb="FF0000FF"/>
        <rFont val="Calibri"/>
        <family val="2"/>
      </rPr>
      <t>SNP2</t>
    </r>
    <r>
      <rPr>
        <sz val="12"/>
        <color rgb="FF0000FF"/>
        <rFont val="Calibri"/>
        <family val="2"/>
      </rPr>
      <t>)</t>
    </r>
    <phoneticPr fontId="1"/>
  </si>
  <si>
    <r>
      <rPr>
        <b/>
        <sz val="12"/>
        <color theme="1"/>
        <rFont val="Calibri"/>
        <family val="2"/>
      </rPr>
      <t>SSR1</t>
    </r>
    <r>
      <rPr>
        <sz val="12"/>
        <color theme="1"/>
        <rFont val="Calibri"/>
        <family val="2"/>
      </rPr>
      <t xml:space="preserve">, </t>
    </r>
    <r>
      <rPr>
        <b/>
        <sz val="12"/>
        <color theme="1"/>
        <rFont val="Calibri"/>
        <family val="2"/>
      </rPr>
      <t>SSR2</t>
    </r>
    <r>
      <rPr>
        <sz val="12"/>
        <color theme="1"/>
        <rFont val="Calibri"/>
        <family val="2"/>
      </rPr>
      <t xml:space="preserve"> genotypes to be compared</t>
    </r>
    <phoneticPr fontId="1"/>
  </si>
  <si>
    <r>
      <rPr>
        <b/>
        <sz val="12"/>
        <color theme="1"/>
        <rFont val="Calibri"/>
        <family val="2"/>
      </rPr>
      <t>SNP1</t>
    </r>
    <r>
      <rPr>
        <sz val="12"/>
        <color theme="1"/>
        <rFont val="Calibri"/>
        <family val="2"/>
      </rPr>
      <t xml:space="preserve">, </t>
    </r>
    <r>
      <rPr>
        <b/>
        <sz val="12"/>
        <color theme="1"/>
        <rFont val="Calibri"/>
        <family val="2"/>
      </rPr>
      <t>SNP2</t>
    </r>
    <r>
      <rPr>
        <sz val="12"/>
        <color theme="1"/>
        <rFont val="Calibri"/>
        <family val="2"/>
      </rPr>
      <t xml:space="preserve"> genotypes to be compared</t>
    </r>
    <phoneticPr fontId="1"/>
  </si>
  <si>
    <r>
      <t>=IsIncluded(</t>
    </r>
    <r>
      <rPr>
        <b/>
        <sz val="12"/>
        <color rgb="FF0000FF"/>
        <rFont val="Calibri"/>
        <family val="2"/>
      </rPr>
      <t>SSR</t>
    </r>
    <r>
      <rPr>
        <sz val="12"/>
        <color rgb="FF0000FF"/>
        <rFont val="Calibri"/>
        <family val="2"/>
      </rPr>
      <t xml:space="preserve">, </t>
    </r>
    <r>
      <rPr>
        <b/>
        <sz val="12"/>
        <color rgb="FF0000FF"/>
        <rFont val="Calibri"/>
        <family val="2"/>
      </rPr>
      <t>Allele</t>
    </r>
    <r>
      <rPr>
        <sz val="12"/>
        <color rgb="FF0000FF"/>
        <rFont val="Calibri"/>
        <family val="2"/>
      </rPr>
      <t>)</t>
    </r>
    <phoneticPr fontId="1"/>
  </si>
  <si>
    <r>
      <t>=SNPIsIncluded(</t>
    </r>
    <r>
      <rPr>
        <b/>
        <sz val="12"/>
        <color rgb="FF0000FF"/>
        <rFont val="Calibri"/>
        <family val="2"/>
      </rPr>
      <t>SNP</t>
    </r>
    <r>
      <rPr>
        <sz val="12"/>
        <color rgb="FF0000FF"/>
        <rFont val="Calibri"/>
        <family val="2"/>
      </rPr>
      <t xml:space="preserve">, </t>
    </r>
    <r>
      <rPr>
        <b/>
        <sz val="12"/>
        <color rgb="FF0000FF"/>
        <rFont val="Calibri"/>
        <family val="2"/>
      </rPr>
      <t>Allele</t>
    </r>
    <r>
      <rPr>
        <sz val="12"/>
        <color rgb="FF0000FF"/>
        <rFont val="Calibri"/>
        <family val="2"/>
      </rPr>
      <t>)</t>
    </r>
    <phoneticPr fontId="1"/>
  </si>
  <si>
    <r>
      <rPr>
        <b/>
        <sz val="12"/>
        <color theme="1"/>
        <rFont val="Calibri"/>
        <family val="2"/>
      </rPr>
      <t>SSR</t>
    </r>
    <r>
      <rPr>
        <sz val="12"/>
        <color theme="1"/>
        <rFont val="Calibri"/>
        <family val="2"/>
      </rPr>
      <t xml:space="preserve"> genotype to be evaluated</t>
    </r>
    <phoneticPr fontId="1"/>
  </si>
  <si>
    <r>
      <rPr>
        <b/>
        <sz val="12"/>
        <color theme="1"/>
        <rFont val="Calibri"/>
        <family val="2"/>
      </rPr>
      <t>SNP</t>
    </r>
    <r>
      <rPr>
        <sz val="12"/>
        <color theme="1"/>
        <rFont val="Calibri"/>
        <family val="2"/>
      </rPr>
      <t xml:space="preserve"> genotype to be evaluated</t>
    </r>
    <phoneticPr fontId="1"/>
  </si>
  <si>
    <r>
      <rPr>
        <b/>
        <sz val="12"/>
        <color theme="1"/>
        <rFont val="Calibri"/>
        <family val="2"/>
      </rPr>
      <t>Allele</t>
    </r>
    <r>
      <rPr>
        <sz val="12"/>
        <color theme="1"/>
        <rFont val="Calibri"/>
        <family val="2"/>
      </rPr>
      <t xml:space="preserve"> to be examined</t>
    </r>
    <phoneticPr fontId="1"/>
  </si>
  <si>
    <r>
      <rPr>
        <b/>
        <sz val="12"/>
        <color theme="1"/>
        <rFont val="Calibri"/>
        <family val="2"/>
      </rPr>
      <t>Allele</t>
    </r>
    <r>
      <rPr>
        <sz val="12"/>
        <color theme="1"/>
        <rFont val="Calibri"/>
        <family val="2"/>
      </rPr>
      <t xml:space="preserve"> to be examined</t>
    </r>
    <phoneticPr fontId="1"/>
  </si>
  <si>
    <r>
      <t>=SSRPloidy(</t>
    </r>
    <r>
      <rPr>
        <b/>
        <sz val="12"/>
        <color rgb="FF0000FF"/>
        <rFont val="Calibri"/>
        <family val="2"/>
      </rPr>
      <t>SSR</t>
    </r>
    <r>
      <rPr>
        <sz val="12"/>
        <color rgb="FF0000FF"/>
        <rFont val="Calibri"/>
        <family val="2"/>
      </rPr>
      <t>)</t>
    </r>
    <phoneticPr fontId="1"/>
  </si>
  <si>
    <r>
      <t>=SSRAllele(</t>
    </r>
    <r>
      <rPr>
        <b/>
        <sz val="12"/>
        <color rgb="FF0000FF"/>
        <rFont val="Calibri"/>
        <family val="2"/>
      </rPr>
      <t>SSR</t>
    </r>
    <r>
      <rPr>
        <sz val="12"/>
        <color rgb="FF0000FF"/>
        <rFont val="Calibri"/>
        <family val="2"/>
      </rPr>
      <t>)</t>
    </r>
    <phoneticPr fontId="1"/>
  </si>
  <si>
    <r>
      <t>=SNPAllele(</t>
    </r>
    <r>
      <rPr>
        <b/>
        <sz val="12"/>
        <color rgb="FF0000FF"/>
        <rFont val="Calibri"/>
        <family val="2"/>
      </rPr>
      <t>SNP</t>
    </r>
    <r>
      <rPr>
        <sz val="12"/>
        <color rgb="FF0000FF"/>
        <rFont val="Calibri"/>
        <family val="2"/>
      </rPr>
      <t>)</t>
    </r>
    <phoneticPr fontId="1"/>
  </si>
  <si>
    <r>
      <rPr>
        <b/>
        <sz val="12"/>
        <color theme="1"/>
        <rFont val="Calibri"/>
        <family val="2"/>
      </rPr>
      <t>SNP</t>
    </r>
    <r>
      <rPr>
        <sz val="12"/>
        <color theme="1"/>
        <rFont val="Calibri"/>
        <family val="2"/>
      </rPr>
      <t xml:space="preserve"> genotype</t>
    </r>
    <phoneticPr fontId="1"/>
  </si>
  <si>
    <r>
      <t>=SSRSharedAllele(</t>
    </r>
    <r>
      <rPr>
        <b/>
        <sz val="12"/>
        <color rgb="FF0000FF"/>
        <rFont val="Calibri"/>
        <family val="2"/>
      </rPr>
      <t>SSR1</t>
    </r>
    <r>
      <rPr>
        <sz val="12"/>
        <color rgb="FF0000FF"/>
        <rFont val="Calibri"/>
        <family val="2"/>
      </rPr>
      <t xml:space="preserve">, </t>
    </r>
    <r>
      <rPr>
        <b/>
        <sz val="12"/>
        <color rgb="FF0000FF"/>
        <rFont val="Calibri"/>
        <family val="2"/>
      </rPr>
      <t>SSR2</t>
    </r>
    <r>
      <rPr>
        <sz val="12"/>
        <color rgb="FF0000FF"/>
        <rFont val="Calibri"/>
        <family val="2"/>
      </rPr>
      <t>)</t>
    </r>
    <phoneticPr fontId="1"/>
  </si>
  <si>
    <r>
      <rPr>
        <b/>
        <sz val="12"/>
        <color theme="1"/>
        <rFont val="Calibri"/>
        <family val="2"/>
      </rPr>
      <t>SSR1</t>
    </r>
    <r>
      <rPr>
        <sz val="12"/>
        <color theme="1"/>
        <rFont val="Calibri"/>
        <family val="2"/>
      </rPr>
      <t xml:space="preserve">, </t>
    </r>
    <r>
      <rPr>
        <b/>
        <sz val="12"/>
        <color theme="1"/>
        <rFont val="Calibri"/>
        <family val="2"/>
      </rPr>
      <t>SSR2</t>
    </r>
    <r>
      <rPr>
        <sz val="12"/>
        <color theme="1"/>
        <rFont val="Calibri"/>
        <family val="2"/>
      </rPr>
      <t xml:space="preserve"> genotypes to be evaluated</t>
    </r>
    <phoneticPr fontId="1"/>
  </si>
  <si>
    <r>
      <rPr>
        <b/>
        <sz val="12"/>
        <color theme="1"/>
        <rFont val="Calibri"/>
        <family val="2"/>
      </rPr>
      <t>SNP1</t>
    </r>
    <r>
      <rPr>
        <sz val="12"/>
        <color theme="1"/>
        <rFont val="Calibri"/>
        <family val="2"/>
      </rPr>
      <t xml:space="preserve">, </t>
    </r>
    <r>
      <rPr>
        <b/>
        <sz val="12"/>
        <color theme="1"/>
        <rFont val="Calibri"/>
        <family val="2"/>
      </rPr>
      <t>SNP2</t>
    </r>
    <r>
      <rPr>
        <sz val="12"/>
        <color theme="1"/>
        <rFont val="Calibri"/>
        <family val="2"/>
      </rPr>
      <t xml:space="preserve"> genotypes to be evaluated</t>
    </r>
    <phoneticPr fontId="1"/>
  </si>
  <si>
    <r>
      <t>=NormSSR(</t>
    </r>
    <r>
      <rPr>
        <b/>
        <sz val="12"/>
        <color rgb="FF0000FF"/>
        <rFont val="Calibri"/>
        <family val="2"/>
      </rPr>
      <t>SSR</t>
    </r>
    <r>
      <rPr>
        <sz val="12"/>
        <color rgb="FF0000FF"/>
        <rFont val="Calibri"/>
        <family val="2"/>
      </rPr>
      <t>)</t>
    </r>
    <phoneticPr fontId="1"/>
  </si>
  <si>
    <r>
      <rPr>
        <b/>
        <sz val="12"/>
        <color theme="1"/>
        <rFont val="Calibri"/>
        <family val="2"/>
      </rPr>
      <t>SSR</t>
    </r>
    <r>
      <rPr>
        <sz val="12"/>
        <color theme="1"/>
        <rFont val="Calibri"/>
        <family val="2"/>
      </rPr>
      <t xml:space="preserve"> genotype or allele</t>
    </r>
    <phoneticPr fontId="1"/>
  </si>
  <si>
    <r>
      <t>=NormSNP(</t>
    </r>
    <r>
      <rPr>
        <b/>
        <sz val="12"/>
        <color rgb="FF0000FF"/>
        <rFont val="Calibri"/>
        <family val="2"/>
      </rPr>
      <t>SNP</t>
    </r>
    <r>
      <rPr>
        <sz val="12"/>
        <color rgb="FF0000FF"/>
        <rFont val="Calibri"/>
        <family val="2"/>
      </rPr>
      <t>)</t>
    </r>
    <phoneticPr fontId="1"/>
  </si>
  <si>
    <r>
      <rPr>
        <b/>
        <sz val="12"/>
        <color theme="1"/>
        <rFont val="Calibri"/>
        <family val="2"/>
      </rPr>
      <t>SNP</t>
    </r>
    <r>
      <rPr>
        <sz val="12"/>
        <color theme="1"/>
        <rFont val="Calibri"/>
        <family val="2"/>
      </rPr>
      <t xml:space="preserve"> genotype or allele</t>
    </r>
    <phoneticPr fontId="1"/>
  </si>
  <si>
    <r>
      <t>=NormM(</t>
    </r>
    <r>
      <rPr>
        <b/>
        <sz val="12"/>
        <color rgb="FF0000FF"/>
        <rFont val="Calibri"/>
        <family val="2"/>
      </rPr>
      <t>M</t>
    </r>
    <r>
      <rPr>
        <sz val="12"/>
        <color rgb="FF0000FF"/>
        <rFont val="Calibri"/>
        <family val="2"/>
      </rPr>
      <t>)</t>
    </r>
    <phoneticPr fontId="1"/>
  </si>
  <si>
    <r>
      <rPr>
        <b/>
        <sz val="12"/>
        <color theme="1"/>
        <rFont val="Calibri"/>
        <family val="2"/>
      </rPr>
      <t>M</t>
    </r>
    <r>
      <rPr>
        <sz val="12"/>
        <color theme="1"/>
        <rFont val="Calibri"/>
        <family val="2"/>
      </rPr>
      <t xml:space="preserve"> genotype or string</t>
    </r>
    <phoneticPr fontId="1"/>
  </si>
  <si>
    <r>
      <t>=SSRtoRelSize(</t>
    </r>
    <r>
      <rPr>
        <b/>
        <sz val="12"/>
        <color rgb="FF0000FF"/>
        <rFont val="Calibri"/>
        <family val="2"/>
      </rPr>
      <t>Case</t>
    </r>
    <r>
      <rPr>
        <sz val="12"/>
        <color rgb="FF0000FF"/>
        <rFont val="Calibri"/>
        <family val="2"/>
      </rPr>
      <t xml:space="preserve">, </t>
    </r>
    <r>
      <rPr>
        <b/>
        <sz val="12"/>
        <color rgb="FF0000FF"/>
        <rFont val="Calibri"/>
        <family val="2"/>
      </rPr>
      <t>Ref</t>
    </r>
    <r>
      <rPr>
        <sz val="12"/>
        <color rgb="FF0000FF"/>
        <rFont val="Calibri"/>
        <family val="2"/>
      </rPr>
      <t>)</t>
    </r>
    <phoneticPr fontId="1"/>
  </si>
  <si>
    <r>
      <rPr>
        <b/>
        <sz val="12"/>
        <color theme="1"/>
        <rFont val="Calibri"/>
        <family val="2"/>
      </rPr>
      <t>Case</t>
    </r>
    <r>
      <rPr>
        <sz val="12"/>
        <color theme="1"/>
        <rFont val="Calibri"/>
        <family val="2"/>
      </rPr>
      <t>: SSR genotype for the evaluation</t>
    </r>
    <phoneticPr fontId="1"/>
  </si>
  <si>
    <r>
      <rPr>
        <b/>
        <sz val="12"/>
        <color theme="1"/>
        <rFont val="Calibri"/>
        <family val="2"/>
      </rPr>
      <t>Ref</t>
    </r>
    <r>
      <rPr>
        <sz val="12"/>
        <color theme="1"/>
        <rFont val="Calibri"/>
        <family val="2"/>
      </rPr>
      <t>: reference SSR genotype</t>
    </r>
    <phoneticPr fontId="1"/>
  </si>
  <si>
    <r>
      <t>=SNPwithSEP(</t>
    </r>
    <r>
      <rPr>
        <b/>
        <sz val="12"/>
        <color rgb="FF0000FF"/>
        <rFont val="Calibri"/>
        <family val="2"/>
      </rPr>
      <t>SNP</t>
    </r>
    <r>
      <rPr>
        <sz val="12"/>
        <color rgb="FF0000FF"/>
        <rFont val="Calibri"/>
        <family val="2"/>
      </rPr>
      <t xml:space="preserve">, </t>
    </r>
    <r>
      <rPr>
        <b/>
        <sz val="12"/>
        <color rgb="FF0000FF"/>
        <rFont val="Calibri"/>
        <family val="2"/>
      </rPr>
      <t>Sep</t>
    </r>
    <r>
      <rPr>
        <sz val="12"/>
        <color rgb="FF0000FF"/>
        <rFont val="Calibri"/>
        <family val="2"/>
      </rPr>
      <t>)</t>
    </r>
    <phoneticPr fontId="1"/>
  </si>
  <si>
    <r>
      <rPr>
        <b/>
        <sz val="12"/>
        <color theme="1"/>
        <rFont val="Calibri"/>
        <family val="2"/>
      </rPr>
      <t>SNP</t>
    </r>
    <r>
      <rPr>
        <sz val="12"/>
        <color theme="1"/>
        <rFont val="Calibri"/>
        <family val="2"/>
      </rPr>
      <t xml:space="preserve"> genotype without separator</t>
    </r>
    <phoneticPr fontId="1"/>
  </si>
  <si>
    <r>
      <rPr>
        <b/>
        <sz val="12"/>
        <color theme="1"/>
        <rFont val="Calibri"/>
        <family val="2"/>
      </rPr>
      <t>Sep</t>
    </r>
    <r>
      <rPr>
        <sz val="12"/>
        <color theme="1"/>
        <rFont val="Calibri"/>
        <family val="2"/>
      </rPr>
      <t>: a character for the separator</t>
    </r>
    <phoneticPr fontId="1"/>
  </si>
  <si>
    <r>
      <t>=M2SNP(</t>
    </r>
    <r>
      <rPr>
        <b/>
        <sz val="12"/>
        <color rgb="FF0000FF"/>
        <rFont val="Calibri"/>
        <family val="2"/>
      </rPr>
      <t>M</t>
    </r>
    <r>
      <rPr>
        <sz val="12"/>
        <color rgb="FF0000FF"/>
        <rFont val="Calibri"/>
        <family val="2"/>
      </rPr>
      <t>)</t>
    </r>
    <phoneticPr fontId="1"/>
  </si>
  <si>
    <r>
      <rPr>
        <b/>
        <sz val="12"/>
        <color theme="1"/>
        <rFont val="Calibri"/>
        <family val="2"/>
      </rPr>
      <t>M</t>
    </r>
    <r>
      <rPr>
        <sz val="12"/>
        <color theme="1"/>
        <rFont val="Calibri"/>
        <family val="2"/>
      </rPr>
      <t xml:space="preserve"> genotype</t>
    </r>
    <phoneticPr fontId="1"/>
  </si>
  <si>
    <r>
      <t>=SSRDiff(</t>
    </r>
    <r>
      <rPr>
        <b/>
        <sz val="12"/>
        <color rgb="FF0000FF"/>
        <rFont val="Calibri"/>
        <family val="2"/>
      </rPr>
      <t>SSR</t>
    </r>
    <r>
      <rPr>
        <sz val="12"/>
        <color rgb="FF0000FF"/>
        <rFont val="Calibri"/>
        <family val="2"/>
      </rPr>
      <t>)</t>
    </r>
    <phoneticPr fontId="1"/>
  </si>
  <si>
    <r>
      <rPr>
        <b/>
        <sz val="12"/>
        <color theme="1"/>
        <rFont val="Calibri"/>
        <family val="2"/>
      </rPr>
      <t>SSR</t>
    </r>
    <r>
      <rPr>
        <sz val="12"/>
        <color theme="1"/>
        <rFont val="Calibri"/>
        <family val="2"/>
      </rPr>
      <t xml:space="preserve"> genotype</t>
    </r>
    <phoneticPr fontId="1"/>
  </si>
  <si>
    <r>
      <t>=interpretSNP(</t>
    </r>
    <r>
      <rPr>
        <b/>
        <sz val="12"/>
        <color rgb="FF0000FF"/>
        <rFont val="Calibri"/>
        <family val="2"/>
      </rPr>
      <t>REF</t>
    </r>
    <r>
      <rPr>
        <sz val="12"/>
        <color rgb="FF0000FF"/>
        <rFont val="Calibri"/>
        <family val="2"/>
      </rPr>
      <t xml:space="preserve">, </t>
    </r>
    <r>
      <rPr>
        <b/>
        <sz val="12"/>
        <color rgb="FF0000FF"/>
        <rFont val="Calibri"/>
        <family val="2"/>
      </rPr>
      <t>STRAND</t>
    </r>
    <r>
      <rPr>
        <sz val="12"/>
        <color rgb="FF0000FF"/>
        <rFont val="Calibri"/>
        <family val="2"/>
      </rPr>
      <t xml:space="preserve">, </t>
    </r>
    <r>
      <rPr>
        <b/>
        <sz val="12"/>
        <color rgb="FF0000FF"/>
        <rFont val="Calibri"/>
        <family val="2"/>
      </rPr>
      <t>CODE</t>
    </r>
    <r>
      <rPr>
        <sz val="12"/>
        <color rgb="FF0000FF"/>
        <rFont val="Calibri"/>
        <family val="2"/>
      </rPr>
      <t>)</t>
    </r>
    <phoneticPr fontId="1"/>
  </si>
  <si>
    <r>
      <rPr>
        <b/>
        <sz val="12"/>
        <color theme="1"/>
        <rFont val="Calibri"/>
        <family val="2"/>
      </rPr>
      <t>REF</t>
    </r>
    <r>
      <rPr>
        <sz val="12"/>
        <color theme="1"/>
        <rFont val="Calibri"/>
        <family val="2"/>
      </rPr>
      <t>: reference SNP genotype</t>
    </r>
    <phoneticPr fontId="1"/>
  </si>
  <si>
    <r>
      <rPr>
        <b/>
        <sz val="12"/>
        <color theme="1"/>
        <rFont val="Calibri"/>
        <family val="2"/>
      </rPr>
      <t>STRAND</t>
    </r>
    <r>
      <rPr>
        <sz val="12"/>
        <color theme="1"/>
        <rFont val="Calibri"/>
        <family val="2"/>
      </rPr>
      <t>: phase code of the genotype ("TOP" or "BOT")</t>
    </r>
    <phoneticPr fontId="1"/>
  </si>
  <si>
    <r>
      <rPr>
        <b/>
        <sz val="12"/>
        <color theme="1"/>
        <rFont val="Calibri"/>
        <family val="2"/>
      </rPr>
      <t>CODE</t>
    </r>
    <r>
      <rPr>
        <sz val="12"/>
        <color theme="1"/>
        <rFont val="Calibri"/>
        <family val="2"/>
      </rPr>
      <t>: Illumina's genotype code</t>
    </r>
    <phoneticPr fontId="1"/>
  </si>
  <si>
    <r>
      <t>=HMP2SNP(</t>
    </r>
    <r>
      <rPr>
        <b/>
        <sz val="12"/>
        <color rgb="FF0000FF"/>
        <rFont val="Calibri"/>
        <family val="2"/>
      </rPr>
      <t>HMP</t>
    </r>
    <r>
      <rPr>
        <sz val="12"/>
        <color rgb="FF0000FF"/>
        <rFont val="Calibri"/>
        <family val="2"/>
      </rPr>
      <t>)</t>
    </r>
    <phoneticPr fontId="1"/>
  </si>
  <si>
    <r>
      <rPr>
        <b/>
        <sz val="12"/>
        <color theme="1"/>
        <rFont val="Calibri"/>
        <family val="2"/>
      </rPr>
      <t>HMP</t>
    </r>
    <r>
      <rPr>
        <sz val="12"/>
        <color theme="1"/>
        <rFont val="Calibri"/>
        <family val="2"/>
      </rPr>
      <t>: HapMap's single letter genotype</t>
    </r>
    <phoneticPr fontId="1"/>
  </si>
  <si>
    <t>Summary of GUGS functions</t>
    <phoneticPr fontId="1"/>
  </si>
  <si>
    <r>
      <rPr>
        <u/>
        <sz val="11"/>
        <color rgb="FFFF0000"/>
        <rFont val="Arial"/>
        <family val="2"/>
      </rPr>
      <t xml:space="preserve">Number of unique alleles in a designated dataset
</t>
    </r>
    <r>
      <rPr>
        <sz val="11"/>
        <color theme="1"/>
        <rFont val="Arial"/>
        <family val="2"/>
      </rPr>
      <t xml:space="preserve">These functions return the number of unique alleles in a designated region.
</t>
    </r>
    <phoneticPr fontId="1"/>
  </si>
  <si>
    <r>
      <rPr>
        <u/>
        <sz val="11"/>
        <color rgb="FFFF0000"/>
        <rFont val="Arial"/>
        <family val="2"/>
      </rPr>
      <t>Number of unique genotypes in a designated dataset</t>
    </r>
    <r>
      <rPr>
        <u/>
        <sz val="11"/>
        <color rgb="FF0000FF"/>
        <rFont val="Arial"/>
        <family val="2"/>
      </rPr>
      <t xml:space="preserve">
</t>
    </r>
    <r>
      <rPr>
        <sz val="11"/>
        <color theme="1"/>
        <rFont val="Arial"/>
        <family val="2"/>
      </rPr>
      <t xml:space="preserve">These functions return the number of unique genotypes in a designated region.
</t>
    </r>
    <phoneticPr fontId="1"/>
  </si>
  <si>
    <r>
      <rPr>
        <u/>
        <sz val="11"/>
        <color rgb="FFFF0000"/>
        <rFont val="Arial"/>
        <family val="2"/>
      </rPr>
      <t xml:space="preserve">The ith unique genotype in a designated dataset
</t>
    </r>
    <r>
      <rPr>
        <sz val="11"/>
        <color theme="1"/>
        <rFont val="Arial"/>
        <family val="2"/>
      </rPr>
      <t xml:space="preserve">These functions return a text value of the ith unique genotype in a region. The index corresponds to the ordered position of the unique genotype in the ordered set of genotypes.
</t>
    </r>
    <phoneticPr fontId="1"/>
  </si>
  <si>
    <r>
      <rPr>
        <u/>
        <sz val="11"/>
        <color rgb="FFFF0000"/>
        <rFont val="Arial"/>
        <family val="2"/>
      </rPr>
      <t xml:space="preserve">Ratio of matched genotypes by pairwise comparison between the two datasets
</t>
    </r>
    <r>
      <rPr>
        <sz val="11"/>
        <color theme="1"/>
        <rFont val="Arial"/>
        <family val="2"/>
      </rPr>
      <t xml:space="preserve">These functions compare the genotypes in two designated regions pairwisely and then return the ratio of the matched genotypes in the region. ‘Zero’ will be returned when the sizes of the designated regions are not identical.
</t>
    </r>
    <phoneticPr fontId="1"/>
  </si>
  <si>
    <r>
      <rPr>
        <u/>
        <sz val="11"/>
        <color rgb="FFFF0000"/>
        <rFont val="Arial"/>
        <family val="2"/>
      </rPr>
      <t>Ratio of matched alleles by pairwise comparison between the two datasets</t>
    </r>
    <r>
      <rPr>
        <u/>
        <sz val="11"/>
        <color rgb="FF0000FF"/>
        <rFont val="Arial"/>
        <family val="2"/>
      </rPr>
      <t xml:space="preserve">
</t>
    </r>
    <r>
      <rPr>
        <sz val="11"/>
        <color theme="1"/>
        <rFont val="Arial"/>
        <family val="2"/>
      </rPr>
      <t xml:space="preserve">These functions compare each allele in two designated regions pairwisely and then return a value for the ratio of the matched alleles in the region. ‘Zero’ will be returned when the sizes of the designated regions are not identical.
</t>
    </r>
    <phoneticPr fontId="1"/>
  </si>
  <si>
    <r>
      <rPr>
        <u/>
        <sz val="11"/>
        <color rgb="FFFF0000"/>
        <rFont val="Arial"/>
        <family val="2"/>
      </rPr>
      <t xml:space="preserve">Frequency of a particular allele in a designated dataset
</t>
    </r>
    <r>
      <rPr>
        <sz val="11"/>
        <color theme="1"/>
        <rFont val="Arial"/>
        <family val="2"/>
      </rPr>
      <t xml:space="preserve">These functions return the frequency of a particular allele from a set of genotype data in a designated region. ‘Zero’ will be returned when the assigned allele is not observed in the region.
</t>
    </r>
    <phoneticPr fontId="1"/>
  </si>
  <si>
    <r>
      <rPr>
        <u/>
        <sz val="11"/>
        <color rgb="FFFF0000"/>
        <rFont val="Arial"/>
        <family val="2"/>
      </rPr>
      <t>Frequency of a particular genotype in a designated dataset</t>
    </r>
    <r>
      <rPr>
        <sz val="11"/>
        <color theme="1"/>
        <rFont val="Arial"/>
        <family val="2"/>
      </rPr>
      <t xml:space="preserve">
These functions return the frequency of a particular genotype from a set of genotype data in a designated region. ‘Zero’ will be returned when the assigned allele is not observed in the region.
</t>
    </r>
    <phoneticPr fontId="1"/>
  </si>
  <si>
    <r>
      <rPr>
        <u/>
        <sz val="11"/>
        <color rgb="FFFF0000"/>
        <rFont val="Arial"/>
        <family val="2"/>
      </rPr>
      <t xml:space="preserve">The </t>
    </r>
    <r>
      <rPr>
        <i/>
        <u/>
        <sz val="11"/>
        <color rgb="FFFF0000"/>
        <rFont val="Arial"/>
        <family val="2"/>
      </rPr>
      <t>i</t>
    </r>
    <r>
      <rPr>
        <u/>
        <sz val="11"/>
        <color rgb="FFFF0000"/>
        <rFont val="Arial"/>
        <family val="2"/>
      </rPr>
      <t xml:space="preserve">th unique allele in a designated dataset
</t>
    </r>
    <r>
      <rPr>
        <sz val="11"/>
        <color theme="1"/>
        <rFont val="Arial"/>
        <family val="2"/>
      </rPr>
      <t xml:space="preserve">These functions return a text value of the ith unique allele in a region. The index corresponds to the position of the unique allele in an ordered set.
</t>
    </r>
    <phoneticPr fontId="1"/>
  </si>
  <si>
    <t>4) Dataset analysis</t>
    <phoneticPr fontId="1"/>
  </si>
  <si>
    <t>Quick summary of the GUGS functions</t>
    <phoneticPr fontId="1"/>
  </si>
  <si>
    <t>License:</t>
    <phoneticPr fontId="1"/>
  </si>
  <si>
    <t>Dr. Tokurou Shimizu</t>
    <phoneticPr fontId="1"/>
  </si>
  <si>
    <t xml:space="preserve">GUGS is distributed under a GNU General Public License version 3 (GPL3). </t>
    <phoneticPr fontId="1"/>
  </si>
  <si>
    <t>Refer the following URLs to confirm about the GPL3 license.</t>
    <phoneticPr fontId="1"/>
  </si>
  <si>
    <t>Institute of Fruit Tree Science, NARO Japan</t>
    <phoneticPr fontId="1"/>
  </si>
  <si>
    <t>Correspondence:</t>
    <phoneticPr fontId="1"/>
  </si>
  <si>
    <t>https://www.gnu.org/licenses/gpl-3.0.en.html</t>
    <phoneticPr fontId="1"/>
  </si>
  <si>
    <t>https://www.gnu.org/licenses/gpl-3.0.ja.html</t>
  </si>
  <si>
    <t>*) Two alphabet letters separated by slash will be treated as SNP genotype.</t>
    <phoneticPr fontId="1"/>
  </si>
  <si>
    <t>A single integer value is recognized to be an allele of SSR genotype.</t>
    <phoneticPr fontId="1"/>
  </si>
  <si>
    <t>Two alphabetic letters combined with or without a separator.</t>
    <phoneticPr fontId="1"/>
  </si>
  <si>
    <t>An alphabet letter is recognized to be an allele of SNP genotype.</t>
    <phoneticPr fontId="1"/>
  </si>
  <si>
    <t>Nucleotide sequence of DNA or RNA, or amino acid</t>
    <phoneticPr fontId="1"/>
  </si>
  <si>
    <t>tokurou.shimizu@gmail.com</t>
    <phoneticPr fontId="1"/>
  </si>
  <si>
    <t>tshimizu@affrc.go.jp</t>
    <phoneticPr fontId="1"/>
  </si>
  <si>
    <t>Date:</t>
    <phoneticPr fontId="1"/>
  </si>
  <si>
    <t>Version:</t>
    <phoneticPr fontId="1"/>
  </si>
  <si>
    <t>Documented at:</t>
    <phoneticPr fontId="1"/>
  </si>
  <si>
    <t>Allowed data types</t>
    <phoneticPr fontId="1"/>
  </si>
  <si>
    <t>Functions in this category allow to normalize genotype data, convert the absolute size to the relative size of an SSR genotype, insert a separator into an SNP genotype, convert a single-letter genotype into the pseudo-SNP format and extract the difference between two alleles of SSR genotype. It also allows converting Illumina’s single-letter genotype format into an SNP genotype, and a converting single-letter HapMap code into a real SNP genotype.</t>
    <phoneticPr fontId="1"/>
  </si>
  <si>
    <t>These functions convert SSR, SNP, or M genotypes.</t>
    <phoneticPr fontId="1"/>
  </si>
  <si>
    <t>Functions in this category allow to extract allele of an SSR or SNP genotype, examine homozygosity, determine the identity between two genotypes of SSR or SNP format, examine allele inclusion in the given genotype, evaluate the ploidy of an SSR genotype, separate all alleles of SSR or SNP genotypes and extract the shared allele between two SSR or SNP genotypes.</t>
    <phoneticPr fontId="1"/>
  </si>
  <si>
    <t>Right-side allele of genotype</t>
    <phoneticPr fontId="1"/>
  </si>
  <si>
    <t>Lleft-side allele of genotype</t>
    <phoneticPr fontId="1"/>
  </si>
  <si>
    <t>These functions return the right-side allele of a designated SSR or SNP genotype.</t>
    <phoneticPr fontId="1"/>
  </si>
  <si>
    <t xml:space="preserve">          alleles.</t>
    <phoneticPr fontId="1"/>
  </si>
  <si>
    <r>
      <rPr>
        <b/>
        <sz val="12"/>
        <color theme="1"/>
        <rFont val="Calibri"/>
        <family val="2"/>
      </rPr>
      <t>Diff</t>
    </r>
    <r>
      <rPr>
        <sz val="12"/>
        <color theme="1"/>
        <rFont val="Calibri"/>
        <family val="2"/>
      </rPr>
      <t>: allowed maximum differences between two</t>
    </r>
    <phoneticPr fontId="1"/>
  </si>
  <si>
    <t>The given genotype data will be normalized before the identity check. In the case of SSR genotype data, allele sizes up to the ‘Diff’ disagreement are allowed; however, these designated SSR genotypes should be kept for their heterozygosity or homozygosity even if the assigned ‘Diff’ value allowed coinciding their apparent genotypes to each other.</t>
    <phoneticPr fontId="1"/>
  </si>
  <si>
    <t>2) The size differences are in the range of the allowed 'Diff' range, but homo/hetero combination does not match between them.</t>
    <phoneticPr fontId="1"/>
  </si>
  <si>
    <t>Examine ploidy from an SSR genotype</t>
    <phoneticPr fontId="1"/>
  </si>
  <si>
    <t>Functions in this category involve to estimate a segregation mode of offspring from the genotype data of parents and convert the genotype of offspring for evaluation with linkage analysis software such as MapMaker (Lander et al., 1987), JoinMap (Stam, 1993), or their equivalent software.</t>
    <phoneticPr fontId="1"/>
  </si>
  <si>
    <t>Estimate a segregation mode for CP mode</t>
    <phoneticPr fontId="1"/>
  </si>
  <si>
    <t>Estimate a segregation mode for BC1 or F2 mode</t>
    <phoneticPr fontId="1"/>
  </si>
  <si>
    <t>Estimate a segregation of an M-formatted genotype</t>
    <phoneticPr fontId="1"/>
  </si>
  <si>
    <t>Estimate a segregation mode of two parental genotypes according to BC1 or F2</t>
    <phoneticPr fontId="1"/>
  </si>
  <si>
    <t>Procedure to convert genotype for the CP mode of JoinMap</t>
    <phoneticPr fontId="1"/>
  </si>
  <si>
    <t>Procedure to convert genotype for the BC2 or F2 mode of JoinMap</t>
    <phoneticPr fontId="1"/>
  </si>
  <si>
    <t>Procedure to estimate segregation from parental genotypes for M formatted genotype</t>
    <phoneticPr fontId="1"/>
  </si>
  <si>
    <t>Convert a genotype for BC1 mode</t>
    <phoneticPr fontId="1"/>
  </si>
  <si>
    <t>Convert a genotype for F2 mode</t>
    <phoneticPr fontId="1"/>
  </si>
  <si>
    <t>Convert a genotype for CP mode</t>
    <phoneticPr fontId="1"/>
  </si>
  <si>
    <t>Functions in this category allow to estimate unique alleles or genotypes in the dataset, extract an allele or genotype at a designated rank in the dataset, and count the ratio of the matched allele or genotype in the dataset.</t>
    <phoneticPr fontId="1"/>
  </si>
  <si>
    <t>Functions in this category allow estimating allele frequencies or diversity of population data, observed or expected heterozygosity, polymorphic information content (PIC), match probability, the power of discrimination, genetic diversity, and the probability of showing an identical genotype for different individuals in a population dataset according to the theorem of Ukai.</t>
    <phoneticPr fontId="1"/>
  </si>
  <si>
    <t>Functions in this category are valid to estimate parentage of offspring within a population and determine the probability to obtain an individual from a cross of designated parents in a population.</t>
    <phoneticPr fontId="1"/>
  </si>
  <si>
    <t>Functions in this category allow for converting, counting, formatting and searching for nucleotide or amino acid sequence motif to support DNA marker design.</t>
    <phoneticPr fontId="1"/>
  </si>
  <si>
    <r>
      <rPr>
        <u/>
        <sz val="11"/>
        <color rgb="FFFF0000"/>
        <rFont val="Arial"/>
        <family val="2"/>
      </rPr>
      <t>Right-side allele of genotype</t>
    </r>
    <r>
      <rPr>
        <sz val="11"/>
        <color rgb="FFFF0000"/>
        <rFont val="Arial"/>
        <family val="2"/>
      </rPr>
      <t xml:space="preserve">
</t>
    </r>
    <r>
      <rPr>
        <sz val="11"/>
        <color theme="1"/>
        <rFont val="Arial"/>
        <family val="2"/>
      </rPr>
      <t xml:space="preserve">These functions return the right-side allele of a designated SSR or SNP genotype. These functions do not sort the alleles before evaluation.
</t>
    </r>
    <phoneticPr fontId="1"/>
  </si>
  <si>
    <r>
      <rPr>
        <u/>
        <sz val="11"/>
        <color rgb="FFFF0000"/>
        <rFont val="Arial"/>
        <family val="2"/>
      </rPr>
      <t>Left-side allele of genotype</t>
    </r>
    <r>
      <rPr>
        <sz val="11"/>
        <color rgb="FFFF0000"/>
        <rFont val="Arial"/>
        <family val="2"/>
      </rPr>
      <t xml:space="preserve">
</t>
    </r>
    <r>
      <rPr>
        <sz val="11"/>
        <color theme="1"/>
        <rFont val="Arial"/>
        <family val="2"/>
      </rPr>
      <t xml:space="preserve">These functions return the left-side allele of a designated SSR or SNP genotype. These functions do not sort the alleles before evaluation.
</t>
    </r>
    <phoneticPr fontId="1"/>
  </si>
  <si>
    <r>
      <rPr>
        <sz val="11"/>
        <color rgb="FF0000FF"/>
        <rFont val="Arial"/>
        <family val="2"/>
      </rPr>
      <t>IsSameSSR(SSR1, SSR2, Diff)
&gt; Boolean</t>
    </r>
    <r>
      <rPr>
        <sz val="11"/>
        <color theme="1"/>
        <rFont val="Arial"/>
        <family val="2"/>
      </rPr>
      <t xml:space="preserve">
SSR genotype allowed up to Diff differences for individual allele, but heterozygosity/homozygosity should be identical between SSR1 and SSR2.</t>
    </r>
    <phoneticPr fontId="1"/>
  </si>
  <si>
    <r>
      <rPr>
        <u/>
        <sz val="11"/>
        <color rgb="FFFF0000"/>
        <rFont val="Arial"/>
        <family val="2"/>
      </rPr>
      <t>Examine ploidy from an SSR genotype</t>
    </r>
    <r>
      <rPr>
        <sz val="11"/>
        <color rgb="FFFF0000"/>
        <rFont val="Arial"/>
        <family val="2"/>
      </rPr>
      <t xml:space="preserve">
</t>
    </r>
    <r>
      <rPr>
        <sz val="11"/>
        <rFont val="Arial"/>
        <family val="2"/>
      </rPr>
      <t xml:space="preserve">This function estimates the ploidy of an SSR genotype from the number of separators in the genotype. The slash is used as the separator.
</t>
    </r>
    <phoneticPr fontId="1"/>
  </si>
  <si>
    <r>
      <rPr>
        <u/>
        <sz val="11"/>
        <color rgb="FFFF0000"/>
        <rFont val="Arial"/>
        <family val="2"/>
      </rPr>
      <t>Estimate a segregation mode for CP mode</t>
    </r>
    <r>
      <rPr>
        <sz val="11"/>
        <color rgb="FFFF0000"/>
        <rFont val="Arial"/>
        <family val="2"/>
      </rPr>
      <t xml:space="preserve">
</t>
    </r>
    <r>
      <rPr>
        <sz val="11"/>
        <color theme="1"/>
        <rFont val="Arial"/>
        <family val="2"/>
      </rPr>
      <t xml:space="preserve">These functions estimate the segregation type of offspring from the genotypes of parents according to the CP mode of JoinMap.
</t>
    </r>
    <phoneticPr fontId="1"/>
  </si>
  <si>
    <r>
      <rPr>
        <u/>
        <sz val="11"/>
        <color rgb="FFFF0000"/>
        <rFont val="Arial"/>
        <family val="2"/>
      </rPr>
      <t>Convert a genotype for CP mode</t>
    </r>
    <r>
      <rPr>
        <sz val="11"/>
        <color rgb="FFFF0000"/>
        <rFont val="Arial"/>
        <family val="2"/>
      </rPr>
      <t xml:space="preserve">
</t>
    </r>
    <r>
      <rPr>
        <sz val="11"/>
        <color theme="1"/>
        <rFont val="Arial"/>
        <family val="2"/>
      </rPr>
      <t xml:space="preserve">These functions convert the raw genotype of offspring according to the segregation type for the CP mode of JoinMap.
</t>
    </r>
    <phoneticPr fontId="1"/>
  </si>
  <si>
    <r>
      <rPr>
        <u/>
        <sz val="11"/>
        <color rgb="FFFF0000"/>
        <rFont val="Arial"/>
        <family val="2"/>
      </rPr>
      <t>Estimate a segregation mode for BC1 or F2 mode</t>
    </r>
    <r>
      <rPr>
        <sz val="11"/>
        <color theme="1"/>
        <rFont val="Arial"/>
        <family val="2"/>
      </rPr>
      <t xml:space="preserve">
These functions estimate the segregation mode of offspring from the genotypes of two parental genotypes for the BC1 or F2 mode of JoinMap.
</t>
    </r>
    <phoneticPr fontId="1"/>
  </si>
  <si>
    <r>
      <rPr>
        <u/>
        <sz val="11"/>
        <color rgb="FFFF0000"/>
        <rFont val="Arial"/>
        <family val="2"/>
      </rPr>
      <t xml:space="preserve">Convert a genotype for BC1 mode
</t>
    </r>
    <r>
      <rPr>
        <sz val="11"/>
        <color theme="1"/>
        <rFont val="Arial"/>
        <family val="2"/>
      </rPr>
      <t xml:space="preserve">These functions convert the raw genotype of offspring for the BC1 mode of JoinMap.
</t>
    </r>
    <phoneticPr fontId="1"/>
  </si>
  <si>
    <r>
      <rPr>
        <u/>
        <sz val="11"/>
        <color rgb="FFFF0000"/>
        <rFont val="Arial"/>
        <family val="2"/>
      </rPr>
      <t xml:space="preserve">Convert a genotype for F2 mode
</t>
    </r>
    <r>
      <rPr>
        <sz val="11"/>
        <color theme="1"/>
        <rFont val="Arial"/>
        <family val="2"/>
      </rPr>
      <t xml:space="preserve">These functions convert the raw genotype of offspring for the F2 mode of JoinMap.
</t>
    </r>
    <phoneticPr fontId="1"/>
  </si>
  <si>
    <r>
      <rPr>
        <u/>
        <sz val="11"/>
        <color rgb="FFFF0000"/>
        <rFont val="Arial"/>
        <family val="2"/>
      </rPr>
      <t>Estimate a segregation of an M-formatted genotype</t>
    </r>
    <r>
      <rPr>
        <sz val="11"/>
        <color theme="1"/>
        <rFont val="Arial"/>
        <family val="2"/>
      </rPr>
      <t xml:space="preserve">
This function estimates the segregation of two, M-formatted parental genotypes among their offspring.
</t>
    </r>
    <phoneticPr fontId="1"/>
  </si>
  <si>
    <r>
      <rPr>
        <u/>
        <sz val="11"/>
        <color rgb="FFFF0000"/>
        <rFont val="Arial"/>
        <family val="2"/>
      </rPr>
      <t>Estimate a segregation mode of two parental genotypes according to BC1 or F2</t>
    </r>
    <r>
      <rPr>
        <sz val="11"/>
        <color theme="1"/>
        <rFont val="Arial"/>
        <family val="2"/>
      </rPr>
      <t xml:space="preserve">
This function converts the raw genotype of an M-formatted offspring's genotype to a BC1- or F2-style genotype.
</t>
    </r>
    <phoneticPr fontId="1"/>
  </si>
  <si>
    <t>4) Dataset analysis</t>
    <phoneticPr fontId="1"/>
  </si>
  <si>
    <t>= markmotif("TACCGTCCAAGATTCCCGAATTCCATATTATGGCCTAACACACATTGGCGAAGATTTCC","ATT")
&gt; TACCGTCCAAG[ATT]CCCGA[ATT]CCAT[ATT]ATGGCCTAACACAC[ATT]GGCGAAG[ATT]TCC
= markmotif("CAAGCTACAGTGTAATTTACGAGCCCAATTTTGCTACTGGTCACCCTCTGACTCAACAAT","AAT")
&gt; CAAGCTACAGTGT[AAT]TTACGAGCCC[AAT]TTTGCTACTGGTCACCCTCTGACTCAAC[AAT]
= markmotif("TACCGTCCAAGATTCCCGAATTCCATATTATGGCCTAACACACATTGGCGAAGATTTCC","GAATTC")
&gt;TACCGTCCAAGATTCCC[GAATTC]CATATTATGGCCTAACACACATTGGCGAAGATTTCC</t>
    <phoneticPr fontId="1"/>
  </si>
  <si>
    <t>= findmotif("TACCGTCCAAGATTCCCGAATTCCATATTATGGCCTAACACACATTGGCGAAGATTTCC","AT")
&gt; 12, 20, 25, 27, 30, 44, 54
= findmotif("CAAGCTACAGTGTAATTTACGAGCCCAATTTTGCTACTGGTCACCCTCTGACTCAACAAT","AAT")
&gt; 14, 27, 58
= findmotif("TACCGTCCAAGATTCCCGAATTCCATATTATGGCCTAACACACATTGGCGAAGATTTCC","GAATTC")
&gt; 18</t>
    <phoneticPr fontId="1"/>
  </si>
  <si>
    <t>= firstmotif("TACCGTCCAAGATTCCCGAATTCCATATTATGGCCTAACACACATTGGCGAAGATTTCC","GAATTC",1)
&gt; 18
= firstmotif("CAAGCTACAGTGTAATTTACGAGCCCAATTTTGCTACTGGTCACCCTCTGACTCAACAAT","AT",20)
&gt; 28</t>
    <phoneticPr fontId="1"/>
  </si>
  <si>
    <t>= motifcount("TACCGTCCAAGATTCCCGAATTCCATATTATGGCCTAACACACATTGGCGAAGATTTCC","GAATTC",1)
&gt; 1
= motifcount("TACCGTCCAAGATTCCCGAATTCCATATTATGGCCTAACACACATTGGCGAAGATTTCC","AT",1)
&gt; 7</t>
    <phoneticPr fontId="1"/>
  </si>
  <si>
    <t>= GCratio("CAAGCTACAGTGTAATTTACGAGCCCAATTTTGCTACTGGTCACCCTCTGACTCAACAAT")
&gt; 0.433333333333333
= GCratio("TACCGTCCAAGATTCCCGGGATGGCATATTATGGCCTAACACACATTGGCGAAGATTTCC")
&gt; 0.483333333333333</t>
    <phoneticPr fontId="1"/>
  </si>
  <si>
    <t>= clip3("CAAGCTACAGTGTAATTTACGAGCCCAATTTTGCTACTGGTCACCCTCTGACTCAACAAT", 10)
&gt; ACTCAACAAT
= clip3("CAAGCTACAGTGTAATTTACGAGCCCAATTTTGCTACTGGTCACCCTCTGACTCAACAAT")
&gt; T</t>
    <phoneticPr fontId="1"/>
  </si>
  <si>
    <t>= clip5("CAAGCTACAGTGTAATTTACGAGCCCAATTTTGCTACTGGTCACCCTCTGACTCAACAAT", 10)
&gt; CAAGCTACAG
= clip5("CAAGCTACAGTGTAATTTACGAGCCCAATTTTGCTACTGGTCACCCTCTGACTCAACAAT")
&gt; C</t>
    <phoneticPr fontId="1"/>
  </si>
  <si>
    <t>v.</t>
    <phoneticPr fontId="1"/>
  </si>
  <si>
    <t>w.</t>
    <phoneticPr fontId="1"/>
  </si>
  <si>
    <t>x.</t>
    <phoneticPr fontId="1"/>
  </si>
  <si>
    <t>Match the query sequence to the reference sequence</t>
    <phoneticPr fontId="1"/>
  </si>
  <si>
    <t xml:space="preserve">   TACCGTCCAA</t>
    <phoneticPr fontId="1"/>
  </si>
  <si>
    <t>TACCGTCCAAGATTGGGATTAACCATAAAATGGCCTAACACACATTGGCGAAGATTTCC</t>
    <phoneticPr fontId="1"/>
  </si>
  <si>
    <r>
      <rPr>
        <u/>
        <sz val="11"/>
        <color rgb="FFFF0000"/>
        <rFont val="Arial"/>
        <family val="2"/>
      </rPr>
      <t>Ratio of the matched query sequence to the reference sequence</t>
    </r>
    <r>
      <rPr>
        <sz val="11"/>
        <color theme="1"/>
        <rFont val="Arial"/>
        <family val="2"/>
      </rPr>
      <t xml:space="preserve">
This function compares the query sequence to the reference sequence from 5'-end then returns the ratio of the matched character.
This function is available for any types of sequence.
</t>
    </r>
    <phoneticPr fontId="1"/>
  </si>
  <si>
    <t>= matchseq("ATGCAAA", "ATCCTAA")
&gt; R:ATGCAAA
  Q:AT.C.AA</t>
    <phoneticPr fontId="1"/>
  </si>
  <si>
    <t>= matchscore("ATGCAAA", "ATCCTAA")
&gt; 0.714286
'= matchscore("ATGCAAA", "ATGCAAA")
&gt; 1.00000</t>
    <phoneticPr fontId="1"/>
  </si>
  <si>
    <t xml:space="preserve">This function remove the extra sequence outside of bracket, then return the sequence within a bracket. </t>
    <phoneticPr fontId="1"/>
  </si>
  <si>
    <r>
      <rPr>
        <u/>
        <sz val="11"/>
        <color rgb="FFFF0000"/>
        <rFont val="Arial"/>
        <family val="2"/>
      </rPr>
      <t>Prune the unnecessary sequence and select the sequence inside the bracket</t>
    </r>
    <r>
      <rPr>
        <sz val="11"/>
        <color theme="1"/>
        <rFont val="Arial"/>
        <family val="2"/>
      </rPr>
      <t xml:space="preserve">
This function remove the extra sequence outside of bracket, then return the sequence within a bracket. 
User can identify the one to be remained when multiple brackets present in the sequence.
This function is available for any types of sequence.
</t>
    </r>
    <phoneticPr fontId="1"/>
  </si>
  <si>
    <t>CAAGCTACAGTGTAATTTACGAGCCCA[A/C]TTTTGCTACTGGTCACCCTCTGACTCAACAAT</t>
    <phoneticPr fontId="1"/>
  </si>
  <si>
    <t>= prune("CAAGCTACAGTGTAATTTACGAGCCCA[A/C]TTTTGCTACTGGTCACCCTCTGACTCAACAAT",1)
&gt; A/C
= prune("CAAG[C/A]TACAGT[G/A]TAATTT[C/A]CGAGCCCA[T/A]TTTTG[C/T]TACTGGTCACCCTCTGACTCAACAAT",2)
&gt; G/A</t>
    <phoneticPr fontId="1"/>
  </si>
  <si>
    <r>
      <rPr>
        <u/>
        <sz val="11"/>
        <color rgb="FFFF0000"/>
        <rFont val="Arial"/>
        <family val="2"/>
      </rPr>
      <t>Format the sequence by inserting line feed at every Nth interval</t>
    </r>
    <r>
      <rPr>
        <sz val="11"/>
        <color theme="1"/>
        <rFont val="Arial"/>
        <family val="2"/>
      </rPr>
      <t xml:space="preserve">
This function inserts line feed at every Nth position in the sequence. This function is available for DNA/RNA/amino acid sequence.
</t>
    </r>
    <phoneticPr fontId="1"/>
  </si>
  <si>
    <t>This function inserts line feed at every Nth position in the sequence.</t>
  </si>
  <si>
    <r>
      <t>= prune(</t>
    </r>
    <r>
      <rPr>
        <b/>
        <sz val="12"/>
        <color rgb="FF0000FF"/>
        <rFont val="Calibri"/>
        <family val="2"/>
      </rPr>
      <t>SEQ</t>
    </r>
    <r>
      <rPr>
        <sz val="12"/>
        <color rgb="FF0000FF"/>
        <rFont val="Calibri"/>
        <family val="2"/>
      </rPr>
      <t xml:space="preserve"> (,</t>
    </r>
    <r>
      <rPr>
        <b/>
        <sz val="12"/>
        <color rgb="FF0000FF"/>
        <rFont val="Calibri"/>
        <family val="2"/>
      </rPr>
      <t>order</t>
    </r>
    <r>
      <rPr>
        <sz val="12"/>
        <color rgb="FF0000FF"/>
        <rFont val="Calibri"/>
        <family val="2"/>
      </rPr>
      <t>))</t>
    </r>
    <phoneticPr fontId="1"/>
  </si>
  <si>
    <r>
      <rPr>
        <b/>
        <sz val="12"/>
        <color theme="1"/>
        <rFont val="Calibri"/>
        <family val="2"/>
      </rPr>
      <t>order</t>
    </r>
    <r>
      <rPr>
        <sz val="12"/>
        <color theme="1"/>
        <rFont val="Calibri"/>
        <family val="2"/>
      </rPr>
      <t xml:space="preserve"> (optional): the optision of a bracket to be extracted.</t>
    </r>
    <phoneticPr fontId="1"/>
  </si>
  <si>
    <t>GUGS: General Utilities for Genotyping Study, a work book</t>
    <phoneticPr fontId="1"/>
  </si>
  <si>
    <t>M2SNP(HMP)
&gt; SNP genotype</t>
    <phoneticPr fontId="1"/>
  </si>
  <si>
    <r>
      <t>=SNPSharedAllele(</t>
    </r>
    <r>
      <rPr>
        <b/>
        <sz val="12"/>
        <color rgb="FF0000FF"/>
        <rFont val="Calibri"/>
        <family val="2"/>
      </rPr>
      <t>SNP1</t>
    </r>
    <r>
      <rPr>
        <sz val="12"/>
        <color rgb="FF0000FF"/>
        <rFont val="Calibri"/>
        <family val="2"/>
      </rPr>
      <t xml:space="preserve">, </t>
    </r>
    <r>
      <rPr>
        <b/>
        <sz val="12"/>
        <color rgb="FF0000FF"/>
        <rFont val="Calibri"/>
        <family val="2"/>
      </rPr>
      <t>SNP2</t>
    </r>
    <r>
      <rPr>
        <sz val="12"/>
        <color rgb="FF0000FF"/>
        <rFont val="Calibri"/>
        <family val="2"/>
      </rPr>
      <t>)</t>
    </r>
    <phoneticPr fontId="1"/>
  </si>
  <si>
    <r>
      <t>= GetUniqAllele(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</si>
  <si>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rPr>
        <u/>
        <sz val="11"/>
        <color rgb="FFFF0000"/>
        <rFont val="Arial"/>
        <family val="2"/>
      </rPr>
      <t>Finding a match the query sequence to the reference sequence</t>
    </r>
    <r>
      <rPr>
        <sz val="11"/>
        <color theme="1"/>
        <rFont val="Arial"/>
        <family val="2"/>
      </rPr>
      <t xml:space="preserve">
This function compares the query sequence to the reference sequence from 5'-end then shows the matched character.
This function is available for any types of sequence.</t>
    </r>
    <phoneticPr fontId="1"/>
  </si>
  <si>
    <t>OFFSET</t>
    <phoneticPr fontId="41"/>
  </si>
  <si>
    <t>Source table:</t>
    <phoneticPr fontId="1"/>
  </si>
  <si>
    <t>Visual threshold:</t>
    <phoneticPr fontId="1"/>
  </si>
  <si>
    <t>Sample SNP dataset 1</t>
    <phoneticPr fontId="1"/>
  </si>
  <si>
    <t>Sample SNP dataset 1</t>
    <phoneticPr fontId="1"/>
  </si>
  <si>
    <r>
      <rPr>
        <b/>
        <sz val="12"/>
        <color theme="1"/>
        <rFont val="Calibri"/>
        <family val="2"/>
      </rPr>
      <t>Appendix 1</t>
    </r>
    <r>
      <rPr>
        <sz val="12"/>
        <color theme="1"/>
        <rFont val="Calibri"/>
        <family val="2"/>
      </rPr>
      <t>: Application for DNA marker design</t>
    </r>
    <phoneticPr fontId="1"/>
  </si>
  <si>
    <t>CGGCTGTCATCACTTAGACCTCACCCTGTGGAGCCACACCCTAGGGTTGGCCAATCTACT
CCCAGGAGCAGGGAGGGCAGGAGCCAGGGCTGGGCATAAAAGTCAGGGCAGAGCCATCTA
TTGCTTACATTTGCTTCTGACACAACTGTGTTCACTAGCAACCTCAAACAGACACCATGG
TGCATCTGACTCCTGAGGAGAAGTCTGCCGTTACTGCCCTGTGGGGCAAGGTGAACGTGG
ATGAAGTTGGTGGTGAGGCCCTGGGCAGGCTGCTGGTGGTCTACCCTTGGACCCAGAGGT
TCTTTGAGTCCTTTGGGGATCTGTCCACTCCTGATGCTGTTATGGGCAACCCTAAGGTGA
AGGCTCATGGCAAGAAAGTGCTCGGTGCCTTTAGTGATGGCCTGGCTCACCTGGACAACC
TCAAGGGCACCTTTGCCACACTGAGTGAGCTGCACTGTGACAAGCTGCACGTGGATCCTG
AGAACTTCAGGCTCCTGGGCAACGTGCTGGTCTGTGTGCTGGCCCATCACTTTGGCAAAG
AATTCACCCCACCAGTGCAGGCTGCCTATCAGAAAGTGGTGGCTGGTGTGGCTAATGCCC
TGGCCCACAAGTATCACTAAGCTCGCTTTCTTGCTGTCCAATTTCTATTAAAGGTTCCTT
TGTTCCCTAAGTCCAACTACTAAACTGGGGGATATTATGAAGGGCCTTGAGCATCTGGAT
TCTGCCTAATAAAAAACATTTATTTTCATTGCAA</t>
    <phoneticPr fontId="1"/>
  </si>
  <si>
    <t>Source sequence</t>
    <phoneticPr fontId="1"/>
  </si>
  <si>
    <t>F primer seq</t>
    <phoneticPr fontId="1"/>
  </si>
  <si>
    <t>bp</t>
    <phoneticPr fontId="1"/>
  </si>
  <si>
    <t>ACTGTGTTCACTAGCAACCT</t>
    <phoneticPr fontId="1"/>
  </si>
  <si>
    <t>F primer position</t>
    <phoneticPr fontId="1"/>
  </si>
  <si>
    <t>CAGTTTAGTAGTTGGACTTAGGGA</t>
    <phoneticPr fontId="1"/>
  </si>
  <si>
    <t>F primer length</t>
    <phoneticPr fontId="1"/>
  </si>
  <si>
    <t>F primer GC ratio</t>
    <phoneticPr fontId="1"/>
  </si>
  <si>
    <t>R primer seq</t>
    <phoneticPr fontId="1"/>
  </si>
  <si>
    <t>R primer length</t>
    <phoneticPr fontId="1"/>
  </si>
  <si>
    <t>R primer GC ratio</t>
    <phoneticPr fontId="1"/>
  </si>
  <si>
    <t>R primer position</t>
    <phoneticPr fontId="1"/>
  </si>
  <si>
    <t>Product size</t>
    <phoneticPr fontId="1"/>
  </si>
  <si>
    <t>R revcomp seq</t>
    <phoneticPr fontId="1"/>
  </si>
  <si>
    <t>Composition</t>
    <phoneticPr fontId="1"/>
  </si>
  <si>
    <t>Product sequence</t>
    <phoneticPr fontId="1"/>
  </si>
  <si>
    <t>Source sequence
*)This sequence includes line feeds.</t>
    <phoneticPr fontId="1"/>
  </si>
  <si>
    <t>splitted:
10bp interval</t>
    <phoneticPr fontId="1"/>
  </si>
  <si>
    <r>
      <rPr>
        <b/>
        <sz val="12"/>
        <color theme="1"/>
        <rFont val="Calibri"/>
        <family val="2"/>
      </rPr>
      <t>Appendix 3</t>
    </r>
    <r>
      <rPr>
        <sz val="12"/>
        <color theme="1"/>
        <rFont val="Calibri"/>
        <family val="2"/>
      </rPr>
      <t>: Dynamic evaluation of an all-to-all shared allele ratio table for SSR marker data</t>
    </r>
    <phoneticPr fontId="1"/>
  </si>
  <si>
    <r>
      <rPr>
        <b/>
        <sz val="12"/>
        <color theme="1"/>
        <rFont val="Calibri"/>
        <family val="2"/>
      </rPr>
      <t>Appendix 4</t>
    </r>
    <r>
      <rPr>
        <sz val="12"/>
        <color theme="1"/>
        <rFont val="Calibri"/>
        <family val="2"/>
      </rPr>
      <t>: Dynamic evaluation of an all-to-all shared allele ratio table for SNP marker data</t>
    </r>
    <phoneticPr fontId="1"/>
  </si>
  <si>
    <t>Tips:</t>
    <phoneticPr fontId="1"/>
  </si>
  <si>
    <r>
      <rPr>
        <b/>
        <sz val="12"/>
        <color theme="1"/>
        <rFont val="Calibri"/>
        <family val="2"/>
      </rPr>
      <t>Appendix 1</t>
    </r>
    <r>
      <rPr>
        <sz val="12"/>
        <color theme="1"/>
        <rFont val="Calibri"/>
        <family val="2"/>
      </rPr>
      <t>: Dynamic evaluation of an all-to-all table of genetic identity ratio for SSR marker data</t>
    </r>
    <phoneticPr fontId="1"/>
  </si>
  <si>
    <r>
      <rPr>
        <b/>
        <sz val="12"/>
        <color theme="1"/>
        <rFont val="Calibri"/>
        <family val="2"/>
      </rPr>
      <t>Appendix 2</t>
    </r>
    <r>
      <rPr>
        <sz val="12"/>
        <color theme="1"/>
        <rFont val="Calibri"/>
        <family val="2"/>
      </rPr>
      <t>: Dynamic evaluation of an all-to-all table of genetic identity ratio for SNP marker data</t>
    </r>
    <phoneticPr fontId="1"/>
  </si>
  <si>
    <t>You can reduce the computational loads by copying the table then paste it as a value</t>
    <phoneticPr fontId="1"/>
  </si>
  <si>
    <t>when you do not need to renew the data dynamically.</t>
    <phoneticPr fontId="1"/>
  </si>
  <si>
    <t>Dynamic evaluation of genetic identity is a useful application of GUGS, but it consumes CPU power.</t>
    <phoneticPr fontId="1"/>
  </si>
  <si>
    <t>Citation:</t>
    <phoneticPr fontId="1"/>
  </si>
  <si>
    <r>
      <t xml:space="preserve">T. Shimizu (2021) General Utilities for Genotyping Study (GUGS): A Comprehensive Application in Genotype and Sequence Data Manipulation. </t>
    </r>
    <r>
      <rPr>
        <i/>
        <sz val="11"/>
        <color theme="1"/>
        <rFont val="Arial"/>
        <family val="2"/>
      </rPr>
      <t>JARQ</t>
    </r>
    <r>
      <rPr>
        <sz val="11"/>
        <color theme="1"/>
        <rFont val="Arial"/>
        <family val="2"/>
      </rPr>
      <t xml:space="preserve"> </t>
    </r>
    <r>
      <rPr>
        <b/>
        <sz val="11"/>
        <color theme="1"/>
        <rFont val="Arial"/>
        <family val="2"/>
      </rPr>
      <t>55</t>
    </r>
    <r>
      <rPr>
        <sz val="11"/>
        <color theme="1"/>
        <rFont val="Arial"/>
        <family val="2"/>
      </rPr>
      <t xml:space="preserve"> (4), 333-339. </t>
    </r>
    <phoneticPr fontId="1"/>
  </si>
  <si>
    <t>R primer location in the product sequence</t>
    <phoneticPr fontId="1"/>
  </si>
  <si>
    <t>F primer location in the product sequence</t>
    <phoneticPr fontId="1"/>
  </si>
  <si>
    <t>ENST00000647020.1</t>
    <phoneticPr fontId="1"/>
  </si>
  <si>
    <t>Source sequence length</t>
    <phoneticPr fontId="1"/>
  </si>
  <si>
    <t xml:space="preserve"> A</t>
    <phoneticPr fontId="1"/>
  </si>
  <si>
    <t>ACGT</t>
    <phoneticPr fontId="1"/>
  </si>
  <si>
    <r>
      <t>= toDNA(</t>
    </r>
    <r>
      <rPr>
        <b/>
        <sz val="12"/>
        <color rgb="FF0000FF"/>
        <rFont val="Calibri"/>
        <family val="2"/>
      </rPr>
      <t>SEQ</t>
    </r>
    <r>
      <rPr>
        <sz val="12"/>
        <color rgb="FF0000FF"/>
        <rFont val="Calibri"/>
        <family val="2"/>
      </rPr>
      <t>)</t>
    </r>
    <phoneticPr fontId="1"/>
  </si>
  <si>
    <t>CAAGCTACAGTGTAATTTACGAGCCCAATTTTGCTACTGGTCACCCTCTGACTCAACAAT</t>
    <phoneticPr fontId="1"/>
  </si>
  <si>
    <t>TACCGTCCAAGATTCCCGAATTCCATATTATGGCCTAACACACATTGGCGAAGATTTCC</t>
    <phoneticPr fontId="1"/>
  </si>
  <si>
    <t>Copyright (c) 2013, 2014, 2015, 2016, 2017, 2021 Tokurou Shimizu, All right reserved.</t>
    <phoneticPr fontId="1"/>
  </si>
  <si>
    <t>Availability:</t>
    <phoneticPr fontId="1"/>
  </si>
  <si>
    <t>https://github.com/tokurou/GUGS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</si>
</sst>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00"/>
    <numFmt numFmtId="177" formatCode="0.0E+00"/>
    <numFmt numFmtId="178" formatCode="0.0000"/>
    <numFmt numFmtId="179" formatCode="0.000000000"/>
    <numFmt numFmtId="180" formatCode="[$-409]dd\-mmm\-yy;@"/>
  </numFmts>
  <fonts count="47"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4"/>
      <color rgb="FFFF0000"/>
      <name val="Arial"/>
      <family val="2"/>
    </font>
    <font>
      <sz val="14"/>
      <color rgb="FFFF0000"/>
      <name val="Arial"/>
      <family val="2"/>
    </font>
    <font>
      <sz val="11"/>
      <color theme="1"/>
      <name val="Arial"/>
      <family val="2"/>
    </font>
    <font>
      <u/>
      <sz val="11"/>
      <color theme="10"/>
      <name val="Arial"/>
      <family val="2"/>
    </font>
    <font>
      <sz val="11"/>
      <color rgb="FF0000FF"/>
      <name val="ＭＳ Ｐゴシック"/>
      <family val="2"/>
      <charset val="128"/>
      <scheme val="minor"/>
    </font>
    <font>
      <sz val="14"/>
      <color theme="1"/>
      <name val="Calibri"/>
      <family val="2"/>
    </font>
    <font>
      <sz val="11"/>
      <color theme="1"/>
      <name val="ＭＳ Ｐゴシック"/>
      <family val="3"/>
      <charset val="128"/>
      <scheme val="minor"/>
    </font>
    <font>
      <sz val="12"/>
      <color theme="1"/>
      <name val="Times New Roman"/>
      <family val="1"/>
    </font>
    <font>
      <sz val="12"/>
      <color theme="1"/>
      <name val="Calibri"/>
      <family val="2"/>
    </font>
    <font>
      <sz val="12"/>
      <color rgb="FF0000FF"/>
      <name val="Calibri"/>
      <family val="2"/>
    </font>
    <font>
      <sz val="11"/>
      <color rgb="FFFF0000"/>
      <name val="Arial"/>
      <family val="2"/>
    </font>
    <font>
      <sz val="11"/>
      <color rgb="FF0000FF"/>
      <name val="Arial"/>
      <family val="2"/>
    </font>
    <font>
      <sz val="11"/>
      <name val="Arial"/>
      <family val="2"/>
    </font>
    <font>
      <sz val="11"/>
      <color theme="1"/>
      <name val="Times New Roman"/>
      <family val="1"/>
    </font>
    <font>
      <u/>
      <sz val="11"/>
      <color rgb="FFFF0000"/>
      <name val="Arial"/>
      <family val="2"/>
    </font>
    <font>
      <u/>
      <sz val="11"/>
      <color rgb="FF0000FF"/>
      <name val="Arial"/>
      <family val="2"/>
    </font>
    <font>
      <i/>
      <u/>
      <sz val="11"/>
      <color rgb="FFFF0000"/>
      <name val="Arial"/>
      <family val="2"/>
    </font>
    <font>
      <sz val="14"/>
      <color theme="1"/>
      <name val="Arial"/>
      <family val="2"/>
    </font>
    <font>
      <i/>
      <sz val="11"/>
      <color theme="1"/>
      <name val="Arial"/>
      <family val="2"/>
    </font>
    <font>
      <b/>
      <sz val="11"/>
      <color theme="1"/>
      <name val="Times New Roman"/>
      <family val="1"/>
    </font>
    <font>
      <sz val="11"/>
      <color rgb="FF0000FF"/>
      <name val="Courier New"/>
      <family val="3"/>
    </font>
    <font>
      <b/>
      <sz val="12"/>
      <color theme="0"/>
      <name val="Calibri"/>
      <family val="2"/>
    </font>
    <font>
      <sz val="12"/>
      <color theme="0"/>
      <name val="Calibri"/>
      <family val="2"/>
    </font>
    <font>
      <sz val="12"/>
      <name val="Calibri"/>
      <family val="2"/>
    </font>
    <font>
      <b/>
      <sz val="12"/>
      <color rgb="FF0000FF"/>
      <name val="Calibri"/>
      <family val="2"/>
    </font>
    <font>
      <b/>
      <sz val="12"/>
      <color theme="1"/>
      <name val="Calibri"/>
      <family val="2"/>
    </font>
    <font>
      <sz val="12"/>
      <color rgb="FF000000"/>
      <name val="Calibri"/>
      <family val="2"/>
    </font>
    <font>
      <sz val="12"/>
      <color rgb="FFFF0000"/>
      <name val="Calibri"/>
      <family val="2"/>
    </font>
    <font>
      <i/>
      <sz val="12"/>
      <color theme="1"/>
      <name val="Calibri"/>
      <family val="2"/>
    </font>
    <font>
      <i/>
      <sz val="12"/>
      <color rgb="FFFF0000"/>
      <name val="Calibri"/>
      <family val="2"/>
    </font>
    <font>
      <i/>
      <sz val="12"/>
      <color rgb="FF000000"/>
      <name val="Calibri"/>
      <family val="2"/>
    </font>
    <font>
      <i/>
      <vertAlign val="subscript"/>
      <sz val="12"/>
      <color rgb="FF000000"/>
      <name val="Calibri"/>
      <family val="2"/>
    </font>
    <font>
      <u/>
      <sz val="12"/>
      <color theme="10"/>
      <name val="Calibri"/>
      <family val="2"/>
    </font>
    <font>
      <b/>
      <sz val="12"/>
      <color rgb="FFFF0000"/>
      <name val="Calibri"/>
      <family val="2"/>
    </font>
    <font>
      <sz val="12"/>
      <color theme="1"/>
      <name val="Arial"/>
      <family val="2"/>
    </font>
    <font>
      <sz val="12"/>
      <color rgb="FFFF0000"/>
      <name val="Arial"/>
      <family val="2"/>
    </font>
    <font>
      <sz val="12"/>
      <color rgb="FF0000FF"/>
      <name val="Arial"/>
      <family val="2"/>
    </font>
    <font>
      <sz val="16"/>
      <color theme="1"/>
      <name val="Calibri"/>
      <family val="2"/>
    </font>
    <font>
      <sz val="6"/>
      <name val="ＭＳ Ｐゴシック"/>
      <family val="2"/>
      <charset val="128"/>
    </font>
    <font>
      <sz val="11"/>
      <color theme="1"/>
      <name val="Courier New"/>
      <family val="3"/>
    </font>
    <font>
      <b/>
      <sz val="11"/>
      <color theme="1"/>
      <name val="Arial"/>
      <family val="2"/>
    </font>
    <font>
      <sz val="12"/>
      <color rgb="FF00B050"/>
      <name val="Calibri"/>
      <family val="2"/>
    </font>
    <font>
      <sz val="11"/>
      <color rgb="FF008000"/>
      <name val="Arial"/>
      <family val="2"/>
    </font>
    <font>
      <u/>
      <sz val="11"/>
      <color theme="10"/>
      <name val="Calibri"/>
      <family val="2"/>
    </font>
  </fonts>
  <fills count="13">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bgColor indexed="64"/>
      </patternFill>
    </fill>
    <fill>
      <patternFill patternType="solid">
        <fgColor rgb="FFE5FFE5"/>
        <bgColor indexed="64"/>
      </patternFill>
    </fill>
    <fill>
      <patternFill patternType="solid">
        <fgColor rgb="FFCCFFFF"/>
        <bgColor indexed="64"/>
      </patternFill>
    </fill>
    <fill>
      <patternFill patternType="solid">
        <fgColor rgb="FFF8F8F8"/>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249977111117893"/>
        <bgColor indexed="64"/>
      </patternFill>
    </fill>
  </fills>
  <borders count="12">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310">
    <xf numFmtId="0" fontId="0" fillId="0" borderId="0" xfId="0">
      <alignment vertical="center"/>
    </xf>
    <xf numFmtId="0" fontId="3" fillId="0" borderId="0" xfId="0" applyFont="1" applyAlignment="1">
      <alignment horizontal="center"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5" fillId="0" borderId="0" xfId="0" applyFont="1" applyAlignment="1">
      <alignment horizontal="right" vertical="center"/>
    </xf>
    <xf numFmtId="0" fontId="5" fillId="0" borderId="0" xfId="0" applyFont="1" applyAlignment="1">
      <alignment horizontal="left"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9" fillId="0" borderId="1" xfId="0" applyFont="1" applyBorder="1" applyAlignment="1">
      <alignment vertical="top" wrapText="1"/>
    </xf>
    <xf numFmtId="0" fontId="7" fillId="0" borderId="0" xfId="0" applyFont="1" applyFill="1" applyAlignment="1">
      <alignment vertical="top"/>
    </xf>
    <xf numFmtId="0" fontId="10" fillId="0" borderId="0" xfId="0" applyFont="1" applyAlignment="1">
      <alignment vertical="top" wrapText="1"/>
    </xf>
    <xf numFmtId="0" fontId="11" fillId="0" borderId="1" xfId="0" applyFont="1" applyBorder="1">
      <alignment vertical="center"/>
    </xf>
    <xf numFmtId="0" fontId="11" fillId="0" borderId="0" xfId="0" applyFont="1">
      <alignment vertical="center"/>
    </xf>
    <xf numFmtId="0" fontId="12" fillId="0" borderId="0" xfId="0" applyFont="1">
      <alignment vertical="center"/>
    </xf>
    <xf numFmtId="0" fontId="11" fillId="0" borderId="0" xfId="0" applyFont="1" applyAlignment="1">
      <alignment horizontal="right" vertical="center"/>
    </xf>
    <xf numFmtId="0" fontId="11" fillId="0" borderId="0" xfId="0" applyFont="1" applyAlignment="1">
      <alignment horizontal="center" vertical="center"/>
    </xf>
    <xf numFmtId="0" fontId="5" fillId="0" borderId="1" xfId="0" applyFont="1" applyBorder="1" applyAlignment="1">
      <alignment vertical="top" wrapText="1"/>
    </xf>
    <xf numFmtId="0" fontId="5" fillId="0" borderId="0" xfId="0" applyFont="1" applyAlignment="1">
      <alignment horizontal="right" vertical="top"/>
    </xf>
    <xf numFmtId="0" fontId="14" fillId="0" borderId="0" xfId="0" applyFont="1" applyFill="1" applyAlignment="1">
      <alignment horizontal="right" vertical="top"/>
    </xf>
    <xf numFmtId="0" fontId="5" fillId="0" borderId="0" xfId="0" applyFont="1" applyFill="1" applyBorder="1" applyAlignment="1">
      <alignment horizontal="right" vertical="top"/>
    </xf>
    <xf numFmtId="0" fontId="5" fillId="2" borderId="1" xfId="0" applyFont="1" applyFill="1" applyBorder="1" applyAlignment="1">
      <alignment vertical="top" wrapText="1"/>
    </xf>
    <xf numFmtId="0" fontId="5" fillId="2" borderId="1" xfId="0" applyFont="1" applyFill="1" applyBorder="1" applyAlignment="1">
      <alignment horizontal="center" vertical="top"/>
    </xf>
    <xf numFmtId="0" fontId="5" fillId="0" borderId="1" xfId="0" applyFont="1" applyBorder="1" applyAlignment="1">
      <alignment vertical="top"/>
    </xf>
    <xf numFmtId="0" fontId="14" fillId="0" borderId="1" xfId="0" applyFont="1" applyBorder="1" applyAlignment="1">
      <alignment vertical="top" wrapText="1"/>
    </xf>
    <xf numFmtId="49" fontId="16" fillId="0" borderId="1" xfId="0" applyNumberFormat="1" applyFont="1" applyBorder="1" applyAlignment="1">
      <alignment vertical="top" wrapText="1"/>
    </xf>
    <xf numFmtId="49" fontId="14" fillId="0" borderId="1" xfId="0" applyNumberFormat="1" applyFont="1" applyBorder="1" applyAlignment="1">
      <alignment vertical="top" wrapText="1"/>
    </xf>
    <xf numFmtId="0" fontId="5" fillId="0" borderId="0" xfId="0" applyFont="1" applyFill="1" applyBorder="1" applyAlignment="1">
      <alignment horizontal="left" vertical="top" wrapText="1"/>
    </xf>
    <xf numFmtId="0" fontId="5" fillId="0" borderId="2" xfId="0" applyFont="1" applyBorder="1" applyAlignment="1">
      <alignment vertical="top" wrapText="1"/>
    </xf>
    <xf numFmtId="0" fontId="20" fillId="0" borderId="0" xfId="0" applyFont="1" applyAlignment="1">
      <alignment vertical="top" wrapText="1"/>
    </xf>
    <xf numFmtId="0" fontId="5" fillId="0" borderId="0" xfId="0" applyFont="1" applyAlignment="1">
      <alignment vertical="top"/>
    </xf>
    <xf numFmtId="0" fontId="11" fillId="0" borderId="0" xfId="0" applyFont="1" applyBorder="1">
      <alignment vertical="center"/>
    </xf>
    <xf numFmtId="0" fontId="0" fillId="0" borderId="0" xfId="0" applyFont="1" applyAlignment="1">
      <alignment vertical="top"/>
    </xf>
    <xf numFmtId="0" fontId="0" fillId="0" borderId="1" xfId="0" applyFont="1" applyBorder="1" applyAlignment="1">
      <alignment vertical="top" wrapText="1"/>
    </xf>
    <xf numFmtId="0" fontId="0" fillId="0" borderId="1" xfId="0" applyFont="1" applyBorder="1" applyAlignment="1">
      <alignment vertical="top"/>
    </xf>
    <xf numFmtId="0" fontId="16" fillId="0" borderId="0" xfId="0" applyFont="1" applyAlignment="1">
      <alignment vertical="top" wrapText="1"/>
    </xf>
    <xf numFmtId="0" fontId="5" fillId="2" borderId="1" xfId="0" applyFont="1" applyFill="1" applyBorder="1" applyAlignment="1">
      <alignment horizontal="center" vertical="top" wrapText="1"/>
    </xf>
    <xf numFmtId="0" fontId="0" fillId="0" borderId="0" xfId="0" applyFont="1" applyFill="1" applyBorder="1" applyAlignment="1">
      <alignment vertical="top"/>
    </xf>
    <xf numFmtId="0" fontId="0" fillId="0" borderId="0" xfId="0" applyFont="1" applyFill="1" applyBorder="1" applyAlignment="1">
      <alignment vertical="top" wrapText="1"/>
    </xf>
    <xf numFmtId="0" fontId="0" fillId="0" borderId="0" xfId="0" applyFont="1" applyFill="1" applyBorder="1" applyAlignment="1">
      <alignment horizontal="center" vertical="top"/>
    </xf>
    <xf numFmtId="0" fontId="16" fillId="0" borderId="0" xfId="0" applyFont="1" applyFill="1" applyBorder="1" applyAlignment="1">
      <alignment horizontal="center" vertical="top" wrapText="1"/>
    </xf>
    <xf numFmtId="0" fontId="16" fillId="0" borderId="1" xfId="0" applyFont="1" applyBorder="1" applyAlignment="1">
      <alignment vertical="top" wrapText="1"/>
    </xf>
    <xf numFmtId="0" fontId="0" fillId="0" borderId="0" xfId="0" applyFont="1" applyAlignment="1">
      <alignment vertical="top" wrapText="1"/>
    </xf>
    <xf numFmtId="0" fontId="5" fillId="2" borderId="1" xfId="0" applyFont="1" applyFill="1" applyBorder="1" applyAlignment="1">
      <alignment vertical="top"/>
    </xf>
    <xf numFmtId="0" fontId="5" fillId="0" borderId="0" xfId="0" applyFont="1" applyBorder="1" applyAlignment="1">
      <alignment vertical="center"/>
    </xf>
    <xf numFmtId="0" fontId="11" fillId="0" borderId="0" xfId="0" applyFont="1" applyAlignment="1">
      <alignment horizontal="left" vertical="center"/>
    </xf>
    <xf numFmtId="0" fontId="11" fillId="2" borderId="1" xfId="0" applyFont="1" applyFill="1" applyBorder="1" applyAlignment="1">
      <alignment vertical="top"/>
    </xf>
    <xf numFmtId="0" fontId="11" fillId="2" borderId="1" xfId="0" applyFont="1" applyFill="1" applyBorder="1">
      <alignment vertical="center"/>
    </xf>
    <xf numFmtId="0" fontId="11" fillId="2" borderId="1" xfId="0" applyFont="1" applyFill="1" applyBorder="1" applyAlignment="1">
      <alignment horizontal="center" vertical="center"/>
    </xf>
    <xf numFmtId="0" fontId="11" fillId="0" borderId="0" xfId="0" applyFont="1" applyFill="1" applyBorder="1" applyAlignment="1">
      <alignment vertical="top"/>
    </xf>
    <xf numFmtId="0" fontId="11" fillId="0" borderId="0" xfId="0" applyFont="1" applyFill="1" applyBorder="1">
      <alignment vertical="center"/>
    </xf>
    <xf numFmtId="0" fontId="11" fillId="0" borderId="0" xfId="0" applyFont="1" applyFill="1" applyBorder="1" applyAlignment="1">
      <alignment horizontal="center" vertical="center"/>
    </xf>
    <xf numFmtId="0" fontId="11" fillId="0" borderId="0" xfId="0" applyFont="1" applyFill="1">
      <alignment vertical="center"/>
    </xf>
    <xf numFmtId="0" fontId="11" fillId="0" borderId="0" xfId="0" applyFont="1" applyAlignment="1">
      <alignment vertical="top" wrapText="1"/>
    </xf>
    <xf numFmtId="0" fontId="24" fillId="12" borderId="0" xfId="0" applyFont="1" applyFill="1">
      <alignment vertical="center"/>
    </xf>
    <xf numFmtId="0" fontId="25" fillId="12" borderId="0" xfId="0" applyFont="1" applyFill="1">
      <alignment vertical="center"/>
    </xf>
    <xf numFmtId="0" fontId="11" fillId="4" borderId="1" xfId="0" applyFont="1" applyFill="1" applyBorder="1" applyAlignment="1">
      <alignment horizontal="center" vertical="center"/>
    </xf>
    <xf numFmtId="0" fontId="11" fillId="0" borderId="3" xfId="0" applyFont="1" applyBorder="1">
      <alignment vertical="center"/>
    </xf>
    <xf numFmtId="0" fontId="11" fillId="0" borderId="3" xfId="0" applyFont="1" applyBorder="1" applyAlignment="1">
      <alignment horizontal="center" vertical="center"/>
    </xf>
    <xf numFmtId="0" fontId="26" fillId="0" borderId="0" xfId="0" applyFont="1" applyAlignment="1">
      <alignment horizontal="center"/>
    </xf>
    <xf numFmtId="0" fontId="11" fillId="0" borderId="0" xfId="0" applyFont="1" applyBorder="1" applyAlignment="1">
      <alignment horizontal="center" vertical="center"/>
    </xf>
    <xf numFmtId="0" fontId="11" fillId="0" borderId="2" xfId="0" applyFont="1" applyBorder="1">
      <alignment vertical="center"/>
    </xf>
    <xf numFmtId="0" fontId="11" fillId="0" borderId="2" xfId="0" applyFont="1" applyBorder="1" applyAlignment="1">
      <alignment horizontal="center" vertical="center"/>
    </xf>
    <xf numFmtId="0" fontId="26" fillId="0" borderId="2" xfId="0" applyFont="1" applyBorder="1" applyAlignment="1">
      <alignment horizontal="center"/>
    </xf>
    <xf numFmtId="0" fontId="26" fillId="0" borderId="0" xfId="0" applyFont="1" applyBorder="1" applyAlignment="1">
      <alignment horizontal="center"/>
    </xf>
    <xf numFmtId="0" fontId="11" fillId="11" borderId="0" xfId="0" applyFont="1" applyFill="1" applyAlignment="1">
      <alignment horizontal="right" vertical="center"/>
    </xf>
    <xf numFmtId="0" fontId="11" fillId="11" borderId="0" xfId="0" applyFont="1" applyFill="1">
      <alignment vertical="center"/>
    </xf>
    <xf numFmtId="0" fontId="11" fillId="11" borderId="0" xfId="0" applyFont="1" applyFill="1" applyAlignment="1">
      <alignment horizontal="center" vertical="center"/>
    </xf>
    <xf numFmtId="0" fontId="11" fillId="0" borderId="6" xfId="0" applyFont="1" applyBorder="1">
      <alignment vertical="center"/>
    </xf>
    <xf numFmtId="0" fontId="12" fillId="0" borderId="3" xfId="0" quotePrefix="1" applyFont="1" applyBorder="1">
      <alignment vertical="center"/>
    </xf>
    <xf numFmtId="0" fontId="11" fillId="0" borderId="7" xfId="0" applyFont="1" applyBorder="1">
      <alignment vertical="center"/>
    </xf>
    <xf numFmtId="0" fontId="11" fillId="0" borderId="8" xfId="0" applyFont="1" applyBorder="1">
      <alignment vertical="center"/>
    </xf>
    <xf numFmtId="0" fontId="11" fillId="0" borderId="9" xfId="0" applyFont="1" applyBorder="1">
      <alignment vertical="center"/>
    </xf>
    <xf numFmtId="0" fontId="11" fillId="0" borderId="10" xfId="0" applyFont="1" applyBorder="1">
      <alignment vertical="center"/>
    </xf>
    <xf numFmtId="0" fontId="11" fillId="0" borderId="11" xfId="0" applyFont="1" applyBorder="1">
      <alignment vertical="center"/>
    </xf>
    <xf numFmtId="0" fontId="27" fillId="0" borderId="0" xfId="0" applyFont="1">
      <alignment vertical="center"/>
    </xf>
    <xf numFmtId="0" fontId="11" fillId="3" borderId="1" xfId="0" applyFont="1" applyFill="1" applyBorder="1" applyAlignment="1">
      <alignment horizontal="right" vertical="center"/>
    </xf>
    <xf numFmtId="0" fontId="11" fillId="3" borderId="1" xfId="0" applyFont="1" applyFill="1" applyBorder="1" applyAlignment="1">
      <alignment horizontal="center" vertical="center"/>
    </xf>
    <xf numFmtId="0" fontId="11" fillId="0" borderId="0" xfId="0" quotePrefix="1" applyFont="1">
      <alignment vertical="center"/>
    </xf>
    <xf numFmtId="0" fontId="11" fillId="0" borderId="1" xfId="0" applyFont="1" applyBorder="1" applyAlignment="1">
      <alignment horizontal="center" vertical="center"/>
    </xf>
    <xf numFmtId="0" fontId="11" fillId="3" borderId="0" xfId="0" applyFont="1" applyFill="1" applyAlignment="1">
      <alignment horizontal="center" vertical="center"/>
    </xf>
    <xf numFmtId="0" fontId="11" fillId="3" borderId="3"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2" xfId="0" applyFont="1" applyFill="1" applyBorder="1" applyAlignment="1">
      <alignment horizontal="center" vertical="center"/>
    </xf>
    <xf numFmtId="0" fontId="11" fillId="0" borderId="0" xfId="0" applyFont="1" applyFill="1" applyAlignment="1">
      <alignment horizontal="center" vertical="center"/>
    </xf>
    <xf numFmtId="0" fontId="29" fillId="0" borderId="0" xfId="0" applyFont="1">
      <alignment vertical="center"/>
    </xf>
    <xf numFmtId="176" fontId="11" fillId="3" borderId="1" xfId="0" applyNumberFormat="1" applyFont="1" applyFill="1" applyBorder="1" applyAlignment="1">
      <alignment horizontal="center" vertical="center"/>
    </xf>
    <xf numFmtId="0" fontId="11" fillId="0" borderId="0" xfId="0" applyNumberFormat="1" applyFont="1" applyAlignment="1">
      <alignment horizontal="center" vertical="center"/>
    </xf>
    <xf numFmtId="0" fontId="11" fillId="0" borderId="2" xfId="0" applyNumberFormat="1" applyFont="1" applyBorder="1" applyAlignment="1">
      <alignment horizontal="center" vertical="center"/>
    </xf>
    <xf numFmtId="0" fontId="29" fillId="0" borderId="0" xfId="0" applyFont="1" applyAlignment="1">
      <alignment horizontal="left" vertical="center"/>
    </xf>
    <xf numFmtId="0" fontId="29" fillId="0" borderId="0" xfId="0" quotePrefix="1" applyFont="1">
      <alignment vertical="center"/>
    </xf>
    <xf numFmtId="176" fontId="11" fillId="0" borderId="0" xfId="0" applyNumberFormat="1" applyFont="1" applyAlignment="1">
      <alignment horizontal="center" vertical="center"/>
    </xf>
    <xf numFmtId="176" fontId="11" fillId="0" borderId="2" xfId="0" applyNumberFormat="1" applyFont="1" applyBorder="1" applyAlignment="1">
      <alignment horizontal="center" vertical="center"/>
    </xf>
    <xf numFmtId="176" fontId="11" fillId="0" borderId="0" xfId="0" applyNumberFormat="1" applyFont="1" applyBorder="1" applyAlignment="1">
      <alignment horizontal="center" vertical="center"/>
    </xf>
    <xf numFmtId="0" fontId="11" fillId="0" borderId="2" xfId="0" applyFont="1" applyFill="1" applyBorder="1" applyAlignment="1">
      <alignment horizontal="center" vertical="center"/>
    </xf>
    <xf numFmtId="0" fontId="11" fillId="0" borderId="0" xfId="0" applyNumberFormat="1" applyFont="1" applyBorder="1" applyAlignment="1">
      <alignment horizontal="center" vertical="center"/>
    </xf>
    <xf numFmtId="0" fontId="31" fillId="0" borderId="1" xfId="0" applyNumberFormat="1" applyFont="1" applyBorder="1" applyAlignment="1">
      <alignment horizontal="center" vertical="center"/>
    </xf>
    <xf numFmtId="176" fontId="11" fillId="0" borderId="1" xfId="0" applyNumberFormat="1" applyFont="1" applyBorder="1" applyAlignment="1">
      <alignment horizontal="center" vertical="center"/>
    </xf>
    <xf numFmtId="0" fontId="31" fillId="0" borderId="1" xfId="0" applyFont="1" applyBorder="1" applyAlignment="1">
      <alignment horizontal="center" vertical="center"/>
    </xf>
    <xf numFmtId="0" fontId="11" fillId="0" borderId="1" xfId="0" applyNumberFormat="1" applyFont="1" applyBorder="1" applyAlignment="1">
      <alignment horizontal="center" vertical="center"/>
    </xf>
    <xf numFmtId="0" fontId="11" fillId="0" borderId="0" xfId="0" applyFont="1" applyFill="1" applyAlignment="1">
      <alignment horizontal="right" vertical="center"/>
    </xf>
    <xf numFmtId="0" fontId="11" fillId="0" borderId="1" xfId="0" applyNumberFormat="1" applyFont="1" applyBorder="1" applyAlignment="1">
      <alignment horizontal="right" vertical="center"/>
    </xf>
    <xf numFmtId="0" fontId="11" fillId="0" borderId="1" xfId="0" applyFont="1" applyFill="1" applyBorder="1" applyAlignment="1">
      <alignment horizontal="center" vertical="center"/>
    </xf>
    <xf numFmtId="0" fontId="11" fillId="0" borderId="1" xfId="0" applyFont="1" applyBorder="1" applyAlignment="1">
      <alignment horizontal="right" vertical="center"/>
    </xf>
    <xf numFmtId="0" fontId="30" fillId="0" borderId="4" xfId="0" applyFont="1" applyBorder="1" applyAlignment="1">
      <alignment horizontal="right" vertical="center"/>
    </xf>
    <xf numFmtId="11" fontId="11" fillId="0" borderId="5" xfId="0" applyNumberFormat="1" applyFont="1" applyBorder="1">
      <alignment vertical="center"/>
    </xf>
    <xf numFmtId="177" fontId="11" fillId="0" borderId="0" xfId="0" applyNumberFormat="1" applyFont="1" applyBorder="1">
      <alignment vertical="center"/>
    </xf>
    <xf numFmtId="177" fontId="11" fillId="0" borderId="2" xfId="0" applyNumberFormat="1" applyFont="1" applyBorder="1">
      <alignment vertical="center"/>
    </xf>
    <xf numFmtId="0" fontId="11" fillId="0" borderId="3" xfId="0" applyFont="1" applyFill="1" applyBorder="1" applyAlignment="1">
      <alignment vertical="top"/>
    </xf>
    <xf numFmtId="0" fontId="11" fillId="0" borderId="3" xfId="0" applyFont="1" applyFill="1" applyBorder="1" applyAlignment="1">
      <alignment vertical="top" wrapText="1"/>
    </xf>
    <xf numFmtId="0" fontId="11" fillId="0" borderId="0" xfId="0" applyFont="1" applyFill="1" applyBorder="1" applyAlignment="1">
      <alignment vertical="top" wrapText="1"/>
    </xf>
    <xf numFmtId="0" fontId="11" fillId="6" borderId="1" xfId="0" applyFont="1" applyFill="1" applyBorder="1" applyAlignment="1">
      <alignment horizontal="center" vertical="center"/>
    </xf>
    <xf numFmtId="0" fontId="30" fillId="3" borderId="1" xfId="0" quotePrefix="1" applyFont="1" applyFill="1" applyBorder="1" applyAlignment="1">
      <alignment horizontal="left" vertical="center"/>
    </xf>
    <xf numFmtId="0" fontId="11" fillId="3" borderId="0" xfId="0" applyFont="1" applyFill="1">
      <alignment vertical="center"/>
    </xf>
    <xf numFmtId="0" fontId="11" fillId="3" borderId="2" xfId="0" applyFont="1" applyFill="1" applyBorder="1">
      <alignment vertical="center"/>
    </xf>
    <xf numFmtId="0" fontId="11" fillId="3" borderId="0" xfId="0" applyFont="1" applyFill="1" applyBorder="1">
      <alignment vertical="center"/>
    </xf>
    <xf numFmtId="0" fontId="11" fillId="0" borderId="3" xfId="0" quotePrefix="1" applyFont="1" applyBorder="1">
      <alignment vertical="center"/>
    </xf>
    <xf numFmtId="0" fontId="11" fillId="0" borderId="0" xfId="0" applyFont="1" applyFill="1" applyBorder="1" applyAlignment="1">
      <alignment horizontal="right" vertical="center"/>
    </xf>
    <xf numFmtId="0" fontId="11" fillId="0" borderId="2" xfId="0" applyFont="1" applyFill="1" applyBorder="1" applyAlignment="1">
      <alignment horizontal="right" vertical="center"/>
    </xf>
    <xf numFmtId="0" fontId="29" fillId="0" borderId="1" xfId="0" applyFont="1" applyBorder="1" applyAlignment="1">
      <alignment horizontal="right" vertical="center"/>
    </xf>
    <xf numFmtId="0" fontId="11" fillId="0" borderId="3" xfId="0" applyFont="1" applyBorder="1" applyAlignment="1">
      <alignment horizontal="right" vertical="center"/>
    </xf>
    <xf numFmtId="0" fontId="11" fillId="0" borderId="0" xfId="0" applyFont="1" applyBorder="1" applyAlignment="1">
      <alignment horizontal="right" vertical="center"/>
    </xf>
    <xf numFmtId="0" fontId="11" fillId="0" borderId="2" xfId="0" applyFont="1" applyBorder="1" applyAlignment="1">
      <alignment horizontal="right" vertical="center"/>
    </xf>
    <xf numFmtId="0" fontId="11" fillId="3" borderId="1" xfId="0" applyNumberFormat="1" applyFont="1" applyFill="1" applyBorder="1" applyAlignment="1">
      <alignment horizontal="center" vertical="center"/>
    </xf>
    <xf numFmtId="0" fontId="26" fillId="3" borderId="1" xfId="0" applyFont="1" applyFill="1" applyBorder="1" applyAlignment="1">
      <alignment horizontal="center"/>
    </xf>
    <xf numFmtId="0" fontId="30" fillId="0" borderId="1" xfId="0" quotePrefix="1" applyFont="1" applyBorder="1" applyAlignment="1">
      <alignment horizontal="right" vertical="center"/>
    </xf>
    <xf numFmtId="178" fontId="11" fillId="0" borderId="1" xfId="0" applyNumberFormat="1" applyFont="1" applyBorder="1" applyAlignment="1">
      <alignment horizontal="center" vertical="center"/>
    </xf>
    <xf numFmtId="178" fontId="26" fillId="0" borderId="1" xfId="0" applyNumberFormat="1" applyFont="1" applyBorder="1" applyAlignment="1">
      <alignment horizontal="center" vertical="center"/>
    </xf>
    <xf numFmtId="0" fontId="11" fillId="3" borderId="0" xfId="0" quotePrefix="1" applyFont="1" applyFill="1" applyAlignment="1">
      <alignment horizontal="right" vertical="center"/>
    </xf>
    <xf numFmtId="0" fontId="11" fillId="5" borderId="1" xfId="0" applyFont="1" applyFill="1" applyBorder="1" applyAlignment="1">
      <alignment horizontal="center" vertical="center"/>
    </xf>
    <xf numFmtId="0" fontId="11" fillId="5" borderId="0" xfId="0" applyFont="1" applyFill="1" applyAlignment="1">
      <alignment horizontal="center" vertical="center"/>
    </xf>
    <xf numFmtId="0" fontId="11" fillId="5" borderId="2" xfId="0" quotePrefix="1" applyFont="1" applyFill="1" applyBorder="1" applyAlignment="1">
      <alignment horizontal="center" vertical="center"/>
    </xf>
    <xf numFmtId="0" fontId="11" fillId="5" borderId="0" xfId="0" applyFont="1" applyFill="1" applyAlignment="1">
      <alignment horizontal="left" vertical="center"/>
    </xf>
    <xf numFmtId="0" fontId="11" fillId="3" borderId="0" xfId="0" applyFont="1" applyFill="1" applyAlignment="1">
      <alignment horizontal="left" vertical="center"/>
    </xf>
    <xf numFmtId="0" fontId="11" fillId="5" borderId="2" xfId="0" quotePrefix="1" applyFont="1" applyFill="1" applyBorder="1" applyAlignment="1">
      <alignment horizontal="left" vertical="center"/>
    </xf>
    <xf numFmtId="0" fontId="11" fillId="3" borderId="2" xfId="0" applyFont="1" applyFill="1" applyBorder="1" applyAlignment="1">
      <alignment horizontal="left" vertical="center"/>
    </xf>
    <xf numFmtId="0" fontId="11" fillId="3" borderId="2" xfId="0" quotePrefix="1" applyFont="1" applyFill="1" applyBorder="1" applyAlignment="1">
      <alignment horizontal="right" vertical="center"/>
    </xf>
    <xf numFmtId="0" fontId="11" fillId="5" borderId="0" xfId="0" applyFont="1" applyFill="1" applyBorder="1" applyAlignment="1">
      <alignment horizontal="left" vertical="center"/>
    </xf>
    <xf numFmtId="0" fontId="11" fillId="3" borderId="2" xfId="0" quotePrefix="1" applyFont="1" applyFill="1" applyBorder="1" applyAlignment="1">
      <alignment horizontal="left" vertical="center"/>
    </xf>
    <xf numFmtId="0" fontId="11" fillId="5" borderId="0" xfId="0" quotePrefix="1" applyFont="1" applyFill="1" applyAlignment="1">
      <alignment horizontal="center" vertical="center"/>
    </xf>
    <xf numFmtId="0" fontId="30" fillId="0" borderId="0" xfId="0" applyFont="1" applyAlignment="1">
      <alignment horizontal="right" vertical="center"/>
    </xf>
    <xf numFmtId="0" fontId="30" fillId="0" borderId="0" xfId="0" applyFont="1">
      <alignment vertical="center"/>
    </xf>
    <xf numFmtId="0" fontId="11" fillId="3" borderId="2" xfId="0" applyFont="1" applyFill="1" applyBorder="1" applyAlignment="1">
      <alignment horizontal="left" vertical="center" wrapText="1"/>
    </xf>
    <xf numFmtId="0" fontId="11" fillId="0" borderId="0" xfId="0" applyFont="1" applyAlignment="1">
      <alignment vertical="center"/>
    </xf>
    <xf numFmtId="0" fontId="11" fillId="2" borderId="1" xfId="0" applyFont="1" applyFill="1" applyBorder="1" applyAlignment="1">
      <alignment vertical="center"/>
    </xf>
    <xf numFmtId="0" fontId="11" fillId="0" borderId="0" xfId="0" applyFont="1" applyAlignment="1">
      <alignment vertical="top"/>
    </xf>
    <xf numFmtId="0" fontId="11" fillId="0" borderId="6" xfId="0" applyFont="1" applyBorder="1" applyAlignment="1">
      <alignment vertical="center"/>
    </xf>
    <xf numFmtId="0" fontId="11" fillId="0" borderId="3" xfId="0" applyFont="1" applyBorder="1" applyAlignment="1">
      <alignment vertical="center"/>
    </xf>
    <xf numFmtId="0" fontId="11" fillId="0" borderId="3" xfId="0" quotePrefix="1" applyFont="1" applyBorder="1" applyAlignment="1">
      <alignment vertical="top"/>
    </xf>
    <xf numFmtId="0" fontId="11" fillId="0" borderId="7" xfId="0" applyFont="1" applyBorder="1" applyAlignment="1">
      <alignment vertical="center"/>
    </xf>
    <xf numFmtId="0" fontId="11" fillId="0" borderId="8" xfId="0" applyFont="1" applyBorder="1" applyAlignment="1">
      <alignment vertical="center"/>
    </xf>
    <xf numFmtId="0" fontId="11" fillId="0" borderId="0" xfId="0" applyFont="1" applyBorder="1" applyAlignment="1">
      <alignment vertical="center"/>
    </xf>
    <xf numFmtId="0" fontId="11" fillId="0" borderId="9" xfId="0" applyFont="1" applyBorder="1" applyAlignment="1">
      <alignment vertical="center"/>
    </xf>
    <xf numFmtId="0" fontId="11" fillId="0" borderId="10" xfId="0" applyFont="1" applyBorder="1" applyAlignment="1">
      <alignment vertical="center"/>
    </xf>
    <xf numFmtId="0" fontId="11" fillId="0" borderId="2" xfId="0" applyFont="1" applyBorder="1" applyAlignment="1">
      <alignment vertical="center"/>
    </xf>
    <xf numFmtId="0" fontId="11" fillId="0" borderId="11" xfId="0" applyFont="1" applyBorder="1" applyAlignment="1">
      <alignment vertical="center"/>
    </xf>
    <xf numFmtId="0" fontId="11" fillId="0" borderId="0" xfId="0" applyFont="1" applyBorder="1" applyAlignment="1">
      <alignment vertical="top"/>
    </xf>
    <xf numFmtId="0" fontId="11" fillId="0" borderId="9" xfId="0" applyFont="1" applyBorder="1" applyAlignment="1">
      <alignment horizontal="center" vertical="center"/>
    </xf>
    <xf numFmtId="0" fontId="12" fillId="0" borderId="0" xfId="0" applyFont="1" applyBorder="1" applyAlignment="1">
      <alignment vertical="top"/>
    </xf>
    <xf numFmtId="0" fontId="11" fillId="0" borderId="2" xfId="0" quotePrefix="1" applyFont="1" applyBorder="1" applyAlignment="1">
      <alignment vertical="center"/>
    </xf>
    <xf numFmtId="0" fontId="12" fillId="0" borderId="3" xfId="0" quotePrefix="1" applyFont="1" applyBorder="1" applyAlignment="1">
      <alignment vertical="top"/>
    </xf>
    <xf numFmtId="0" fontId="11" fillId="4" borderId="0" xfId="0" applyFont="1" applyFill="1" applyAlignment="1">
      <alignment horizontal="left" vertical="center"/>
    </xf>
    <xf numFmtId="0" fontId="11" fillId="4" borderId="0" xfId="0" applyFont="1" applyFill="1" applyAlignment="1">
      <alignment vertical="center"/>
    </xf>
    <xf numFmtId="0" fontId="11" fillId="4" borderId="0" xfId="0" applyFont="1" applyFill="1" applyBorder="1" applyAlignment="1">
      <alignment vertical="center"/>
    </xf>
    <xf numFmtId="0" fontId="11" fillId="4" borderId="0" xfId="0" applyFont="1" applyFill="1" applyBorder="1" applyAlignment="1">
      <alignment horizontal="center" vertical="center"/>
    </xf>
    <xf numFmtId="0" fontId="11" fillId="4" borderId="0" xfId="0" applyFont="1" applyFill="1" applyAlignment="1">
      <alignment horizontal="center" vertical="center"/>
    </xf>
    <xf numFmtId="0" fontId="11" fillId="7" borderId="1" xfId="0" applyFont="1" applyFill="1" applyBorder="1" applyAlignment="1">
      <alignment horizontal="left" vertical="center"/>
    </xf>
    <xf numFmtId="0" fontId="11" fillId="7" borderId="3" xfId="0" applyFont="1" applyFill="1" applyBorder="1" applyAlignment="1">
      <alignment horizontal="center" vertical="center"/>
    </xf>
    <xf numFmtId="0" fontId="11" fillId="7" borderId="0" xfId="0" applyFont="1" applyFill="1" applyBorder="1" applyAlignment="1">
      <alignment horizontal="center" vertical="center"/>
    </xf>
    <xf numFmtId="0" fontId="30" fillId="0" borderId="0" xfId="0" applyFont="1" applyAlignment="1">
      <alignment horizontal="center" vertical="center"/>
    </xf>
    <xf numFmtId="0" fontId="30" fillId="3" borderId="0" xfId="0" applyFont="1" applyFill="1" applyBorder="1" applyAlignment="1">
      <alignment horizontal="center" vertical="center"/>
    </xf>
    <xf numFmtId="0" fontId="30" fillId="7" borderId="0"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1" xfId="0" applyFont="1" applyFill="1" applyBorder="1" applyAlignment="1">
      <alignment horizontal="center" vertical="center"/>
    </xf>
    <xf numFmtId="0" fontId="11" fillId="0" borderId="1" xfId="0" applyFont="1" applyBorder="1" applyAlignment="1">
      <alignment vertical="center"/>
    </xf>
    <xf numFmtId="0" fontId="11" fillId="7" borderId="0" xfId="0" applyFont="1" applyFill="1" applyAlignment="1">
      <alignment horizontal="center" vertical="center"/>
    </xf>
    <xf numFmtId="0" fontId="11" fillId="11" borderId="0" xfId="0" applyFont="1" applyFill="1" applyAlignment="1">
      <alignment vertical="center"/>
    </xf>
    <xf numFmtId="0" fontId="11" fillId="3" borderId="1" xfId="0" applyFont="1" applyFill="1" applyBorder="1" applyAlignment="1">
      <alignment vertical="center"/>
    </xf>
    <xf numFmtId="0" fontId="11" fillId="3" borderId="0" xfId="0" applyFont="1" applyFill="1" applyAlignment="1">
      <alignment vertical="center"/>
    </xf>
    <xf numFmtId="0" fontId="11" fillId="3" borderId="0" xfId="0" applyFont="1" applyFill="1" applyBorder="1" applyAlignment="1">
      <alignment vertical="center"/>
    </xf>
    <xf numFmtId="0" fontId="11" fillId="3" borderId="2" xfId="0" applyFont="1" applyFill="1" applyBorder="1" applyAlignment="1">
      <alignment vertical="center"/>
    </xf>
    <xf numFmtId="0" fontId="11" fillId="3" borderId="0" xfId="0" applyFont="1" applyFill="1" applyAlignment="1">
      <alignment horizontal="right" vertical="center"/>
    </xf>
    <xf numFmtId="0" fontId="11" fillId="0" borderId="0" xfId="0" applyFont="1" applyBorder="1" applyAlignment="1">
      <alignment vertical="top" wrapText="1"/>
    </xf>
    <xf numFmtId="0" fontId="12" fillId="0" borderId="0" xfId="0" applyFont="1" applyBorder="1" applyAlignment="1">
      <alignment vertical="top" wrapText="1"/>
    </xf>
    <xf numFmtId="0" fontId="11" fillId="3" borderId="0" xfId="0" quotePrefix="1" applyFont="1" applyFill="1" applyAlignment="1">
      <alignment horizontal="left" vertical="center"/>
    </xf>
    <xf numFmtId="0" fontId="11" fillId="0" borderId="3" xfId="0" applyFont="1" applyFill="1" applyBorder="1">
      <alignment vertical="center"/>
    </xf>
    <xf numFmtId="0" fontId="12" fillId="0" borderId="3" xfId="0" quotePrefix="1" applyFont="1" applyFill="1" applyBorder="1">
      <alignment vertical="center"/>
    </xf>
    <xf numFmtId="0" fontId="11" fillId="0" borderId="3" xfId="0" applyFont="1" applyFill="1" applyBorder="1" applyAlignment="1">
      <alignment horizontal="center" vertical="center"/>
    </xf>
    <xf numFmtId="0" fontId="11" fillId="0" borderId="2" xfId="0" applyFont="1" applyFill="1" applyBorder="1">
      <alignment vertical="center"/>
    </xf>
    <xf numFmtId="0" fontId="11" fillId="3" borderId="1" xfId="0" quotePrefix="1" applyFont="1" applyFill="1" applyBorder="1" applyAlignment="1">
      <alignment horizontal="left" vertical="center"/>
    </xf>
    <xf numFmtId="0" fontId="11" fillId="3" borderId="0" xfId="0" quotePrefix="1" applyFont="1" applyFill="1" applyAlignment="1">
      <alignment horizontal="center" vertical="center"/>
    </xf>
    <xf numFmtId="0" fontId="11" fillId="3" borderId="3" xfId="0" quotePrefix="1" applyFont="1" applyFill="1" applyBorder="1" applyAlignment="1">
      <alignment horizontal="center" vertical="center"/>
    </xf>
    <xf numFmtId="0" fontId="11" fillId="3" borderId="0" xfId="0" quotePrefix="1" applyFont="1" applyFill="1" applyBorder="1" applyAlignment="1">
      <alignment horizontal="center" vertical="center"/>
    </xf>
    <xf numFmtId="0" fontId="11" fillId="3" borderId="2" xfId="0" quotePrefix="1" applyFont="1" applyFill="1" applyBorder="1" applyAlignment="1">
      <alignment horizontal="center" vertical="center"/>
    </xf>
    <xf numFmtId="0" fontId="11" fillId="5" borderId="2" xfId="0" applyFont="1" applyFill="1" applyBorder="1" applyAlignment="1">
      <alignment horizontal="center" vertical="center"/>
    </xf>
    <xf numFmtId="0" fontId="11" fillId="0" borderId="0" xfId="0" quotePrefix="1" applyFont="1" applyAlignment="1">
      <alignment horizontal="left" vertical="center"/>
    </xf>
    <xf numFmtId="0" fontId="11" fillId="9" borderId="1" xfId="0" applyFont="1" applyFill="1" applyBorder="1" applyAlignment="1">
      <alignment horizontal="center" vertical="center"/>
    </xf>
    <xf numFmtId="0" fontId="11" fillId="0" borderId="0" xfId="0" applyFont="1" applyFill="1" applyBorder="1" applyAlignment="1">
      <alignment horizontal="left" vertical="center"/>
    </xf>
    <xf numFmtId="0" fontId="11" fillId="0" borderId="3" xfId="0" quotePrefix="1" applyFont="1" applyBorder="1" applyAlignment="1">
      <alignment horizontal="center" vertical="center"/>
    </xf>
    <xf numFmtId="0" fontId="11" fillId="0" borderId="0" xfId="0" quotePrefix="1" applyFont="1" applyBorder="1" applyAlignment="1">
      <alignment horizontal="center" vertical="center"/>
    </xf>
    <xf numFmtId="0" fontId="11" fillId="0" borderId="2" xfId="0" quotePrefix="1" applyFont="1" applyBorder="1" applyAlignment="1">
      <alignment horizontal="center" vertical="center"/>
    </xf>
    <xf numFmtId="0" fontId="11" fillId="0" borderId="0" xfId="0" quotePrefix="1" applyFont="1" applyFill="1" applyBorder="1" applyAlignment="1">
      <alignment horizontal="center" vertical="center"/>
    </xf>
    <xf numFmtId="0" fontId="35" fillId="0" borderId="0" xfId="1" applyFont="1">
      <alignment vertical="center"/>
    </xf>
    <xf numFmtId="0" fontId="36" fillId="0" borderId="0" xfId="0" applyFont="1" applyAlignment="1">
      <alignment horizontal="center" vertical="center"/>
    </xf>
    <xf numFmtId="0" fontId="27" fillId="0" borderId="0" xfId="0" applyFont="1" applyAlignment="1">
      <alignment horizontal="center" vertical="center"/>
    </xf>
    <xf numFmtId="0" fontId="11" fillId="4" borderId="3" xfId="0" applyFont="1" applyFill="1" applyBorder="1">
      <alignment vertical="center"/>
    </xf>
    <xf numFmtId="0" fontId="11" fillId="4" borderId="3" xfId="0" applyFont="1" applyFill="1" applyBorder="1" applyAlignment="1">
      <alignment horizontal="center" vertical="center" wrapText="1"/>
    </xf>
    <xf numFmtId="0" fontId="11" fillId="8" borderId="2" xfId="0" applyFont="1" applyFill="1" applyBorder="1">
      <alignment vertical="center"/>
    </xf>
    <xf numFmtId="0" fontId="11" fillId="8" borderId="2" xfId="0" applyFont="1" applyFill="1" applyBorder="1" applyAlignment="1">
      <alignment horizontal="center" vertical="center" wrapText="1"/>
    </xf>
    <xf numFmtId="0" fontId="11" fillId="9" borderId="0" xfId="0" applyFont="1" applyFill="1">
      <alignment vertical="center"/>
    </xf>
    <xf numFmtId="0" fontId="11" fillId="9" borderId="0" xfId="0" applyFont="1" applyFill="1" applyAlignment="1">
      <alignment horizontal="center" vertical="center"/>
    </xf>
    <xf numFmtId="0" fontId="11" fillId="9" borderId="3" xfId="0" applyFont="1" applyFill="1" applyBorder="1" applyAlignment="1">
      <alignment horizontal="center" vertical="center"/>
    </xf>
    <xf numFmtId="0" fontId="11" fillId="10" borderId="0" xfId="0" applyFont="1" applyFill="1" applyAlignment="1">
      <alignment horizontal="center" vertical="center"/>
    </xf>
    <xf numFmtId="0" fontId="30" fillId="9" borderId="0" xfId="0" applyFont="1" applyFill="1" applyAlignment="1">
      <alignment horizontal="center" vertical="center"/>
    </xf>
    <xf numFmtId="0" fontId="11" fillId="9" borderId="2" xfId="0" applyFont="1" applyFill="1" applyBorder="1">
      <alignment vertical="center"/>
    </xf>
    <xf numFmtId="0" fontId="11" fillId="9" borderId="2" xfId="0" applyFont="1" applyFill="1" applyBorder="1" applyAlignment="1">
      <alignment horizontal="center" vertical="center"/>
    </xf>
    <xf numFmtId="0" fontId="26" fillId="0" borderId="0" xfId="0" applyFont="1">
      <alignment vertical="center"/>
    </xf>
    <xf numFmtId="0" fontId="5" fillId="0" borderId="0" xfId="0" applyFont="1" applyAlignment="1">
      <alignment horizontal="center" vertical="center"/>
    </xf>
    <xf numFmtId="0" fontId="5" fillId="5" borderId="1" xfId="0" applyFont="1" applyFill="1" applyBorder="1">
      <alignment vertical="center"/>
    </xf>
    <xf numFmtId="0" fontId="5" fillId="5" borderId="1" xfId="0" applyFont="1" applyFill="1" applyBorder="1" applyAlignment="1">
      <alignment horizontal="center" vertical="center"/>
    </xf>
    <xf numFmtId="0" fontId="5" fillId="4" borderId="0" xfId="0" applyFont="1" applyFill="1">
      <alignment vertical="center"/>
    </xf>
    <xf numFmtId="0" fontId="5" fillId="4" borderId="0" xfId="0" applyFont="1" applyFill="1" applyAlignment="1">
      <alignment horizontal="center" vertical="center"/>
    </xf>
    <xf numFmtId="0" fontId="5" fillId="0" borderId="0" xfId="0" quotePrefix="1" applyFont="1">
      <alignment vertical="center"/>
    </xf>
    <xf numFmtId="0" fontId="5" fillId="0" borderId="0" xfId="0" applyFont="1" applyFill="1" applyBorder="1">
      <alignment vertical="center"/>
    </xf>
    <xf numFmtId="0" fontId="5" fillId="0" borderId="0" xfId="0" applyFont="1" applyFill="1" applyBorder="1" applyAlignment="1">
      <alignment horizontal="center" vertical="center"/>
    </xf>
    <xf numFmtId="0" fontId="5" fillId="0" borderId="0" xfId="0" applyFont="1" applyBorder="1">
      <alignment vertical="center"/>
    </xf>
    <xf numFmtId="49" fontId="5" fillId="0" borderId="0" xfId="0" applyNumberFormat="1" applyFont="1">
      <alignment vertical="center"/>
    </xf>
    <xf numFmtId="0" fontId="5" fillId="0" borderId="2" xfId="0" applyFont="1" applyBorder="1">
      <alignment vertical="center"/>
    </xf>
    <xf numFmtId="49" fontId="5" fillId="0" borderId="2" xfId="0" applyNumberFormat="1" applyFont="1" applyBorder="1">
      <alignment vertical="center"/>
    </xf>
    <xf numFmtId="0" fontId="5" fillId="0" borderId="2" xfId="0" applyFont="1" applyBorder="1" applyAlignment="1">
      <alignment horizontal="center" vertical="center"/>
    </xf>
    <xf numFmtId="0" fontId="37" fillId="0" borderId="0" xfId="0" applyFont="1" applyAlignment="1">
      <alignment horizontal="right" vertical="center"/>
    </xf>
    <xf numFmtId="0" fontId="38" fillId="0" borderId="0" xfId="0" applyFont="1">
      <alignment vertical="center"/>
    </xf>
    <xf numFmtId="0" fontId="20" fillId="0" borderId="0" xfId="0" applyFont="1">
      <alignment vertical="center"/>
    </xf>
    <xf numFmtId="0" fontId="5" fillId="3" borderId="1" xfId="0" applyFont="1" applyFill="1" applyBorder="1">
      <alignment vertical="center"/>
    </xf>
    <xf numFmtId="0" fontId="5" fillId="3" borderId="1" xfId="0" applyFont="1" applyFill="1" applyBorder="1" applyAlignment="1">
      <alignment horizontal="center" vertical="center"/>
    </xf>
    <xf numFmtId="0" fontId="5" fillId="0" borderId="0" xfId="0" applyFont="1" applyBorder="1" applyAlignment="1">
      <alignment horizontal="center" vertical="center"/>
    </xf>
    <xf numFmtId="0" fontId="5" fillId="0" borderId="0" xfId="0" applyFont="1" applyFill="1" applyBorder="1" applyAlignment="1">
      <alignment horizontal="left" vertical="center"/>
    </xf>
    <xf numFmtId="0" fontId="5" fillId="0" borderId="0" xfId="0" quotePrefix="1" applyFont="1" applyFill="1" applyBorder="1" applyAlignment="1">
      <alignment horizontal="left" vertical="center"/>
    </xf>
    <xf numFmtId="0" fontId="37" fillId="0" borderId="1" xfId="0" applyFont="1" applyBorder="1">
      <alignment vertical="center"/>
    </xf>
    <xf numFmtId="0" fontId="39" fillId="0" borderId="0" xfId="0" applyFont="1">
      <alignment vertical="center"/>
    </xf>
    <xf numFmtId="0" fontId="37" fillId="0" borderId="0" xfId="0" applyFont="1" applyBorder="1">
      <alignment vertical="center"/>
    </xf>
    <xf numFmtId="0" fontId="37" fillId="0" borderId="0" xfId="0" applyFont="1">
      <alignment vertical="center"/>
    </xf>
    <xf numFmtId="0" fontId="37" fillId="0" borderId="0" xfId="0" applyFont="1" applyAlignment="1">
      <alignment horizontal="center" vertical="center"/>
    </xf>
    <xf numFmtId="0" fontId="39" fillId="0" borderId="0" xfId="0" applyFont="1" applyBorder="1">
      <alignment vertical="center"/>
    </xf>
    <xf numFmtId="0" fontId="39" fillId="0" borderId="0" xfId="0" quotePrefix="1" applyFont="1" applyBorder="1">
      <alignment vertical="center"/>
    </xf>
    <xf numFmtId="0" fontId="39" fillId="0" borderId="2" xfId="0" applyFont="1" applyBorder="1">
      <alignment vertical="center"/>
    </xf>
    <xf numFmtId="0" fontId="39" fillId="0" borderId="2" xfId="0" quotePrefix="1" applyFont="1" applyBorder="1">
      <alignment vertical="center"/>
    </xf>
    <xf numFmtId="49" fontId="5" fillId="0" borderId="0" xfId="0" applyNumberFormat="1" applyFont="1" applyBorder="1">
      <alignment vertical="center"/>
    </xf>
    <xf numFmtId="0" fontId="5" fillId="0" borderId="0" xfId="0" quotePrefix="1" applyFont="1" applyBorder="1">
      <alignment vertical="center"/>
    </xf>
    <xf numFmtId="14" fontId="37" fillId="0" borderId="0" xfId="0" applyNumberFormat="1" applyFont="1" applyAlignment="1">
      <alignment vertical="center"/>
    </xf>
    <xf numFmtId="180" fontId="5" fillId="0" borderId="0" xfId="0" applyNumberFormat="1" applyFont="1" applyAlignment="1">
      <alignment horizontal="left" vertical="center"/>
    </xf>
    <xf numFmtId="0" fontId="5" fillId="0" borderId="0" xfId="0" applyFont="1" applyAlignment="1">
      <alignment vertical="center" wrapText="1"/>
    </xf>
    <xf numFmtId="0" fontId="8" fillId="0" borderId="0" xfId="0" applyFont="1" applyAlignment="1">
      <alignment horizontal="left" vertical="center"/>
    </xf>
    <xf numFmtId="0" fontId="40"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center" vertical="center"/>
    </xf>
    <xf numFmtId="0" fontId="5" fillId="0" borderId="0" xfId="0" quotePrefix="1" applyFont="1" applyAlignment="1">
      <alignment horizontal="right" vertical="center"/>
    </xf>
    <xf numFmtId="0" fontId="5" fillId="0" borderId="0" xfId="0" quotePrefix="1" applyFont="1" applyBorder="1" applyAlignment="1">
      <alignment horizontal="right" vertical="center"/>
    </xf>
    <xf numFmtId="0" fontId="5" fillId="0" borderId="0" xfId="0" applyFont="1" applyBorder="1" applyAlignment="1">
      <alignment horizontal="right" vertical="center"/>
    </xf>
    <xf numFmtId="0" fontId="5" fillId="0" borderId="2" xfId="0" applyFont="1" applyBorder="1" applyAlignment="1">
      <alignment horizontal="right" vertical="center"/>
    </xf>
    <xf numFmtId="0" fontId="5" fillId="0" borderId="0" xfId="0" quotePrefix="1" applyFont="1" applyAlignment="1">
      <alignment horizontal="left" vertical="center"/>
    </xf>
    <xf numFmtId="0" fontId="11" fillId="5" borderId="0" xfId="0" applyFont="1" applyFill="1">
      <alignment vertical="center"/>
    </xf>
    <xf numFmtId="0" fontId="11" fillId="0" borderId="2" xfId="0" applyFont="1" applyBorder="1" applyAlignment="1">
      <alignment horizontal="center" vertical="center" textRotation="90"/>
    </xf>
    <xf numFmtId="176" fontId="5" fillId="0" borderId="0" xfId="0" applyNumberFormat="1" applyFont="1" applyAlignment="1">
      <alignment horizontal="center" vertical="center"/>
    </xf>
    <xf numFmtId="0" fontId="5" fillId="4" borderId="2" xfId="0" applyFont="1" applyFill="1" applyBorder="1" applyAlignment="1">
      <alignment horizontal="center" vertical="center"/>
    </xf>
    <xf numFmtId="0" fontId="13" fillId="0" borderId="0" xfId="0" applyFont="1" applyAlignment="1">
      <alignment horizontal="center" vertical="center"/>
    </xf>
    <xf numFmtId="176" fontId="5" fillId="0" borderId="2" xfId="0" applyNumberFormat="1" applyFont="1" applyBorder="1" applyAlignment="1">
      <alignment horizontal="center" vertical="center"/>
    </xf>
    <xf numFmtId="0" fontId="11" fillId="8" borderId="0" xfId="0" applyFont="1" applyFill="1" applyAlignment="1">
      <alignment horizontal="left" vertical="center"/>
    </xf>
    <xf numFmtId="0" fontId="11" fillId="8" borderId="0" xfId="0" applyFont="1" applyFill="1">
      <alignment vertical="center"/>
    </xf>
    <xf numFmtId="0" fontId="11" fillId="8" borderId="0" xfId="0" applyFont="1" applyFill="1" applyAlignment="1">
      <alignment horizontal="center" vertical="center"/>
    </xf>
    <xf numFmtId="0" fontId="30" fillId="0" borderId="0" xfId="0" applyFont="1" applyFill="1">
      <alignment vertical="center"/>
    </xf>
    <xf numFmtId="0" fontId="5" fillId="4" borderId="1" xfId="0" applyFont="1" applyFill="1" applyBorder="1" applyAlignment="1">
      <alignment horizontal="center" vertical="center"/>
    </xf>
    <xf numFmtId="0" fontId="11" fillId="0" borderId="0" xfId="0" applyFont="1" applyAlignment="1">
      <alignment vertical="center" wrapText="1"/>
    </xf>
    <xf numFmtId="176" fontId="11" fillId="0" borderId="0" xfId="0" applyNumberFormat="1" applyFont="1">
      <alignment vertical="center"/>
    </xf>
    <xf numFmtId="0" fontId="42" fillId="0" borderId="0" xfId="0" applyFont="1" applyAlignment="1">
      <alignment horizontal="left" vertical="top" wrapText="1"/>
    </xf>
    <xf numFmtId="0" fontId="13" fillId="0" borderId="0" xfId="0" applyFont="1" applyAlignment="1">
      <alignment horizontal="left" vertical="center"/>
    </xf>
    <xf numFmtId="0" fontId="28" fillId="0" borderId="0" xfId="0" applyFont="1" applyAlignment="1">
      <alignment horizontal="right" vertical="center"/>
    </xf>
    <xf numFmtId="0" fontId="28" fillId="0" borderId="0" xfId="0" applyFont="1" applyFill="1" applyAlignment="1">
      <alignment horizontal="right" vertical="center"/>
    </xf>
    <xf numFmtId="0" fontId="5" fillId="0" borderId="0" xfId="0" applyFont="1" applyAlignment="1">
      <alignment vertical="center"/>
    </xf>
    <xf numFmtId="0" fontId="44" fillId="0" borderId="0" xfId="0" applyFont="1">
      <alignment vertical="center"/>
    </xf>
    <xf numFmtId="0" fontId="45" fillId="0" borderId="0" xfId="0" applyFont="1" applyAlignment="1">
      <alignment horizontal="left" vertical="center"/>
    </xf>
    <xf numFmtId="0" fontId="46" fillId="0" borderId="0" xfId="1" applyFont="1">
      <alignment vertical="center"/>
    </xf>
    <xf numFmtId="0" fontId="5" fillId="3" borderId="1" xfId="0" applyFont="1" applyFill="1" applyBorder="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0" fontId="37" fillId="0" borderId="0" xfId="0" applyFont="1" applyAlignment="1">
      <alignment horizontal="left" vertical="center" wrapText="1"/>
    </xf>
    <xf numFmtId="0" fontId="5" fillId="0" borderId="0" xfId="0" applyFont="1" applyBorder="1" applyAlignment="1">
      <alignment horizontal="left" vertical="center"/>
    </xf>
    <xf numFmtId="0" fontId="5" fillId="0" borderId="2" xfId="0" applyFont="1" applyBorder="1" applyAlignment="1">
      <alignment horizontal="left" vertical="center"/>
    </xf>
    <xf numFmtId="0" fontId="23" fillId="0" borderId="1" xfId="0" quotePrefix="1" applyFont="1" applyBorder="1" applyAlignment="1">
      <alignment horizontal="left" vertical="top" wrapText="1"/>
    </xf>
    <xf numFmtId="0" fontId="23" fillId="0" borderId="1" xfId="0" applyFont="1" applyBorder="1" applyAlignment="1">
      <alignment horizontal="left" vertical="top" wrapText="1"/>
    </xf>
    <xf numFmtId="0" fontId="5" fillId="0" borderId="0" xfId="0" applyFont="1" applyFill="1" applyBorder="1" applyAlignment="1">
      <alignment horizontal="left" vertical="top" wrapText="1"/>
    </xf>
    <xf numFmtId="0" fontId="14"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5" fillId="0" borderId="3" xfId="0" applyFont="1" applyFill="1" applyBorder="1" applyAlignment="1">
      <alignment horizontal="left" vertical="top" wrapText="1"/>
    </xf>
    <xf numFmtId="0" fontId="5" fillId="0" borderId="2" xfId="0" applyFont="1" applyFill="1" applyBorder="1" applyAlignment="1">
      <alignment horizontal="left" vertical="top" wrapText="1"/>
    </xf>
    <xf numFmtId="0" fontId="11" fillId="0" borderId="0" xfId="0" applyFont="1" applyAlignment="1">
      <alignment horizontal="left" vertical="top" wrapText="1"/>
    </xf>
    <xf numFmtId="0" fontId="11" fillId="0" borderId="3" xfId="0" applyFont="1" applyBorder="1" applyAlignment="1">
      <alignment horizontal="center" vertical="center"/>
    </xf>
    <xf numFmtId="0" fontId="11" fillId="0" borderId="0" xfId="0" applyFont="1" applyBorder="1" applyAlignment="1">
      <alignment horizontal="center" vertical="center"/>
    </xf>
    <xf numFmtId="0" fontId="11" fillId="0" borderId="0" xfId="0" applyFont="1" applyAlignment="1">
      <alignment horizontal="left" vertical="center" wrapText="1"/>
    </xf>
    <xf numFmtId="0" fontId="30" fillId="0" borderId="1" xfId="0" quotePrefix="1" applyFont="1" applyBorder="1" applyAlignment="1">
      <alignment horizontal="center" vertical="center"/>
    </xf>
    <xf numFmtId="0" fontId="30" fillId="0" borderId="1" xfId="0" applyFont="1" applyBorder="1" applyAlignment="1">
      <alignment horizontal="center" vertical="center"/>
    </xf>
    <xf numFmtId="0" fontId="42" fillId="0" borderId="0" xfId="0" applyFont="1" applyAlignment="1">
      <alignment horizontal="left" vertical="top" wrapText="1"/>
    </xf>
    <xf numFmtId="0" fontId="11" fillId="0" borderId="0" xfId="0" applyFont="1" applyFill="1" applyBorder="1" applyAlignment="1">
      <alignment horizontal="left" vertical="top" wrapText="1"/>
    </xf>
    <xf numFmtId="0" fontId="11" fillId="5" borderId="0" xfId="0" applyFont="1" applyFill="1" applyAlignment="1">
      <alignment horizontal="left" vertical="top" wrapText="1"/>
    </xf>
    <xf numFmtId="0" fontId="11" fillId="3" borderId="2" xfId="0" applyFont="1" applyFill="1" applyBorder="1" applyAlignment="1">
      <alignment horizontal="left" vertical="top" wrapText="1"/>
    </xf>
    <xf numFmtId="179" fontId="11" fillId="3" borderId="2" xfId="0" applyNumberFormat="1" applyFont="1" applyFill="1" applyBorder="1" applyAlignment="1">
      <alignment horizontal="left" vertical="center" wrapText="1"/>
    </xf>
    <xf numFmtId="0" fontId="11" fillId="3" borderId="2" xfId="0" applyFont="1" applyFill="1" applyBorder="1" applyAlignment="1">
      <alignment horizontal="left" vertical="center" wrapText="1"/>
    </xf>
  </cellXfs>
  <cellStyles count="2">
    <cellStyle name="ハイパーリンク" xfId="1" builtinId="8"/>
    <cellStyle name="標準" xfId="0" builtinId="0"/>
  </cellStyles>
  <dxfs count="117">
    <dxf>
      <fill>
        <patternFill patternType="solid">
          <fgColor rgb="FFFFD320"/>
          <bgColor rgb="FFFFD32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s>
  <tableStyles count="0" defaultTableStyle="TableStyleMedium2" defaultPivotStyle="PivotStyleLight16"/>
  <colors>
    <mruColors>
      <color rgb="FF008000"/>
      <color rgb="FF0000FF"/>
      <color rgb="FFCCFFFF"/>
      <color rgb="FFFFFFCC"/>
      <color rgb="FFFFCCCC"/>
      <color rgb="FFF8F8F8"/>
      <color rgb="FFE5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tshimizu@affrc.go.jp" TargetMode="External"/><Relationship Id="rId2" Type="http://schemas.openxmlformats.org/officeDocument/2006/relationships/hyperlink" Target="mailto:tokurou.shimizu@gmail.com" TargetMode="External"/><Relationship Id="rId1" Type="http://schemas.openxmlformats.org/officeDocument/2006/relationships/hyperlink" Target="https://www.gnu.org/licenses/gpl-3.0.en.html" TargetMode="External"/><Relationship Id="rId5" Type="http://schemas.openxmlformats.org/officeDocument/2006/relationships/printerSettings" Target="../printerSettings/printerSettings1.bin"/><Relationship Id="rId4" Type="http://schemas.openxmlformats.org/officeDocument/2006/relationships/hyperlink" Target="https://github.com/tokurou/GUG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illumina.com/documents/products/technotes/technote_topbot.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2:AI219"/>
  <sheetViews>
    <sheetView workbookViewId="0">
      <selection activeCell="B24" sqref="B24"/>
    </sheetView>
  </sheetViews>
  <sheetFormatPr defaultRowHeight="14.25" x14ac:dyDescent="0.15"/>
  <cols>
    <col min="1" max="1" width="9" style="3" customWidth="1"/>
    <col min="2" max="2" width="14.125" style="3" customWidth="1"/>
    <col min="3" max="3" width="11.625" style="3" bestFit="1" customWidth="1"/>
    <col min="4" max="7" width="9" style="3"/>
    <col min="8" max="8" width="26.5" style="3" customWidth="1"/>
    <col min="9" max="13" width="6.25" style="3" customWidth="1"/>
    <col min="14" max="15" width="9" style="3"/>
    <col min="16" max="16" width="12.625" style="3" customWidth="1"/>
    <col min="17" max="18" width="9" style="3"/>
    <col min="19" max="19" width="51" style="3" customWidth="1"/>
    <col min="20" max="21" width="9" style="3"/>
    <col min="22" max="22" width="5.5" style="3" customWidth="1"/>
    <col min="23" max="23" width="9.25" style="3" bestFit="1" customWidth="1"/>
    <col min="24" max="28" width="9" style="3"/>
    <col min="29" max="34" width="9" style="218"/>
    <col min="35" max="16384" width="9" style="3"/>
  </cols>
  <sheetData>
    <row r="2" spans="2:14" ht="18" x14ac:dyDescent="0.15">
      <c r="B2" s="1"/>
      <c r="C2" s="2" t="s">
        <v>1608</v>
      </c>
    </row>
    <row r="3" spans="2:14" ht="15" x14ac:dyDescent="0.15">
      <c r="L3" s="231"/>
      <c r="M3" s="250"/>
      <c r="N3" s="250"/>
    </row>
    <row r="4" spans="2:14" ht="15" x14ac:dyDescent="0.15">
      <c r="B4" s="5" t="s">
        <v>1543</v>
      </c>
      <c r="C4" s="6" t="str">
        <f>GUGS()</f>
        <v>GUGS: ver. 1.01</v>
      </c>
      <c r="L4" s="231"/>
      <c r="M4" s="250"/>
      <c r="N4" s="250"/>
    </row>
    <row r="5" spans="2:14" ht="15" x14ac:dyDescent="0.15">
      <c r="B5" s="5" t="s">
        <v>1542</v>
      </c>
      <c r="C5" s="251">
        <v>44473</v>
      </c>
      <c r="L5" s="231"/>
      <c r="M5" s="250"/>
      <c r="N5" s="250"/>
    </row>
    <row r="6" spans="2:14" ht="15" x14ac:dyDescent="0.15">
      <c r="B6" s="5" t="s">
        <v>1544</v>
      </c>
      <c r="C6" s="251">
        <v>44473</v>
      </c>
      <c r="L6" s="231"/>
      <c r="M6" s="250"/>
      <c r="N6" s="250"/>
    </row>
    <row r="7" spans="2:14" ht="15" x14ac:dyDescent="0.15">
      <c r="C7" s="252"/>
      <c r="L7" s="231"/>
      <c r="M7" s="250"/>
      <c r="N7" s="250"/>
    </row>
    <row r="8" spans="2:14" ht="15" x14ac:dyDescent="0.15">
      <c r="B8" s="5" t="s">
        <v>1532</v>
      </c>
      <c r="C8" s="3" t="s">
        <v>1528</v>
      </c>
      <c r="L8" s="231"/>
      <c r="M8" s="250"/>
      <c r="N8" s="250"/>
    </row>
    <row r="9" spans="2:14" ht="15" x14ac:dyDescent="0.15">
      <c r="C9" s="3" t="s">
        <v>1531</v>
      </c>
      <c r="L9" s="231"/>
      <c r="M9" s="250"/>
      <c r="N9" s="250"/>
    </row>
    <row r="10" spans="2:14" ht="15" x14ac:dyDescent="0.15">
      <c r="C10" s="4" t="s">
        <v>1540</v>
      </c>
      <c r="M10" s="232"/>
    </row>
    <row r="11" spans="2:14" x14ac:dyDescent="0.15">
      <c r="C11" s="4" t="s">
        <v>1541</v>
      </c>
    </row>
    <row r="12" spans="2:14" ht="15" x14ac:dyDescent="0.15">
      <c r="C12" s="3" t="s">
        <v>0</v>
      </c>
      <c r="M12" s="232"/>
    </row>
    <row r="14" spans="2:14" ht="15" x14ac:dyDescent="0.15">
      <c r="B14" s="5" t="s">
        <v>1527</v>
      </c>
      <c r="C14" s="3" t="s">
        <v>1657</v>
      </c>
      <c r="M14" s="232"/>
    </row>
    <row r="15" spans="2:14" x14ac:dyDescent="0.15">
      <c r="C15" s="3" t="s">
        <v>1529</v>
      </c>
    </row>
    <row r="16" spans="2:14" x14ac:dyDescent="0.15">
      <c r="C16" s="3" t="s">
        <v>1530</v>
      </c>
    </row>
    <row r="17" spans="2:12" x14ac:dyDescent="0.15">
      <c r="C17" s="3" t="s">
        <v>15</v>
      </c>
      <c r="D17" s="4" t="s">
        <v>1533</v>
      </c>
    </row>
    <row r="18" spans="2:12" x14ac:dyDescent="0.15">
      <c r="C18" s="3" t="s">
        <v>16</v>
      </c>
      <c r="D18" s="4" t="s">
        <v>1534</v>
      </c>
    </row>
    <row r="21" spans="2:12" ht="15" x14ac:dyDescent="0.15">
      <c r="B21" s="5" t="s">
        <v>1658</v>
      </c>
      <c r="C21" s="282" t="s">
        <v>1659</v>
      </c>
    </row>
    <row r="23" spans="2:12" ht="14.25" customHeight="1" x14ac:dyDescent="0.15">
      <c r="B23" s="5" t="s">
        <v>1646</v>
      </c>
      <c r="C23" s="279" t="s">
        <v>1647</v>
      </c>
      <c r="D23" s="252"/>
      <c r="E23" s="252"/>
      <c r="F23" s="252"/>
      <c r="G23" s="252"/>
      <c r="H23" s="252"/>
      <c r="I23" s="252"/>
    </row>
    <row r="24" spans="2:12" x14ac:dyDescent="0.15">
      <c r="D24" s="279"/>
      <c r="E24" s="279"/>
      <c r="F24" s="279"/>
      <c r="G24" s="279"/>
      <c r="H24" s="279"/>
      <c r="I24" s="279"/>
      <c r="J24" s="279"/>
    </row>
    <row r="27" spans="2:12" ht="18" x14ac:dyDescent="0.15">
      <c r="B27" s="233" t="s">
        <v>434</v>
      </c>
    </row>
    <row r="29" spans="2:12" x14ac:dyDescent="0.15">
      <c r="B29" s="234" t="s">
        <v>140</v>
      </c>
      <c r="C29" s="235" t="s">
        <v>141</v>
      </c>
      <c r="D29" s="235" t="s">
        <v>142</v>
      </c>
      <c r="E29" s="283" t="s">
        <v>146</v>
      </c>
      <c r="F29" s="283"/>
      <c r="G29" s="283"/>
      <c r="H29" s="283"/>
      <c r="I29" s="283"/>
      <c r="J29" s="283"/>
      <c r="K29" s="283"/>
      <c r="L29" s="283"/>
    </row>
    <row r="30" spans="2:12" x14ac:dyDescent="0.15">
      <c r="B30" s="3" t="s">
        <v>638</v>
      </c>
      <c r="C30" s="218" t="s">
        <v>144</v>
      </c>
      <c r="D30" s="218" t="s">
        <v>144</v>
      </c>
      <c r="E30" s="284" t="s">
        <v>147</v>
      </c>
      <c r="F30" s="284"/>
      <c r="G30" s="284"/>
      <c r="H30" s="284"/>
      <c r="I30" s="284"/>
      <c r="J30" s="284"/>
      <c r="K30" s="284"/>
      <c r="L30" s="284"/>
    </row>
    <row r="31" spans="2:12" x14ac:dyDescent="0.15">
      <c r="B31" s="3" t="s">
        <v>145</v>
      </c>
      <c r="C31" s="218" t="s">
        <v>144</v>
      </c>
      <c r="D31" s="218" t="s">
        <v>144</v>
      </c>
      <c r="E31" s="284" t="s">
        <v>148</v>
      </c>
      <c r="F31" s="284"/>
      <c r="G31" s="284"/>
      <c r="H31" s="284"/>
      <c r="I31" s="284"/>
      <c r="J31" s="284"/>
      <c r="K31" s="284"/>
      <c r="L31" s="284"/>
    </row>
    <row r="32" spans="2:12" x14ac:dyDescent="0.15">
      <c r="B32" s="3" t="s">
        <v>639</v>
      </c>
      <c r="C32" s="218" t="s">
        <v>144</v>
      </c>
      <c r="D32" s="218" t="s">
        <v>144</v>
      </c>
      <c r="E32" s="284" t="s">
        <v>150</v>
      </c>
      <c r="F32" s="284"/>
      <c r="G32" s="284"/>
      <c r="H32" s="284"/>
      <c r="I32" s="284"/>
      <c r="J32" s="284"/>
      <c r="K32" s="284"/>
      <c r="L32" s="284"/>
    </row>
    <row r="33" spans="2:35" x14ac:dyDescent="0.15">
      <c r="B33" s="3" t="s">
        <v>151</v>
      </c>
      <c r="C33" s="218" t="s">
        <v>144</v>
      </c>
      <c r="D33" s="218" t="s">
        <v>144</v>
      </c>
      <c r="E33" s="284" t="s">
        <v>160</v>
      </c>
      <c r="F33" s="284"/>
      <c r="G33" s="284"/>
      <c r="H33" s="284"/>
      <c r="I33" s="284"/>
      <c r="J33" s="284"/>
      <c r="K33" s="284"/>
      <c r="L33" s="284"/>
    </row>
    <row r="34" spans="2:35" x14ac:dyDescent="0.15">
      <c r="B34" s="3" t="s">
        <v>161</v>
      </c>
      <c r="C34" s="218" t="s">
        <v>144</v>
      </c>
      <c r="D34" s="218" t="s">
        <v>153</v>
      </c>
      <c r="E34" s="284" t="s">
        <v>652</v>
      </c>
      <c r="F34" s="284"/>
      <c r="G34" s="284"/>
      <c r="H34" s="284"/>
      <c r="I34" s="284"/>
      <c r="J34" s="284"/>
      <c r="K34" s="284"/>
      <c r="L34" s="284"/>
    </row>
    <row r="35" spans="2:35" x14ac:dyDescent="0.15">
      <c r="B35" s="3" t="s">
        <v>152</v>
      </c>
      <c r="C35" s="218" t="s">
        <v>144</v>
      </c>
      <c r="D35" s="218" t="s">
        <v>144</v>
      </c>
      <c r="E35" s="285" t="s">
        <v>653</v>
      </c>
      <c r="F35" s="285"/>
      <c r="G35" s="285"/>
      <c r="H35" s="285"/>
      <c r="I35" s="285"/>
      <c r="J35" s="285"/>
      <c r="K35" s="285"/>
      <c r="L35" s="285"/>
    </row>
    <row r="36" spans="2:35" ht="35.25" customHeight="1" x14ac:dyDescent="0.15">
      <c r="B36" s="3" t="s">
        <v>654</v>
      </c>
      <c r="C36" s="218" t="s">
        <v>144</v>
      </c>
      <c r="D36" s="218" t="s">
        <v>153</v>
      </c>
      <c r="E36" s="285" t="s">
        <v>655</v>
      </c>
      <c r="F36" s="285"/>
      <c r="G36" s="285"/>
      <c r="H36" s="285"/>
      <c r="I36" s="285"/>
      <c r="J36" s="285"/>
      <c r="K36" s="285"/>
      <c r="L36" s="285"/>
    </row>
    <row r="37" spans="2:35" x14ac:dyDescent="0.15">
      <c r="B37" s="3" t="s">
        <v>154</v>
      </c>
      <c r="C37" s="218" t="s">
        <v>144</v>
      </c>
      <c r="D37" s="218" t="s">
        <v>144</v>
      </c>
      <c r="E37" s="284" t="s">
        <v>155</v>
      </c>
      <c r="F37" s="284"/>
      <c r="G37" s="284"/>
      <c r="H37" s="284"/>
      <c r="I37" s="284"/>
      <c r="J37" s="284"/>
      <c r="K37" s="284"/>
      <c r="L37" s="284"/>
    </row>
    <row r="38" spans="2:35" x14ac:dyDescent="0.15">
      <c r="B38" s="3" t="s">
        <v>156</v>
      </c>
      <c r="C38" s="218" t="s">
        <v>144</v>
      </c>
      <c r="D38" s="218" t="s">
        <v>144</v>
      </c>
      <c r="E38" s="285" t="s">
        <v>157</v>
      </c>
      <c r="F38" s="285"/>
      <c r="G38" s="285"/>
      <c r="H38" s="285"/>
      <c r="I38" s="285"/>
      <c r="J38" s="285"/>
      <c r="K38" s="285"/>
      <c r="L38" s="285"/>
    </row>
    <row r="39" spans="2:35" x14ac:dyDescent="0.15">
      <c r="B39" s="3" t="s">
        <v>158</v>
      </c>
      <c r="C39" s="218" t="s">
        <v>144</v>
      </c>
      <c r="D39" s="218" t="s">
        <v>144</v>
      </c>
      <c r="E39" s="284" t="s">
        <v>656</v>
      </c>
      <c r="F39" s="284"/>
      <c r="G39" s="284"/>
      <c r="H39" s="284"/>
      <c r="I39" s="284"/>
      <c r="J39" s="284"/>
      <c r="K39" s="284"/>
      <c r="L39" s="284"/>
    </row>
    <row r="40" spans="2:35" x14ac:dyDescent="0.15">
      <c r="B40" s="226" t="s">
        <v>159</v>
      </c>
      <c r="C40" s="236" t="s">
        <v>153</v>
      </c>
      <c r="D40" s="236" t="s">
        <v>144</v>
      </c>
      <c r="E40" s="287" t="s">
        <v>657</v>
      </c>
      <c r="F40" s="287"/>
      <c r="G40" s="287"/>
      <c r="H40" s="287"/>
      <c r="I40" s="287"/>
      <c r="J40" s="287"/>
      <c r="K40" s="287"/>
      <c r="L40" s="287"/>
    </row>
    <row r="41" spans="2:35" x14ac:dyDescent="0.15">
      <c r="B41" s="226" t="s">
        <v>1207</v>
      </c>
      <c r="C41" s="218" t="s">
        <v>144</v>
      </c>
      <c r="D41" s="236" t="s">
        <v>144</v>
      </c>
      <c r="E41" s="287" t="s">
        <v>1212</v>
      </c>
      <c r="F41" s="287"/>
      <c r="G41" s="287"/>
      <c r="H41" s="287"/>
      <c r="I41" s="287"/>
      <c r="J41" s="287"/>
      <c r="K41" s="287"/>
      <c r="L41" s="287"/>
    </row>
    <row r="42" spans="2:35" x14ac:dyDescent="0.15">
      <c r="B42" s="226" t="s">
        <v>62</v>
      </c>
      <c r="C42" s="218" t="s">
        <v>144</v>
      </c>
      <c r="D42" s="236" t="s">
        <v>144</v>
      </c>
      <c r="E42" s="287" t="s">
        <v>1211</v>
      </c>
      <c r="F42" s="287"/>
      <c r="G42" s="287"/>
      <c r="H42" s="287"/>
      <c r="I42" s="287"/>
      <c r="J42" s="287"/>
      <c r="K42" s="287"/>
      <c r="L42" s="287"/>
    </row>
    <row r="43" spans="2:35" x14ac:dyDescent="0.15">
      <c r="B43" s="226" t="s">
        <v>1202</v>
      </c>
      <c r="C43" s="218" t="s">
        <v>144</v>
      </c>
      <c r="D43" s="236" t="s">
        <v>144</v>
      </c>
      <c r="E43" s="287" t="s">
        <v>1210</v>
      </c>
      <c r="F43" s="287"/>
      <c r="G43" s="287"/>
      <c r="H43" s="287"/>
      <c r="I43" s="287"/>
      <c r="J43" s="287"/>
      <c r="K43" s="287"/>
      <c r="L43" s="287"/>
    </row>
    <row r="44" spans="2:35" x14ac:dyDescent="0.15">
      <c r="B44" s="228" t="s">
        <v>1208</v>
      </c>
      <c r="C44" s="230" t="s">
        <v>144</v>
      </c>
      <c r="D44" s="230" t="s">
        <v>144</v>
      </c>
      <c r="E44" s="288" t="s">
        <v>1209</v>
      </c>
      <c r="F44" s="288"/>
      <c r="G44" s="288"/>
      <c r="H44" s="288"/>
      <c r="I44" s="288"/>
      <c r="J44" s="288"/>
      <c r="K44" s="288"/>
      <c r="L44" s="288"/>
    </row>
    <row r="45" spans="2:35" x14ac:dyDescent="0.15">
      <c r="C45" s="237" t="s">
        <v>658</v>
      </c>
    </row>
    <row r="46" spans="2:35" x14ac:dyDescent="0.15">
      <c r="C46" s="238" t="s">
        <v>659</v>
      </c>
      <c r="AG46" s="3"/>
      <c r="AH46" s="3"/>
    </row>
    <row r="47" spans="2:35" x14ac:dyDescent="0.15">
      <c r="AG47" s="3"/>
      <c r="AH47" s="3"/>
      <c r="AI47" s="218"/>
    </row>
    <row r="48" spans="2:35" x14ac:dyDescent="0.15">
      <c r="AG48" s="3"/>
      <c r="AH48" s="3"/>
    </row>
    <row r="49" spans="2:34" ht="18" x14ac:dyDescent="0.15">
      <c r="B49" s="233" t="s">
        <v>1545</v>
      </c>
      <c r="AG49" s="3"/>
      <c r="AH49" s="3"/>
    </row>
    <row r="50" spans="2:34" ht="15" x14ac:dyDescent="0.15">
      <c r="B50" s="239" t="s">
        <v>5</v>
      </c>
      <c r="C50" s="239" t="s">
        <v>431</v>
      </c>
      <c r="D50" s="239"/>
      <c r="E50" s="239"/>
      <c r="F50" s="239"/>
      <c r="G50" s="239"/>
      <c r="H50" s="239"/>
      <c r="I50" s="239"/>
      <c r="J50" s="239"/>
      <c r="K50" s="239"/>
      <c r="AG50" s="3"/>
      <c r="AH50" s="3"/>
    </row>
    <row r="51" spans="2:34" ht="15" x14ac:dyDescent="0.15">
      <c r="B51" s="240" t="s">
        <v>2</v>
      </c>
      <c r="C51" s="241" t="s">
        <v>594</v>
      </c>
      <c r="D51" s="241"/>
      <c r="E51" s="241"/>
      <c r="F51" s="241"/>
      <c r="G51" s="241"/>
      <c r="H51" s="241"/>
      <c r="I51" s="241"/>
      <c r="J51" s="241"/>
      <c r="K51" s="241"/>
      <c r="AG51" s="3"/>
      <c r="AH51" s="3"/>
    </row>
    <row r="52" spans="2:34" ht="15" x14ac:dyDescent="0.15">
      <c r="C52" s="240" t="s">
        <v>640</v>
      </c>
      <c r="D52" s="240"/>
      <c r="E52" s="240"/>
      <c r="F52" s="240"/>
      <c r="G52" s="242"/>
      <c r="H52" s="242"/>
      <c r="I52" s="242"/>
      <c r="J52" s="242"/>
      <c r="AG52" s="3"/>
      <c r="AH52" s="3"/>
    </row>
    <row r="53" spans="2:34" ht="15" x14ac:dyDescent="0.15">
      <c r="B53" s="242"/>
      <c r="C53" s="242" t="s">
        <v>432</v>
      </c>
      <c r="D53" s="242" t="s">
        <v>6</v>
      </c>
      <c r="E53" s="242"/>
      <c r="F53" s="242"/>
      <c r="G53" s="242"/>
      <c r="H53" s="242"/>
      <c r="I53" s="242"/>
      <c r="J53" s="242"/>
      <c r="AG53" s="3"/>
      <c r="AH53" s="3"/>
    </row>
    <row r="54" spans="2:34" ht="15" x14ac:dyDescent="0.15">
      <c r="B54" s="242"/>
      <c r="C54" s="242"/>
      <c r="D54" s="242" t="s">
        <v>7</v>
      </c>
      <c r="E54" s="242"/>
      <c r="F54" s="242"/>
      <c r="G54" s="242"/>
      <c r="H54" s="242"/>
      <c r="I54" s="242"/>
      <c r="J54" s="242"/>
      <c r="AG54" s="3"/>
      <c r="AH54" s="3"/>
    </row>
    <row r="55" spans="2:34" ht="15" x14ac:dyDescent="0.15">
      <c r="B55" s="242"/>
      <c r="C55" s="242"/>
      <c r="D55" s="242" t="s">
        <v>8</v>
      </c>
      <c r="E55" s="242" t="s">
        <v>1535</v>
      </c>
      <c r="F55" s="242"/>
      <c r="G55" s="242"/>
      <c r="H55" s="242"/>
      <c r="I55" s="242"/>
      <c r="J55" s="242"/>
      <c r="AG55" s="3"/>
      <c r="AH55" s="3"/>
    </row>
    <row r="56" spans="2:34" ht="15" x14ac:dyDescent="0.15">
      <c r="B56" s="242"/>
      <c r="C56" s="242"/>
      <c r="D56" s="242"/>
      <c r="E56" s="242"/>
      <c r="F56" s="242"/>
      <c r="G56" s="242"/>
      <c r="H56" s="242"/>
      <c r="I56" s="242"/>
      <c r="J56" s="242"/>
      <c r="AG56" s="3"/>
      <c r="AH56" s="3"/>
    </row>
    <row r="57" spans="2:34" ht="15" x14ac:dyDescent="0.15">
      <c r="B57" s="240" t="s">
        <v>17</v>
      </c>
      <c r="C57" s="240" t="s">
        <v>1536</v>
      </c>
      <c r="D57" s="242"/>
      <c r="E57" s="242"/>
      <c r="F57" s="242"/>
      <c r="G57" s="242"/>
      <c r="H57" s="242"/>
      <c r="I57" s="242"/>
      <c r="J57" s="242"/>
      <c r="AG57" s="3"/>
      <c r="AH57" s="3"/>
    </row>
    <row r="58" spans="2:34" ht="15" x14ac:dyDescent="0.15">
      <c r="B58" s="242"/>
      <c r="C58" s="242"/>
      <c r="D58" s="242"/>
      <c r="E58" s="242"/>
      <c r="F58" s="242"/>
      <c r="G58" s="242"/>
      <c r="H58" s="242"/>
      <c r="I58" s="242"/>
      <c r="J58" s="242"/>
      <c r="AG58" s="3"/>
      <c r="AH58" s="3"/>
    </row>
    <row r="59" spans="2:34" ht="15" x14ac:dyDescent="0.15">
      <c r="B59" s="240" t="s">
        <v>3</v>
      </c>
      <c r="C59" s="242" t="s">
        <v>595</v>
      </c>
      <c r="D59" s="242"/>
      <c r="E59" s="242"/>
      <c r="F59" s="242"/>
      <c r="G59" s="242"/>
      <c r="H59" s="242"/>
      <c r="I59" s="242"/>
      <c r="J59" s="242"/>
      <c r="AG59" s="3"/>
      <c r="AH59" s="3"/>
    </row>
    <row r="60" spans="2:34" ht="15" x14ac:dyDescent="0.15">
      <c r="C60" s="240" t="s">
        <v>1537</v>
      </c>
      <c r="D60" s="242"/>
      <c r="E60" s="242"/>
      <c r="F60" s="242"/>
      <c r="G60" s="242"/>
      <c r="H60" s="242"/>
      <c r="I60" s="242"/>
      <c r="J60" s="242"/>
      <c r="AG60" s="3"/>
      <c r="AH60" s="3"/>
    </row>
    <row r="61" spans="2:34" ht="15" x14ac:dyDescent="0.15">
      <c r="B61" s="242"/>
      <c r="C61" s="242" t="s">
        <v>641</v>
      </c>
      <c r="D61" s="242"/>
      <c r="E61" s="242"/>
      <c r="F61" s="242"/>
      <c r="G61" s="242"/>
      <c r="H61" s="242"/>
      <c r="I61" s="242"/>
      <c r="J61" s="242"/>
      <c r="AG61" s="3"/>
      <c r="AH61" s="3"/>
    </row>
    <row r="62" spans="2:34" ht="33" customHeight="1" x14ac:dyDescent="0.15">
      <c r="B62" s="242"/>
      <c r="C62" s="286" t="s">
        <v>642</v>
      </c>
      <c r="D62" s="286"/>
      <c r="E62" s="286"/>
      <c r="F62" s="286"/>
      <c r="G62" s="286"/>
      <c r="H62" s="286"/>
      <c r="I62" s="286"/>
      <c r="J62" s="286"/>
      <c r="K62" s="286"/>
      <c r="AG62" s="3"/>
      <c r="AH62" s="3"/>
    </row>
    <row r="63" spans="2:34" ht="15" x14ac:dyDescent="0.15">
      <c r="B63" s="242"/>
      <c r="C63" s="242" t="s">
        <v>432</v>
      </c>
      <c r="D63" s="243" t="s">
        <v>9</v>
      </c>
      <c r="E63" s="242"/>
      <c r="F63" s="242"/>
      <c r="G63" s="242"/>
      <c r="H63" s="242"/>
      <c r="I63" s="242"/>
      <c r="J63" s="242"/>
      <c r="AG63" s="3"/>
      <c r="AH63" s="3"/>
    </row>
    <row r="64" spans="2:34" ht="15" x14ac:dyDescent="0.15">
      <c r="B64" s="242"/>
      <c r="C64" s="242"/>
      <c r="D64" s="243" t="s">
        <v>10</v>
      </c>
      <c r="E64" s="242"/>
      <c r="F64" s="242"/>
      <c r="G64" s="242"/>
      <c r="H64" s="242"/>
      <c r="I64" s="242"/>
      <c r="J64" s="242"/>
      <c r="AG64" s="3"/>
      <c r="AH64" s="3"/>
    </row>
    <row r="65" spans="2:34" ht="15" x14ac:dyDescent="0.15">
      <c r="B65" s="242"/>
      <c r="C65" s="242"/>
      <c r="D65" s="243"/>
      <c r="E65" s="242"/>
      <c r="F65" s="242"/>
      <c r="G65" s="242"/>
      <c r="H65" s="242"/>
      <c r="I65" s="242"/>
      <c r="J65" s="242"/>
      <c r="AG65" s="3"/>
      <c r="AH65" s="3"/>
    </row>
    <row r="66" spans="2:34" ht="15" x14ac:dyDescent="0.15">
      <c r="B66" s="240" t="s">
        <v>18</v>
      </c>
      <c r="C66" s="240" t="s">
        <v>1538</v>
      </c>
      <c r="D66" s="242"/>
      <c r="E66" s="242"/>
      <c r="F66" s="242"/>
      <c r="G66" s="242"/>
      <c r="H66" s="242"/>
      <c r="I66" s="242"/>
      <c r="J66" s="242"/>
      <c r="AG66" s="3"/>
      <c r="AH66" s="3"/>
    </row>
    <row r="67" spans="2:34" ht="15" x14ac:dyDescent="0.15">
      <c r="B67" s="242"/>
      <c r="C67" s="242"/>
      <c r="D67" s="242"/>
      <c r="E67" s="242"/>
      <c r="F67" s="242"/>
      <c r="G67" s="242"/>
      <c r="H67" s="242"/>
      <c r="I67" s="242"/>
      <c r="J67" s="242"/>
      <c r="AG67" s="3"/>
      <c r="AH67" s="3"/>
    </row>
    <row r="68" spans="2:34" ht="15" x14ac:dyDescent="0.15">
      <c r="B68" s="240" t="s">
        <v>26</v>
      </c>
      <c r="C68" s="240" t="s">
        <v>647</v>
      </c>
      <c r="D68" s="242"/>
      <c r="E68" s="242"/>
      <c r="F68" s="242"/>
      <c r="G68" s="242"/>
      <c r="H68" s="242"/>
      <c r="I68" s="242"/>
      <c r="J68" s="242"/>
    </row>
    <row r="69" spans="2:34" ht="15" x14ac:dyDescent="0.15">
      <c r="B69" s="242"/>
      <c r="C69" s="242" t="s">
        <v>345</v>
      </c>
      <c r="D69" s="242"/>
      <c r="E69" s="242"/>
      <c r="F69" s="242"/>
      <c r="G69" s="242"/>
      <c r="H69" s="242"/>
      <c r="I69" s="242"/>
      <c r="J69" s="242"/>
    </row>
    <row r="70" spans="2:34" ht="15" x14ac:dyDescent="0.15">
      <c r="B70" s="242"/>
      <c r="C70" s="243"/>
      <c r="D70" s="243" t="s">
        <v>38</v>
      </c>
      <c r="E70" s="242" t="s">
        <v>435</v>
      </c>
      <c r="F70" s="242"/>
      <c r="G70" s="242"/>
      <c r="H70" s="242"/>
      <c r="I70" s="242"/>
      <c r="J70" s="242"/>
    </row>
    <row r="71" spans="2:34" ht="15" x14ac:dyDescent="0.15">
      <c r="B71" s="242"/>
      <c r="C71" s="243"/>
      <c r="D71" s="243" t="s">
        <v>28</v>
      </c>
      <c r="E71" s="242" t="s">
        <v>442</v>
      </c>
      <c r="F71" s="242"/>
      <c r="G71" s="242"/>
      <c r="H71" s="242"/>
      <c r="I71" s="242"/>
      <c r="J71" s="242"/>
    </row>
    <row r="72" spans="2:34" ht="15" x14ac:dyDescent="0.15">
      <c r="B72" s="242"/>
      <c r="C72" s="243"/>
      <c r="D72" s="243" t="s">
        <v>29</v>
      </c>
      <c r="E72" s="242" t="s">
        <v>443</v>
      </c>
      <c r="F72" s="242"/>
      <c r="G72" s="242"/>
      <c r="H72" s="242"/>
      <c r="I72" s="242"/>
      <c r="J72" s="242"/>
    </row>
    <row r="73" spans="2:34" ht="15" x14ac:dyDescent="0.15">
      <c r="B73" s="242"/>
      <c r="C73" s="243"/>
      <c r="D73" s="243" t="s">
        <v>30</v>
      </c>
      <c r="E73" s="242" t="s">
        <v>444</v>
      </c>
      <c r="F73" s="242"/>
      <c r="G73" s="242"/>
      <c r="H73" s="242"/>
      <c r="I73" s="242"/>
      <c r="J73" s="242"/>
    </row>
    <row r="74" spans="2:34" ht="15" x14ac:dyDescent="0.15">
      <c r="B74" s="242"/>
      <c r="C74" s="243"/>
      <c r="D74" s="243" t="s">
        <v>31</v>
      </c>
      <c r="E74" s="242" t="s">
        <v>445</v>
      </c>
      <c r="F74" s="242"/>
      <c r="H74" s="242"/>
      <c r="I74" s="242"/>
      <c r="J74" s="242"/>
    </row>
    <row r="75" spans="2:34" ht="15" x14ac:dyDescent="0.15">
      <c r="B75" s="242"/>
      <c r="C75" s="243"/>
      <c r="D75" s="243" t="s">
        <v>32</v>
      </c>
      <c r="E75" s="242" t="s">
        <v>447</v>
      </c>
      <c r="F75" s="242"/>
      <c r="H75" s="242"/>
      <c r="I75" s="242"/>
      <c r="J75" s="242"/>
    </row>
    <row r="76" spans="2:34" ht="15" x14ac:dyDescent="0.15">
      <c r="B76" s="242"/>
      <c r="C76" s="243"/>
      <c r="D76" s="243" t="s">
        <v>33</v>
      </c>
      <c r="E76" s="242" t="s">
        <v>448</v>
      </c>
      <c r="F76" s="242"/>
      <c r="H76" s="242"/>
      <c r="I76" s="242"/>
      <c r="J76" s="242"/>
    </row>
    <row r="77" spans="2:34" ht="15" x14ac:dyDescent="0.15">
      <c r="B77" s="242"/>
      <c r="C77" s="243"/>
      <c r="D77" s="243" t="s">
        <v>34</v>
      </c>
      <c r="E77" s="242" t="s">
        <v>449</v>
      </c>
      <c r="F77" s="242"/>
      <c r="H77" s="242"/>
      <c r="I77" s="242"/>
      <c r="J77" s="242"/>
    </row>
    <row r="78" spans="2:34" ht="15" x14ac:dyDescent="0.15">
      <c r="B78" s="242"/>
      <c r="C78" s="243"/>
      <c r="D78" s="243" t="s">
        <v>35</v>
      </c>
      <c r="E78" s="242" t="s">
        <v>450</v>
      </c>
      <c r="F78" s="242"/>
      <c r="H78" s="242"/>
      <c r="I78" s="242"/>
      <c r="J78" s="242"/>
    </row>
    <row r="79" spans="2:34" ht="15" x14ac:dyDescent="0.15">
      <c r="B79" s="242"/>
      <c r="C79" s="243"/>
      <c r="D79" s="243" t="s">
        <v>36</v>
      </c>
      <c r="E79" s="242" t="s">
        <v>451</v>
      </c>
      <c r="F79" s="242"/>
      <c r="H79" s="242"/>
      <c r="I79" s="242"/>
      <c r="J79" s="242"/>
    </row>
    <row r="80" spans="2:34" ht="15" x14ac:dyDescent="0.15">
      <c r="B80" s="242"/>
      <c r="C80" s="242"/>
      <c r="D80" s="243" t="s">
        <v>37</v>
      </c>
      <c r="E80" s="242" t="s">
        <v>446</v>
      </c>
      <c r="F80" s="242"/>
      <c r="G80" s="242"/>
      <c r="H80" s="242"/>
      <c r="I80" s="242"/>
      <c r="J80" s="242"/>
    </row>
    <row r="82" spans="2:34" ht="15" x14ac:dyDescent="0.15">
      <c r="B82" s="240" t="s">
        <v>4</v>
      </c>
      <c r="C82" s="240" t="s">
        <v>643</v>
      </c>
      <c r="D82" s="242"/>
      <c r="E82" s="242"/>
      <c r="F82" s="242"/>
      <c r="G82" s="242"/>
      <c r="H82" s="242"/>
      <c r="I82" s="242"/>
      <c r="J82" s="242"/>
      <c r="AG82" s="3"/>
      <c r="AH82" s="3"/>
    </row>
    <row r="83" spans="2:34" ht="15" x14ac:dyDescent="0.15">
      <c r="B83" s="242"/>
      <c r="C83" s="242" t="s">
        <v>432</v>
      </c>
      <c r="D83" s="243" t="s">
        <v>11</v>
      </c>
      <c r="E83" s="242" t="s">
        <v>435</v>
      </c>
      <c r="F83" s="242"/>
      <c r="G83" s="242"/>
      <c r="H83" s="242"/>
      <c r="I83" s="242"/>
      <c r="J83" s="242"/>
      <c r="AG83" s="3"/>
      <c r="AH83" s="3"/>
    </row>
    <row r="84" spans="2:34" ht="15" x14ac:dyDescent="0.15">
      <c r="B84" s="242"/>
      <c r="C84" s="242"/>
      <c r="D84" s="243" t="s">
        <v>12</v>
      </c>
      <c r="E84" s="242" t="s">
        <v>436</v>
      </c>
      <c r="F84" s="242"/>
      <c r="G84" s="242"/>
      <c r="H84" s="242"/>
      <c r="I84" s="242"/>
      <c r="J84" s="242"/>
      <c r="AG84" s="3"/>
      <c r="AH84" s="3"/>
    </row>
    <row r="85" spans="2:34" ht="15" x14ac:dyDescent="0.15">
      <c r="B85" s="242"/>
      <c r="C85" s="242"/>
      <c r="D85" s="243" t="s">
        <v>13</v>
      </c>
      <c r="E85" s="242" t="s">
        <v>437</v>
      </c>
      <c r="F85" s="242"/>
      <c r="G85" s="242"/>
      <c r="H85" s="242"/>
      <c r="I85" s="242"/>
      <c r="J85" s="242"/>
      <c r="AG85" s="3"/>
      <c r="AH85" s="3"/>
    </row>
    <row r="86" spans="2:34" ht="15" x14ac:dyDescent="0.15">
      <c r="B86" s="242"/>
      <c r="C86" s="242"/>
      <c r="D86" s="242"/>
      <c r="E86" s="242"/>
      <c r="F86" s="242"/>
      <c r="G86" s="242"/>
      <c r="H86" s="242"/>
      <c r="I86" s="242"/>
      <c r="J86" s="242"/>
      <c r="AG86" s="3"/>
      <c r="AH86" s="3"/>
    </row>
    <row r="87" spans="2:34" ht="15" x14ac:dyDescent="0.15">
      <c r="B87" s="240" t="s">
        <v>644</v>
      </c>
      <c r="C87" s="240" t="s">
        <v>645</v>
      </c>
      <c r="D87" s="242"/>
      <c r="E87" s="242"/>
      <c r="F87" s="242"/>
      <c r="G87" s="242"/>
      <c r="H87" s="242"/>
      <c r="I87" s="242"/>
      <c r="J87" s="242"/>
      <c r="AG87" s="3"/>
      <c r="AH87" s="3"/>
    </row>
    <row r="88" spans="2:34" ht="15" x14ac:dyDescent="0.15">
      <c r="B88" s="242"/>
      <c r="C88" s="242" t="s">
        <v>432</v>
      </c>
      <c r="D88" s="243" t="s">
        <v>11</v>
      </c>
      <c r="E88" s="242" t="s">
        <v>438</v>
      </c>
      <c r="F88" s="242"/>
      <c r="G88" s="242"/>
      <c r="H88" s="242"/>
      <c r="I88" s="242"/>
      <c r="J88" s="242"/>
      <c r="AG88" s="3"/>
      <c r="AH88" s="3"/>
    </row>
    <row r="89" spans="2:34" ht="15" x14ac:dyDescent="0.15">
      <c r="B89" s="242"/>
      <c r="C89" s="242"/>
      <c r="D89" s="243" t="s">
        <v>12</v>
      </c>
      <c r="E89" s="242" t="s">
        <v>439</v>
      </c>
      <c r="F89" s="242"/>
      <c r="G89" s="242"/>
      <c r="H89" s="242"/>
      <c r="I89" s="242"/>
      <c r="J89" s="242"/>
    </row>
    <row r="90" spans="2:34" ht="15" x14ac:dyDescent="0.15">
      <c r="B90" s="242"/>
      <c r="C90" s="242"/>
      <c r="D90" s="243" t="s">
        <v>13</v>
      </c>
      <c r="E90" s="242" t="s">
        <v>440</v>
      </c>
      <c r="F90" s="242"/>
      <c r="G90" s="242"/>
      <c r="H90" s="242"/>
      <c r="I90" s="242"/>
      <c r="J90" s="242"/>
    </row>
    <row r="91" spans="2:34" ht="15" x14ac:dyDescent="0.15">
      <c r="B91" s="242"/>
      <c r="C91" s="242"/>
      <c r="D91" s="242"/>
      <c r="E91" s="242"/>
      <c r="F91" s="242"/>
      <c r="G91" s="242"/>
      <c r="H91" s="242"/>
      <c r="I91" s="242"/>
      <c r="J91" s="242"/>
    </row>
    <row r="92" spans="2:34" ht="15" x14ac:dyDescent="0.15">
      <c r="B92" s="240" t="s">
        <v>646</v>
      </c>
      <c r="C92" s="240" t="s">
        <v>651</v>
      </c>
      <c r="D92" s="242"/>
      <c r="E92" s="242"/>
      <c r="F92" s="242"/>
      <c r="G92" s="242"/>
      <c r="H92" s="242"/>
      <c r="I92" s="242"/>
      <c r="J92" s="242"/>
    </row>
    <row r="93" spans="2:34" ht="15" x14ac:dyDescent="0.15">
      <c r="B93" s="242"/>
      <c r="C93" s="242" t="s">
        <v>432</v>
      </c>
      <c r="D93" s="242" t="s">
        <v>441</v>
      </c>
      <c r="E93" s="242"/>
      <c r="F93" s="242"/>
      <c r="G93" s="242"/>
      <c r="H93" s="242"/>
      <c r="I93" s="242"/>
      <c r="J93" s="242"/>
    </row>
    <row r="94" spans="2:34" ht="15" x14ac:dyDescent="0.15">
      <c r="B94" s="242"/>
      <c r="C94" s="242"/>
      <c r="D94" s="242"/>
      <c r="E94" s="242"/>
      <c r="F94" s="242"/>
      <c r="G94" s="242"/>
      <c r="H94" s="242"/>
      <c r="I94" s="242"/>
      <c r="J94" s="242"/>
    </row>
    <row r="95" spans="2:34" ht="15" x14ac:dyDescent="0.15">
      <c r="B95" s="240" t="s">
        <v>20</v>
      </c>
      <c r="C95" s="240" t="s">
        <v>1206</v>
      </c>
      <c r="D95" s="242"/>
      <c r="E95" s="242"/>
      <c r="F95" s="242"/>
      <c r="G95" s="242"/>
      <c r="H95" s="242"/>
      <c r="I95" s="242"/>
      <c r="J95" s="242"/>
    </row>
    <row r="96" spans="2:34" ht="15" x14ac:dyDescent="0.15">
      <c r="B96" s="242"/>
      <c r="C96" s="242" t="s">
        <v>432</v>
      </c>
      <c r="D96" s="243" t="s">
        <v>21</v>
      </c>
      <c r="E96" s="242"/>
      <c r="F96" s="242"/>
      <c r="G96" s="242"/>
      <c r="H96" s="242"/>
      <c r="I96" s="242"/>
      <c r="J96" s="242"/>
    </row>
    <row r="97" spans="2:34" ht="15" x14ac:dyDescent="0.15">
      <c r="B97" s="242"/>
      <c r="C97" s="243"/>
      <c r="D97" s="243" t="s">
        <v>22</v>
      </c>
      <c r="E97" s="242"/>
      <c r="F97" s="242"/>
      <c r="G97" s="242"/>
      <c r="H97" s="242"/>
      <c r="I97" s="242"/>
      <c r="J97" s="242"/>
    </row>
    <row r="98" spans="2:34" ht="15" x14ac:dyDescent="0.15">
      <c r="B98" s="242"/>
      <c r="C98" s="243"/>
      <c r="D98" s="243" t="s">
        <v>23</v>
      </c>
      <c r="E98" s="242"/>
      <c r="F98" s="242"/>
      <c r="G98" s="242"/>
      <c r="H98" s="242"/>
      <c r="I98" s="242"/>
      <c r="J98" s="242"/>
    </row>
    <row r="99" spans="2:34" ht="15" x14ac:dyDescent="0.15">
      <c r="B99" s="242"/>
      <c r="C99" s="243"/>
      <c r="D99" s="243" t="s">
        <v>24</v>
      </c>
      <c r="E99" s="242"/>
      <c r="F99" s="242"/>
      <c r="G99" s="242"/>
      <c r="H99" s="242"/>
      <c r="I99" s="242"/>
      <c r="J99" s="242"/>
    </row>
    <row r="100" spans="2:34" ht="15" x14ac:dyDescent="0.15">
      <c r="B100" s="242"/>
      <c r="C100" s="243"/>
      <c r="D100" s="243" t="s">
        <v>25</v>
      </c>
      <c r="E100" s="242"/>
      <c r="F100" s="242"/>
      <c r="G100" s="242"/>
      <c r="H100" s="242"/>
      <c r="I100" s="242"/>
      <c r="J100" s="242"/>
    </row>
    <row r="101" spans="2:34" ht="15" x14ac:dyDescent="0.15">
      <c r="B101" s="242"/>
      <c r="C101" s="243"/>
      <c r="D101" s="243"/>
      <c r="E101" s="242"/>
      <c r="F101" s="242"/>
      <c r="G101" s="242"/>
      <c r="H101" s="242"/>
      <c r="I101" s="242"/>
      <c r="J101" s="242"/>
    </row>
    <row r="102" spans="2:34" ht="15" x14ac:dyDescent="0.15">
      <c r="B102" s="240" t="s">
        <v>648</v>
      </c>
      <c r="C102" s="240" t="s">
        <v>649</v>
      </c>
      <c r="D102" s="243"/>
      <c r="E102" s="242"/>
      <c r="F102" s="242"/>
      <c r="G102" s="242"/>
      <c r="H102" s="242"/>
      <c r="I102" s="242"/>
      <c r="J102" s="242"/>
    </row>
    <row r="103" spans="2:34" ht="15" x14ac:dyDescent="0.15">
      <c r="B103" s="242"/>
      <c r="C103" s="243"/>
      <c r="D103" s="243"/>
      <c r="E103" s="242"/>
      <c r="F103" s="242"/>
      <c r="G103" s="242"/>
      <c r="H103" s="242"/>
      <c r="I103" s="242"/>
      <c r="J103" s="242"/>
    </row>
    <row r="104" spans="2:34" s="226" customFormat="1" ht="15" x14ac:dyDescent="0.15">
      <c r="B104" s="244" t="s">
        <v>39</v>
      </c>
      <c r="C104" s="245" t="s">
        <v>650</v>
      </c>
      <c r="D104" s="241"/>
      <c r="AC104" s="236"/>
      <c r="AD104" s="236"/>
      <c r="AE104" s="236"/>
      <c r="AF104" s="236"/>
      <c r="AG104" s="236"/>
      <c r="AH104" s="236"/>
    </row>
    <row r="105" spans="2:34" s="226" customFormat="1" x14ac:dyDescent="0.15">
      <c r="AC105" s="236"/>
      <c r="AD105" s="236"/>
      <c r="AE105" s="236"/>
      <c r="AF105" s="236"/>
      <c r="AG105" s="236"/>
      <c r="AH105" s="236"/>
    </row>
    <row r="106" spans="2:34" s="226" customFormat="1" ht="15" x14ac:dyDescent="0.15">
      <c r="B106" s="244" t="s">
        <v>1200</v>
      </c>
      <c r="C106" s="245" t="s">
        <v>1201</v>
      </c>
      <c r="AC106" s="236"/>
      <c r="AD106" s="236"/>
      <c r="AE106" s="236"/>
      <c r="AF106" s="236"/>
      <c r="AG106" s="236"/>
      <c r="AH106" s="236"/>
    </row>
    <row r="107" spans="2:34" s="226" customFormat="1" x14ac:dyDescent="0.15">
      <c r="AC107" s="236"/>
      <c r="AD107" s="236"/>
      <c r="AE107" s="236"/>
      <c r="AF107" s="236"/>
      <c r="AG107" s="236"/>
      <c r="AH107" s="236"/>
    </row>
    <row r="108" spans="2:34" s="226" customFormat="1" ht="15" x14ac:dyDescent="0.15">
      <c r="B108" s="244" t="s">
        <v>62</v>
      </c>
      <c r="C108" s="245" t="s">
        <v>1203</v>
      </c>
      <c r="AC108" s="236"/>
      <c r="AD108" s="236"/>
      <c r="AE108" s="236"/>
      <c r="AF108" s="236"/>
      <c r="AG108" s="236"/>
      <c r="AH108" s="236"/>
    </row>
    <row r="109" spans="2:34" s="226" customFormat="1" x14ac:dyDescent="0.15">
      <c r="AC109" s="236"/>
      <c r="AD109" s="236"/>
      <c r="AE109" s="236"/>
      <c r="AF109" s="236"/>
      <c r="AG109" s="236"/>
      <c r="AH109" s="236"/>
    </row>
    <row r="110" spans="2:34" s="226" customFormat="1" ht="15" x14ac:dyDescent="0.15">
      <c r="B110" s="244" t="s">
        <v>1202</v>
      </c>
      <c r="C110" s="245" t="s">
        <v>1539</v>
      </c>
      <c r="AC110" s="236"/>
      <c r="AD110" s="236"/>
      <c r="AE110" s="236"/>
      <c r="AF110" s="236"/>
      <c r="AG110" s="236"/>
      <c r="AH110" s="236"/>
    </row>
    <row r="111" spans="2:34" s="226" customFormat="1" x14ac:dyDescent="0.15">
      <c r="AC111" s="236"/>
      <c r="AD111" s="236"/>
      <c r="AE111" s="236"/>
      <c r="AF111" s="236"/>
      <c r="AG111" s="236"/>
      <c r="AH111" s="236"/>
    </row>
    <row r="112" spans="2:34" s="226" customFormat="1" ht="15" x14ac:dyDescent="0.15">
      <c r="B112" s="246" t="s">
        <v>1204</v>
      </c>
      <c r="C112" s="247" t="s">
        <v>1205</v>
      </c>
      <c r="D112" s="228"/>
      <c r="E112" s="228"/>
      <c r="F112" s="228"/>
      <c r="G112" s="228"/>
      <c r="H112" s="228"/>
      <c r="I112" s="228"/>
      <c r="J112" s="228"/>
      <c r="K112" s="228"/>
      <c r="AC112" s="236"/>
      <c r="AD112" s="236"/>
      <c r="AE112" s="236"/>
      <c r="AF112" s="236"/>
      <c r="AG112" s="236"/>
      <c r="AH112" s="236"/>
    </row>
    <row r="113" spans="2:34" s="226" customFormat="1" x14ac:dyDescent="0.15">
      <c r="AC113" s="236"/>
      <c r="AD113" s="236"/>
      <c r="AE113" s="236"/>
      <c r="AF113" s="236"/>
      <c r="AG113" s="236"/>
      <c r="AH113" s="236"/>
    </row>
    <row r="114" spans="2:34" s="226" customFormat="1" x14ac:dyDescent="0.15">
      <c r="AC114" s="236"/>
      <c r="AD114" s="236"/>
      <c r="AE114" s="236"/>
      <c r="AF114" s="236"/>
      <c r="AG114" s="236"/>
      <c r="AH114" s="236"/>
    </row>
    <row r="117" spans="2:34" ht="18" x14ac:dyDescent="0.15">
      <c r="B117" s="233" t="s">
        <v>1526</v>
      </c>
      <c r="I117" s="6" t="str">
        <f>GUGS()</f>
        <v>GUGS: ver. 1.01</v>
      </c>
      <c r="K117" s="218"/>
      <c r="L117" s="218"/>
    </row>
    <row r="118" spans="2:34" x14ac:dyDescent="0.15">
      <c r="I118" s="218"/>
      <c r="J118" s="218"/>
      <c r="K118" s="218"/>
      <c r="L118" s="218"/>
    </row>
    <row r="119" spans="2:34" x14ac:dyDescent="0.15">
      <c r="B119" s="219" t="s">
        <v>163</v>
      </c>
      <c r="C119" s="219"/>
      <c r="D119" s="219"/>
      <c r="E119" s="219"/>
      <c r="F119" s="219"/>
      <c r="G119" s="219"/>
      <c r="H119" s="219"/>
      <c r="I119" s="220" t="s">
        <v>143</v>
      </c>
      <c r="J119" s="220" t="s">
        <v>149</v>
      </c>
      <c r="K119" s="220" t="s">
        <v>152</v>
      </c>
      <c r="L119" s="220" t="s">
        <v>162</v>
      </c>
    </row>
    <row r="120" spans="2:34" x14ac:dyDescent="0.15">
      <c r="B120" s="221" t="s">
        <v>1199</v>
      </c>
      <c r="C120" s="221"/>
      <c r="D120" s="221"/>
      <c r="E120" s="221"/>
      <c r="F120" s="221"/>
      <c r="G120" s="221"/>
      <c r="H120" s="221"/>
      <c r="I120" s="222"/>
      <c r="J120" s="222"/>
      <c r="K120" s="222"/>
      <c r="L120" s="222"/>
    </row>
    <row r="121" spans="2:34" x14ac:dyDescent="0.15">
      <c r="B121" s="5" t="str">
        <f>+'Data conversion'!A8</f>
        <v>a.</v>
      </c>
      <c r="C121" s="3" t="str">
        <f>+'Data conversion'!B8</f>
        <v>Data normalization</v>
      </c>
      <c r="I121" s="218" t="s">
        <v>144</v>
      </c>
      <c r="J121" s="218" t="s">
        <v>144</v>
      </c>
      <c r="K121" s="218" t="s">
        <v>144</v>
      </c>
      <c r="L121" s="218"/>
    </row>
    <row r="122" spans="2:34" x14ac:dyDescent="0.15">
      <c r="B122" s="5" t="str">
        <f>+'Data conversion'!A66</f>
        <v>b.</v>
      </c>
      <c r="C122" s="3" t="str">
        <f>+'Data conversion'!B66</f>
        <v>Data conversion</v>
      </c>
      <c r="I122" s="218" t="s">
        <v>144</v>
      </c>
      <c r="J122" s="256" t="s">
        <v>144</v>
      </c>
      <c r="K122" s="256" t="s">
        <v>144</v>
      </c>
      <c r="L122" s="218"/>
    </row>
    <row r="123" spans="2:34" x14ac:dyDescent="0.15">
      <c r="B123" s="5" t="str">
        <f>+'Data conversion'!A120</f>
        <v>c.</v>
      </c>
      <c r="C123" s="3" t="str">
        <f>+'Data conversion'!B120</f>
        <v>Obtain allele size difference of an SSR marker</v>
      </c>
      <c r="I123" s="218" t="s">
        <v>144</v>
      </c>
    </row>
    <row r="124" spans="2:34" x14ac:dyDescent="0.15">
      <c r="B124" s="5" t="str">
        <f>+'Data conversion'!A136</f>
        <v>d.</v>
      </c>
      <c r="C124" s="3" t="str">
        <f>+'Data conversion'!B136</f>
        <v>Convert Illumina's single-letter genotype to an SNP genotype</v>
      </c>
      <c r="K124" s="218" t="s">
        <v>144</v>
      </c>
    </row>
    <row r="125" spans="2:34" x14ac:dyDescent="0.15">
      <c r="B125" s="5" t="str">
        <f>+'Data conversion'!A165</f>
        <v>e.</v>
      </c>
      <c r="C125" s="3" t="str">
        <f>+'Data conversion'!B165</f>
        <v>Convert HapMap's single-letter genotype to an SNP genotype</v>
      </c>
      <c r="L125" s="218" t="s">
        <v>144</v>
      </c>
    </row>
    <row r="126" spans="2:34" x14ac:dyDescent="0.15">
      <c r="B126" s="224"/>
      <c r="C126" s="224"/>
      <c r="D126" s="224"/>
      <c r="E126" s="224"/>
      <c r="F126" s="224"/>
      <c r="G126" s="224"/>
      <c r="H126" s="224"/>
      <c r="I126" s="225"/>
      <c r="J126" s="225"/>
      <c r="K126" s="225"/>
      <c r="M126" s="225"/>
    </row>
    <row r="127" spans="2:34" x14ac:dyDescent="0.15">
      <c r="B127" s="221" t="s">
        <v>1198</v>
      </c>
      <c r="C127" s="221"/>
      <c r="D127" s="221"/>
      <c r="E127" s="221"/>
      <c r="F127" s="221"/>
      <c r="G127" s="221"/>
      <c r="H127" s="221"/>
      <c r="I127" s="222" t="s">
        <v>739</v>
      </c>
      <c r="J127" s="222" t="s">
        <v>740</v>
      </c>
      <c r="K127" s="222" t="s">
        <v>33</v>
      </c>
      <c r="L127" s="222" t="s">
        <v>731</v>
      </c>
      <c r="M127" s="218"/>
    </row>
    <row r="128" spans="2:34" x14ac:dyDescent="0.15">
      <c r="B128" s="5" t="str">
        <f>+'Basic analysis'!A8</f>
        <v>a.</v>
      </c>
      <c r="C128" s="3" t="str">
        <f>+'Basic analysis'!B8</f>
        <v>Right-side allele of genotype</v>
      </c>
      <c r="I128" s="218" t="s">
        <v>144</v>
      </c>
      <c r="J128" s="218" t="s">
        <v>144</v>
      </c>
      <c r="K128" s="218"/>
      <c r="M128" s="218"/>
    </row>
    <row r="129" spans="2:13" x14ac:dyDescent="0.15">
      <c r="B129" s="5" t="str">
        <f>+'Basic analysis'!A27</f>
        <v>b.</v>
      </c>
      <c r="C129" s="3" t="str">
        <f>+'Basic analysis'!B27</f>
        <v>Lleft-side allele of genotype</v>
      </c>
      <c r="I129" s="218" t="s">
        <v>144</v>
      </c>
      <c r="J129" s="218" t="s">
        <v>144</v>
      </c>
      <c r="K129" s="218"/>
      <c r="M129" s="218"/>
    </row>
    <row r="130" spans="2:13" x14ac:dyDescent="0.15">
      <c r="B130" s="5" t="str">
        <f>+'Basic analysis'!A46</f>
        <v>c.</v>
      </c>
      <c r="C130" s="3" t="str">
        <f>+'Basic analysis'!B46</f>
        <v>Examine homozygosity</v>
      </c>
      <c r="I130" s="218" t="s">
        <v>144</v>
      </c>
      <c r="J130" s="218" t="s">
        <v>144</v>
      </c>
      <c r="K130" s="218"/>
      <c r="M130" s="218"/>
    </row>
    <row r="131" spans="2:13" x14ac:dyDescent="0.15">
      <c r="B131" s="5" t="str">
        <f>+'Basic analysis'!A65</f>
        <v>d.</v>
      </c>
      <c r="C131" s="3" t="str">
        <f>+'Basic analysis'!B65</f>
        <v>Examine genotype identity</v>
      </c>
      <c r="I131" s="218" t="s">
        <v>144</v>
      </c>
      <c r="J131" s="218" t="s">
        <v>144</v>
      </c>
      <c r="K131" s="218"/>
      <c r="M131" s="218"/>
    </row>
    <row r="132" spans="2:13" x14ac:dyDescent="0.15">
      <c r="B132" s="5" t="str">
        <f>+'Basic analysis'!A88</f>
        <v>e.</v>
      </c>
      <c r="C132" s="3" t="str">
        <f>+'Basic analysis'!B88</f>
        <v>Test an allele is included in genotype data</v>
      </c>
      <c r="I132" s="218" t="s">
        <v>144</v>
      </c>
      <c r="J132" s="218" t="s">
        <v>144</v>
      </c>
    </row>
    <row r="133" spans="2:13" x14ac:dyDescent="0.15">
      <c r="B133" s="5" t="str">
        <f>+'Basic analysis'!A109</f>
        <v>f.</v>
      </c>
      <c r="C133" s="3" t="str">
        <f>+'Basic analysis'!B109</f>
        <v>Examine ploidy from an SSR genotype</v>
      </c>
      <c r="I133" s="218" t="s">
        <v>144</v>
      </c>
      <c r="J133" s="218"/>
    </row>
    <row r="134" spans="2:13" x14ac:dyDescent="0.15">
      <c r="B134" s="5" t="str">
        <f>+'Basic analysis'!A127</f>
        <v>g.</v>
      </c>
      <c r="C134" s="3" t="str">
        <f>+'Basic analysis'!B127</f>
        <v>Split genotype into alleles</v>
      </c>
      <c r="I134" s="218" t="s">
        <v>144</v>
      </c>
      <c r="J134" s="218" t="s">
        <v>144</v>
      </c>
    </row>
    <row r="135" spans="2:13" x14ac:dyDescent="0.15">
      <c r="B135" s="5" t="str">
        <f>+'Basic analysis'!A146</f>
        <v>h.</v>
      </c>
      <c r="C135" s="3" t="str">
        <f>+'Basic analysis'!B146</f>
        <v>Find a shared allele between two genotypes</v>
      </c>
      <c r="I135" s="218" t="s">
        <v>144</v>
      </c>
      <c r="J135" s="218" t="s">
        <v>144</v>
      </c>
    </row>
    <row r="136" spans="2:13" x14ac:dyDescent="0.15">
      <c r="C136" s="223"/>
      <c r="I136" s="218"/>
      <c r="J136" s="218"/>
    </row>
    <row r="137" spans="2:13" x14ac:dyDescent="0.15">
      <c r="B137" s="221" t="s">
        <v>1197</v>
      </c>
      <c r="C137" s="221"/>
      <c r="D137" s="221"/>
      <c r="E137" s="221"/>
      <c r="F137" s="221"/>
      <c r="G137" s="221"/>
      <c r="H137" s="221"/>
      <c r="I137" s="222" t="s">
        <v>739</v>
      </c>
      <c r="J137" s="222" t="s">
        <v>740</v>
      </c>
      <c r="K137" s="222" t="s">
        <v>33</v>
      </c>
      <c r="L137" s="222" t="s">
        <v>731</v>
      </c>
    </row>
    <row r="138" spans="2:13" x14ac:dyDescent="0.15">
      <c r="B138" s="5" t="str">
        <f>+'Linkage analysis'!A8</f>
        <v>a.</v>
      </c>
      <c r="C138" s="3" t="str">
        <f>+'Linkage analysis'!B8</f>
        <v>Estimate a segregation mode for CP mode</v>
      </c>
      <c r="I138" s="218" t="s">
        <v>144</v>
      </c>
      <c r="J138" s="218" t="s">
        <v>144</v>
      </c>
      <c r="K138" s="218"/>
    </row>
    <row r="139" spans="2:13" x14ac:dyDescent="0.15">
      <c r="B139" s="5" t="str">
        <f>+'Linkage analysis'!A20</f>
        <v>b.</v>
      </c>
      <c r="C139" s="3" t="str">
        <f>+'Linkage analysis'!B20</f>
        <v>Convert a genotype for CP mode</v>
      </c>
      <c r="I139" s="218" t="s">
        <v>144</v>
      </c>
      <c r="J139" s="218" t="s">
        <v>144</v>
      </c>
      <c r="K139" s="218"/>
    </row>
    <row r="140" spans="2:13" x14ac:dyDescent="0.15">
      <c r="B140" s="5" t="str">
        <f>+'Linkage analysis'!A36</f>
        <v>c.</v>
      </c>
      <c r="C140" s="3" t="str">
        <f>+'Linkage analysis'!B36</f>
        <v>Estimate a segregation mode for BC1 or F2 mode</v>
      </c>
      <c r="I140" s="218" t="s">
        <v>144</v>
      </c>
      <c r="J140" s="218" t="s">
        <v>144</v>
      </c>
      <c r="K140" s="218"/>
    </row>
    <row r="141" spans="2:13" x14ac:dyDescent="0.15">
      <c r="B141" s="5" t="str">
        <f>+'Linkage analysis'!A48</f>
        <v>d.</v>
      </c>
      <c r="C141" s="3" t="str">
        <f>+'Linkage analysis'!B48</f>
        <v>Convert a genotype for BC1 mode</v>
      </c>
      <c r="I141" s="218" t="s">
        <v>144</v>
      </c>
      <c r="J141" s="218" t="s">
        <v>144</v>
      </c>
      <c r="K141" s="218"/>
    </row>
    <row r="142" spans="2:13" x14ac:dyDescent="0.15">
      <c r="B142" s="5" t="str">
        <f>+'Linkage analysis'!A62</f>
        <v>e.</v>
      </c>
      <c r="C142" s="3" t="str">
        <f>+'Linkage analysis'!B62</f>
        <v>Convert a genotype for F2 mode</v>
      </c>
      <c r="I142" s="218" t="s">
        <v>144</v>
      </c>
      <c r="J142" s="218" t="s">
        <v>144</v>
      </c>
      <c r="K142" s="218"/>
    </row>
    <row r="143" spans="2:13" x14ac:dyDescent="0.15">
      <c r="B143" s="5" t="str">
        <f>+'Linkage analysis'!A76</f>
        <v>f.</v>
      </c>
      <c r="C143" s="3" t="str">
        <f>+'Linkage analysis'!B76</f>
        <v>Estimate a segregation of an M-formatted genotype</v>
      </c>
      <c r="I143" s="218" t="s">
        <v>144</v>
      </c>
      <c r="J143" s="218" t="s">
        <v>144</v>
      </c>
      <c r="K143" s="218"/>
    </row>
    <row r="144" spans="2:13" x14ac:dyDescent="0.15">
      <c r="B144" s="5" t="str">
        <f>+'Linkage analysis'!A84</f>
        <v>g.</v>
      </c>
      <c r="C144" s="3" t="str">
        <f>+'Linkage analysis'!B84</f>
        <v>Estimate a segregation mode of two parental genotypes according to BC1 or F2</v>
      </c>
      <c r="I144" s="218" t="s">
        <v>144</v>
      </c>
      <c r="J144" s="218" t="s">
        <v>144</v>
      </c>
      <c r="K144" s="218"/>
    </row>
    <row r="145" spans="2:12" x14ac:dyDescent="0.15">
      <c r="C145" s="223"/>
      <c r="I145" s="218"/>
      <c r="J145" s="218"/>
      <c r="K145" s="218"/>
    </row>
    <row r="146" spans="2:12" x14ac:dyDescent="0.15">
      <c r="B146" s="221" t="s">
        <v>1525</v>
      </c>
      <c r="C146" s="221"/>
      <c r="D146" s="221"/>
      <c r="E146" s="221"/>
      <c r="F146" s="221"/>
      <c r="G146" s="221"/>
      <c r="H146" s="221"/>
      <c r="I146" s="222" t="s">
        <v>739</v>
      </c>
      <c r="J146" s="222" t="s">
        <v>740</v>
      </c>
      <c r="K146" s="222" t="s">
        <v>33</v>
      </c>
      <c r="L146" s="222" t="s">
        <v>731</v>
      </c>
    </row>
    <row r="147" spans="2:12" x14ac:dyDescent="0.15">
      <c r="B147" s="5" t="str">
        <f>+'Data set analysis'!A40</f>
        <v>a.</v>
      </c>
      <c r="C147" s="3" t="str">
        <f>+'Data set analysis'!B40</f>
        <v>Number of unique alleles in a designated dataset</v>
      </c>
      <c r="I147" s="218" t="s">
        <v>144</v>
      </c>
      <c r="J147" s="218" t="s">
        <v>144</v>
      </c>
      <c r="K147" s="218" t="s">
        <v>144</v>
      </c>
      <c r="L147" s="218" t="s">
        <v>144</v>
      </c>
    </row>
    <row r="148" spans="2:12" x14ac:dyDescent="0.15">
      <c r="B148" s="5" t="str">
        <f>+'Data set analysis'!A61</f>
        <v>b.</v>
      </c>
      <c r="C148" s="3" t="str">
        <f>+'Data set analysis'!B61</f>
        <v>Number of unique genotypes in a designated dataset</v>
      </c>
      <c r="I148" s="218" t="s">
        <v>144</v>
      </c>
      <c r="J148" s="218" t="s">
        <v>144</v>
      </c>
      <c r="K148" s="218" t="s">
        <v>144</v>
      </c>
    </row>
    <row r="149" spans="2:12" x14ac:dyDescent="0.15">
      <c r="B149" s="5" t="str">
        <f>+'Data set analysis'!A83</f>
        <v>c.</v>
      </c>
      <c r="C149" s="3" t="str">
        <f>+'Data set analysis'!B83</f>
        <v>A unique allele in a designated dataset</v>
      </c>
      <c r="I149" s="218" t="s">
        <v>144</v>
      </c>
      <c r="J149" s="218" t="s">
        <v>144</v>
      </c>
      <c r="K149" s="218" t="s">
        <v>144</v>
      </c>
      <c r="L149" s="218" t="s">
        <v>144</v>
      </c>
    </row>
    <row r="150" spans="2:12" x14ac:dyDescent="0.15">
      <c r="B150" s="5" t="str">
        <f>+'Data set analysis'!A133</f>
        <v>d.</v>
      </c>
      <c r="C150" s="3" t="str">
        <f>+'Data set analysis'!B133</f>
        <v>A unique genotype in a designated dataset</v>
      </c>
      <c r="I150" s="218" t="s">
        <v>144</v>
      </c>
      <c r="J150" s="218" t="s">
        <v>144</v>
      </c>
      <c r="K150" s="218" t="s">
        <v>144</v>
      </c>
    </row>
    <row r="151" spans="2:12" x14ac:dyDescent="0.15">
      <c r="B151" s="5" t="str">
        <f>+'Data set analysis'!A173</f>
        <v>e.</v>
      </c>
      <c r="C151" s="3" t="str">
        <f>+'Data set analysis'!B173</f>
        <v>Ratio of matched genotypes by pairwise comparison between the two datasets</v>
      </c>
      <c r="I151" s="218" t="s">
        <v>144</v>
      </c>
      <c r="J151" s="218" t="s">
        <v>144</v>
      </c>
      <c r="K151" s="218" t="s">
        <v>144</v>
      </c>
      <c r="L151" s="218" t="s">
        <v>144</v>
      </c>
    </row>
    <row r="152" spans="2:12" x14ac:dyDescent="0.15">
      <c r="B152" s="5" t="str">
        <f>+'Data set analysis'!A224</f>
        <v>f.</v>
      </c>
      <c r="C152" s="3" t="str">
        <f>+'Data set analysis'!B224</f>
        <v>Ratio of matched alleles by pairwise comparison between the two datasets</v>
      </c>
      <c r="I152" s="218" t="s">
        <v>144</v>
      </c>
      <c r="J152" s="218" t="s">
        <v>144</v>
      </c>
      <c r="K152" s="218" t="s">
        <v>144</v>
      </c>
    </row>
    <row r="153" spans="2:12" x14ac:dyDescent="0.15">
      <c r="C153" s="223"/>
      <c r="I153" s="218"/>
      <c r="J153" s="218"/>
      <c r="K153" s="218"/>
      <c r="L153" s="218"/>
    </row>
    <row r="154" spans="2:12" x14ac:dyDescent="0.15">
      <c r="B154" s="221" t="s">
        <v>1196</v>
      </c>
      <c r="C154" s="221"/>
      <c r="D154" s="221"/>
      <c r="E154" s="221"/>
      <c r="F154" s="221"/>
      <c r="G154" s="221"/>
      <c r="H154" s="221"/>
      <c r="I154" s="222" t="s">
        <v>739</v>
      </c>
      <c r="J154" s="222" t="s">
        <v>740</v>
      </c>
      <c r="K154" s="222" t="s">
        <v>33</v>
      </c>
      <c r="L154" s="222" t="s">
        <v>731</v>
      </c>
    </row>
    <row r="155" spans="2:12" x14ac:dyDescent="0.15">
      <c r="B155" s="5" t="str">
        <f>+'Freq analysis'!A41</f>
        <v>a.</v>
      </c>
      <c r="C155" s="3" t="str">
        <f>+'Freq analysis'!B41</f>
        <v>Frequency of a particular allele in a designated dataset</v>
      </c>
      <c r="I155" s="218" t="s">
        <v>144</v>
      </c>
      <c r="J155" s="218" t="s">
        <v>144</v>
      </c>
      <c r="K155" s="218" t="s">
        <v>144</v>
      </c>
      <c r="L155" s="218" t="s">
        <v>144</v>
      </c>
    </row>
    <row r="156" spans="2:12" x14ac:dyDescent="0.15">
      <c r="B156" s="5" t="str">
        <f>+'Freq analysis'!A71</f>
        <v>b.</v>
      </c>
      <c r="C156" s="3" t="str">
        <f>+'Freq analysis'!B71</f>
        <v>Frequency of a particular genotype in a designated dataset</v>
      </c>
      <c r="I156" s="218" t="s">
        <v>144</v>
      </c>
      <c r="J156" s="218" t="s">
        <v>144</v>
      </c>
      <c r="K156" s="218" t="s">
        <v>144</v>
      </c>
    </row>
    <row r="157" spans="2:12" x14ac:dyDescent="0.15">
      <c r="B157" s="5" t="str">
        <f>+'Freq analysis'!A101</f>
        <v>c.</v>
      </c>
      <c r="C157" s="3" t="str">
        <f>+'Freq analysis'!B101</f>
        <v>Observed heterozygosity (Ho)</v>
      </c>
      <c r="I157" s="218" t="s">
        <v>144</v>
      </c>
      <c r="J157" s="218" t="s">
        <v>144</v>
      </c>
      <c r="K157" s="218" t="s">
        <v>144</v>
      </c>
    </row>
    <row r="158" spans="2:12" x14ac:dyDescent="0.15">
      <c r="B158" s="5" t="str">
        <f>+'Freq analysis'!A116</f>
        <v>d.</v>
      </c>
      <c r="C158" s="3" t="str">
        <f>+'Freq analysis'!B116</f>
        <v>Expected heterozygosity (He)</v>
      </c>
      <c r="I158" s="218" t="s">
        <v>144</v>
      </c>
      <c r="J158" s="218" t="s">
        <v>144</v>
      </c>
      <c r="K158" s="218" t="s">
        <v>144</v>
      </c>
    </row>
    <row r="159" spans="2:12" x14ac:dyDescent="0.15">
      <c r="B159" s="5" t="str">
        <f>+'Freq analysis'!A130</f>
        <v>e.</v>
      </c>
      <c r="C159" s="3" t="str">
        <f>+'Freq analysis'!B130</f>
        <v>Polymorphic information content (PIC)</v>
      </c>
      <c r="I159" s="218" t="s">
        <v>144</v>
      </c>
      <c r="J159" s="218" t="s">
        <v>144</v>
      </c>
      <c r="K159" s="218" t="s">
        <v>144</v>
      </c>
    </row>
    <row r="160" spans="2:12" x14ac:dyDescent="0.15">
      <c r="B160" s="5" t="str">
        <f>+'Freq analysis'!A145</f>
        <v>f.</v>
      </c>
      <c r="C160" s="3" t="str">
        <f>+'Freq analysis'!B145</f>
        <v>Match probability (PM)</v>
      </c>
      <c r="I160" s="218" t="s">
        <v>144</v>
      </c>
      <c r="J160" s="218" t="s">
        <v>144</v>
      </c>
      <c r="K160" s="218" t="s">
        <v>144</v>
      </c>
    </row>
    <row r="161" spans="2:12" x14ac:dyDescent="0.15">
      <c r="B161" s="5" t="str">
        <f>+'Freq analysis'!A160</f>
        <v>g.</v>
      </c>
      <c r="C161" s="3" t="str">
        <f>+'Freq analysis'!B160</f>
        <v>Power of discrimination (PD)</v>
      </c>
      <c r="I161" s="218" t="s">
        <v>144</v>
      </c>
      <c r="J161" s="218" t="s">
        <v>144</v>
      </c>
      <c r="K161" s="218" t="s">
        <v>144</v>
      </c>
    </row>
    <row r="162" spans="2:12" x14ac:dyDescent="0.15">
      <c r="B162" s="5" t="str">
        <f>+'Freq analysis'!A175</f>
        <v>h.</v>
      </c>
      <c r="C162" s="3" t="str">
        <f>+'Freq analysis'!B175</f>
        <v>Unbiased estimator of expected heterozygosity for a random population (GD)</v>
      </c>
      <c r="I162" s="218" t="s">
        <v>144</v>
      </c>
      <c r="J162" s="218" t="s">
        <v>144</v>
      </c>
      <c r="K162" s="218" t="s">
        <v>144</v>
      </c>
    </row>
    <row r="163" spans="2:12" x14ac:dyDescent="0.15">
      <c r="B163" s="5" t="str">
        <f>+'Freq analysis'!A189</f>
        <v>i.</v>
      </c>
      <c r="C163" s="3" t="str">
        <f>+'Freq analysis'!B189</f>
        <v>Unbiased estimator of expected heterozygosity for a selfed population (GD2)</v>
      </c>
      <c r="I163" s="256" t="s">
        <v>144</v>
      </c>
      <c r="J163" s="256" t="s">
        <v>144</v>
      </c>
      <c r="K163" s="256" t="s">
        <v>144</v>
      </c>
      <c r="L163" s="256" t="s">
        <v>144</v>
      </c>
    </row>
    <row r="164" spans="2:12" x14ac:dyDescent="0.15">
      <c r="B164" s="5" t="str">
        <f>+'Freq analysis'!A203</f>
        <v>j.</v>
      </c>
      <c r="C164" s="3" t="str">
        <f>+'Freq analysis'!B203</f>
        <v xml:space="preserve">Direct product of genotype frequency (f0) according to Ukai’s theory of varietal identification </v>
      </c>
      <c r="I164" s="218"/>
      <c r="J164" s="218"/>
      <c r="K164" s="218"/>
      <c r="L164" s="218"/>
    </row>
    <row r="165" spans="2:12" ht="29.25" customHeight="1" x14ac:dyDescent="0.15">
      <c r="B165" s="5" t="str">
        <f>+'Freq analysis'!A211</f>
        <v>k.</v>
      </c>
      <c r="C165" s="285" t="str">
        <f>+'Freq analysis'!B211</f>
        <v>Probability that a randomly selected individual will show a genotype identical to a particular individual</v>
      </c>
      <c r="D165" s="285"/>
      <c r="E165" s="285"/>
      <c r="F165" s="285"/>
      <c r="G165" s="285"/>
      <c r="H165" s="285"/>
      <c r="I165" s="256" t="s">
        <v>144</v>
      </c>
      <c r="J165" s="256" t="s">
        <v>144</v>
      </c>
      <c r="K165" s="256" t="s">
        <v>144</v>
      </c>
      <c r="L165" s="256" t="s">
        <v>144</v>
      </c>
    </row>
    <row r="167" spans="2:12" x14ac:dyDescent="0.15">
      <c r="B167" s="221" t="s">
        <v>1195</v>
      </c>
      <c r="C167" s="221"/>
      <c r="D167" s="221"/>
      <c r="E167" s="221"/>
      <c r="F167" s="221"/>
      <c r="G167" s="221"/>
      <c r="H167" s="221"/>
      <c r="I167" s="222" t="s">
        <v>739</v>
      </c>
      <c r="J167" s="222" t="s">
        <v>740</v>
      </c>
      <c r="K167" s="222" t="s">
        <v>33</v>
      </c>
      <c r="L167" s="222" t="s">
        <v>731</v>
      </c>
    </row>
    <row r="168" spans="2:12" x14ac:dyDescent="0.15">
      <c r="B168" s="257" t="str">
        <f>+'Genetic data analysis'!A8</f>
        <v>a.</v>
      </c>
      <c r="C168" s="261" t="str">
        <f>+'Genetic data analysis'!B8</f>
        <v>Allele sharing test (single parent test)</v>
      </c>
      <c r="I168" s="218" t="s">
        <v>144</v>
      </c>
      <c r="J168" s="218" t="s">
        <v>144</v>
      </c>
      <c r="K168" s="218" t="s">
        <v>144</v>
      </c>
    </row>
    <row r="169" spans="2:12" x14ac:dyDescent="0.15">
      <c r="B169" s="5" t="str">
        <f>+'Genetic data analysis'!A28</f>
        <v>b.</v>
      </c>
      <c r="C169" s="255" t="str">
        <f>+'Genetic data analysis'!B28</f>
        <v>Trio test (family test)</v>
      </c>
      <c r="I169" s="218" t="s">
        <v>144</v>
      </c>
      <c r="J169" s="218" t="s">
        <v>144</v>
      </c>
      <c r="K169" s="218" t="s">
        <v>737</v>
      </c>
    </row>
    <row r="170" spans="2:12" x14ac:dyDescent="0.15">
      <c r="B170" s="5" t="str">
        <f>+'Genetic data analysis'!A70</f>
        <v>c.</v>
      </c>
      <c r="C170" s="255" t="str">
        <f>+'Genetic data analysis'!B70</f>
        <v>Probability of obtaining a particular offspring from parents, T(g0|gm, ga)</v>
      </c>
      <c r="I170" s="218" t="s">
        <v>144</v>
      </c>
      <c r="J170" s="218" t="s">
        <v>144</v>
      </c>
      <c r="K170" s="218" t="s">
        <v>737</v>
      </c>
    </row>
    <row r="171" spans="2:12" x14ac:dyDescent="0.15">
      <c r="B171" s="5" t="str">
        <f>+'Genetic data analysis'!A90</f>
        <v>d.</v>
      </c>
      <c r="C171" s="255" t="str">
        <f>+'Genetic data analysis'!B90</f>
        <v>Probability of obtaining a particular offspring from a random mating population</v>
      </c>
      <c r="I171" s="218" t="s">
        <v>144</v>
      </c>
      <c r="J171" s="218" t="s">
        <v>144</v>
      </c>
      <c r="K171" s="218" t="s">
        <v>737</v>
      </c>
    </row>
    <row r="172" spans="2:12" ht="27" customHeight="1" x14ac:dyDescent="0.15">
      <c r="B172" s="5" t="str">
        <f>+'Genetic data analysis'!A139</f>
        <v>e.</v>
      </c>
      <c r="C172" s="285" t="str">
        <f>+'Genetic data analysis'!B139</f>
        <v>Probability of obtaining a particular offspring from an individual of the population and an alleged parent</v>
      </c>
      <c r="D172" s="285"/>
      <c r="E172" s="285"/>
      <c r="F172" s="285"/>
      <c r="G172" s="285"/>
      <c r="H172" s="285"/>
      <c r="I172" s="218" t="s">
        <v>144</v>
      </c>
      <c r="J172" s="218" t="s">
        <v>144</v>
      </c>
      <c r="K172" s="218"/>
    </row>
    <row r="173" spans="2:12" x14ac:dyDescent="0.15">
      <c r="B173" s="226"/>
      <c r="C173" s="226"/>
      <c r="D173" s="226"/>
      <c r="E173" s="226"/>
      <c r="F173" s="226"/>
      <c r="G173" s="226"/>
      <c r="H173" s="226"/>
      <c r="I173" s="226"/>
      <c r="J173" s="226"/>
      <c r="K173" s="226"/>
      <c r="L173" s="226"/>
    </row>
    <row r="174" spans="2:12" x14ac:dyDescent="0.15">
      <c r="B174" s="221" t="s">
        <v>1194</v>
      </c>
      <c r="C174" s="221"/>
      <c r="D174" s="221"/>
      <c r="E174" s="221"/>
      <c r="F174" s="221"/>
      <c r="G174" s="221"/>
      <c r="H174" s="221"/>
      <c r="I174" s="222" t="s">
        <v>1015</v>
      </c>
      <c r="J174" s="222" t="s">
        <v>1016</v>
      </c>
      <c r="K174" s="222" t="s">
        <v>62</v>
      </c>
      <c r="L174" s="222" t="s">
        <v>1017</v>
      </c>
    </row>
    <row r="175" spans="2:12" x14ac:dyDescent="0.15">
      <c r="B175" s="257" t="str">
        <f>+'Sequence manipulation'!A8</f>
        <v>a.</v>
      </c>
      <c r="C175" s="223" t="str">
        <f>+'Sequence manipulation'!B8</f>
        <v>Complementary nucleotide</v>
      </c>
      <c r="I175" s="218" t="s">
        <v>144</v>
      </c>
      <c r="J175" s="218" t="s">
        <v>144</v>
      </c>
      <c r="K175" s="218"/>
      <c r="L175" s="218"/>
    </row>
    <row r="176" spans="2:12" x14ac:dyDescent="0.15">
      <c r="B176" s="257" t="str">
        <f>+'Sequence manipulation'!A26</f>
        <v>b.</v>
      </c>
      <c r="C176" s="223" t="str">
        <f>+'Sequence manipulation'!B26</f>
        <v>Complementary sequence</v>
      </c>
      <c r="I176" s="218" t="s">
        <v>144</v>
      </c>
      <c r="J176" s="218" t="s">
        <v>144</v>
      </c>
      <c r="K176" s="218" t="s">
        <v>144</v>
      </c>
      <c r="L176" s="218"/>
    </row>
    <row r="177" spans="2:12" x14ac:dyDescent="0.15">
      <c r="B177" s="257" t="str">
        <f>+'Sequence manipulation'!A45</f>
        <v>c.</v>
      </c>
      <c r="C177" s="223" t="str">
        <f>+'Sequence manipulation'!B45</f>
        <v>Reverse sequence</v>
      </c>
      <c r="I177" s="218" t="s">
        <v>144</v>
      </c>
      <c r="J177" s="218" t="s">
        <v>144</v>
      </c>
      <c r="K177" s="256" t="s">
        <v>144</v>
      </c>
      <c r="L177" s="218"/>
    </row>
    <row r="178" spans="2:12" x14ac:dyDescent="0.15">
      <c r="B178" s="257" t="str">
        <f>+'Sequence manipulation'!A64</f>
        <v>d.</v>
      </c>
      <c r="C178" s="223" t="str">
        <f>+'Sequence manipulation'!B64</f>
        <v>Reverse complementary sequence</v>
      </c>
      <c r="H178" s="227"/>
      <c r="I178" s="218" t="s">
        <v>144</v>
      </c>
      <c r="J178" s="218" t="s">
        <v>144</v>
      </c>
      <c r="K178" s="218"/>
      <c r="L178" s="218"/>
    </row>
    <row r="179" spans="2:12" x14ac:dyDescent="0.15">
      <c r="B179" s="257" t="str">
        <f>+'Sequence manipulation'!A83</f>
        <v>e.</v>
      </c>
      <c r="C179" s="223" t="str">
        <f>+'Sequence manipulation'!B83</f>
        <v>Split the sequence with space</v>
      </c>
      <c r="H179" s="227"/>
      <c r="I179" s="218" t="s">
        <v>144</v>
      </c>
      <c r="J179" s="218" t="s">
        <v>144</v>
      </c>
      <c r="K179" s="218" t="s">
        <v>144</v>
      </c>
      <c r="L179" s="256"/>
    </row>
    <row r="180" spans="2:12" x14ac:dyDescent="0.15">
      <c r="B180" s="257" t="str">
        <f>+'Sequence manipulation'!A104</f>
        <v>f.</v>
      </c>
      <c r="C180" s="223" t="str">
        <f>+'Sequence manipulation'!B104</f>
        <v>Bracketing a character in the sequence</v>
      </c>
      <c r="H180" s="227"/>
      <c r="I180" s="218" t="s">
        <v>144</v>
      </c>
      <c r="J180" s="218" t="s">
        <v>144</v>
      </c>
      <c r="K180" s="218" t="s">
        <v>144</v>
      </c>
      <c r="L180" s="256"/>
    </row>
    <row r="181" spans="2:12" x14ac:dyDescent="0.15">
      <c r="B181" s="257" t="str">
        <f>+'Sequence manipulation'!A125</f>
        <v>g.</v>
      </c>
      <c r="C181" s="223" t="str">
        <f>+'Sequence manipulation'!B125</f>
        <v>Remove extra code in the sequence</v>
      </c>
      <c r="I181" s="218" t="s">
        <v>144</v>
      </c>
      <c r="J181" s="256" t="s">
        <v>144</v>
      </c>
      <c r="K181" s="256" t="s">
        <v>144</v>
      </c>
      <c r="L181" s="256"/>
    </row>
    <row r="182" spans="2:12" x14ac:dyDescent="0.15">
      <c r="B182" s="257" t="str">
        <f>+'Sequence manipulation'!A146</f>
        <v>h.</v>
      </c>
      <c r="C182" s="223" t="str">
        <f>+'Sequence manipulation'!B146</f>
        <v>Convert a DNA code to RNA code</v>
      </c>
      <c r="H182" s="227"/>
      <c r="I182" s="218" t="s">
        <v>144</v>
      </c>
      <c r="K182" s="218"/>
      <c r="L182" s="218"/>
    </row>
    <row r="183" spans="2:12" x14ac:dyDescent="0.15">
      <c r="B183" s="257" t="str">
        <f>+'Sequence manipulation'!A166</f>
        <v>i.</v>
      </c>
      <c r="C183" s="223" t="str">
        <f>+'Sequence manipulation'!B166</f>
        <v>Convert an RNA code to DNA code</v>
      </c>
      <c r="I183" s="218"/>
      <c r="J183" s="218" t="s">
        <v>144</v>
      </c>
      <c r="K183" s="218"/>
      <c r="L183" s="218"/>
    </row>
    <row r="184" spans="2:12" x14ac:dyDescent="0.15">
      <c r="B184" s="257" t="str">
        <f>+'Sequence manipulation'!A186</f>
        <v>j.</v>
      </c>
      <c r="C184" s="223" t="str">
        <f>+'Sequence manipulation'!B186</f>
        <v>Convert DNA sequence to RNA sequence</v>
      </c>
      <c r="I184" s="218" t="s">
        <v>144</v>
      </c>
      <c r="J184" s="218"/>
      <c r="K184" s="218"/>
      <c r="L184" s="218"/>
    </row>
    <row r="185" spans="2:12" x14ac:dyDescent="0.15">
      <c r="B185" s="257" t="str">
        <f>+'Sequence manipulation'!A205</f>
        <v>k.</v>
      </c>
      <c r="C185" s="223" t="str">
        <f>+'Sequence manipulation'!B205</f>
        <v>Convert RNA sequence to DNA sequence</v>
      </c>
      <c r="I185" s="218"/>
      <c r="J185" s="218" t="s">
        <v>144</v>
      </c>
      <c r="K185" s="218"/>
    </row>
    <row r="186" spans="2:12" x14ac:dyDescent="0.15">
      <c r="B186" s="257" t="str">
        <f>+'Sequence manipulation'!A224</f>
        <v>l.</v>
      </c>
      <c r="C186" s="223" t="str">
        <f>+'Sequence manipulation'!B224</f>
        <v>Format the sequence by insert line feed at same interval</v>
      </c>
      <c r="I186" s="218" t="s">
        <v>144</v>
      </c>
      <c r="J186" s="218" t="s">
        <v>144</v>
      </c>
      <c r="K186" s="256" t="s">
        <v>144</v>
      </c>
      <c r="L186" s="256" t="s">
        <v>144</v>
      </c>
    </row>
    <row r="187" spans="2:12" x14ac:dyDescent="0.15">
      <c r="B187" s="257" t="str">
        <f>+'Sequence manipulation'!A246</f>
        <v>m.</v>
      </c>
      <c r="C187" s="223" t="str">
        <f>+'Sequence manipulation'!B246</f>
        <v>Extract 5' nucleotide sequence</v>
      </c>
      <c r="I187" s="218" t="s">
        <v>144</v>
      </c>
      <c r="J187" s="218" t="s">
        <v>144</v>
      </c>
      <c r="K187" s="218"/>
      <c r="L187" s="218"/>
    </row>
    <row r="188" spans="2:12" x14ac:dyDescent="0.15">
      <c r="B188" s="257" t="str">
        <f>+'Sequence manipulation'!A270</f>
        <v>n.</v>
      </c>
      <c r="C188" s="223" t="str">
        <f>+'Sequence manipulation'!B270</f>
        <v>Extract the 3' nucleotide sequence for N bases</v>
      </c>
      <c r="I188" s="218" t="s">
        <v>144</v>
      </c>
      <c r="J188" s="218" t="s">
        <v>144</v>
      </c>
      <c r="K188" s="218"/>
      <c r="L188" s="218"/>
    </row>
    <row r="189" spans="2:12" x14ac:dyDescent="0.15">
      <c r="B189" s="257" t="str">
        <f>+'Sequence manipulation'!A294</f>
        <v>o.</v>
      </c>
      <c r="C189" s="223" t="str">
        <f>+'Sequence manipulation'!B294</f>
        <v>Convert nucleotide sequence to amino acid sequence</v>
      </c>
      <c r="I189" s="218" t="s">
        <v>144</v>
      </c>
      <c r="J189" s="218" t="s">
        <v>144</v>
      </c>
      <c r="K189" s="218"/>
      <c r="L189" s="218"/>
    </row>
    <row r="190" spans="2:12" x14ac:dyDescent="0.15">
      <c r="B190" s="257" t="str">
        <f>+'Sequence manipulation'!A321</f>
        <v>p.</v>
      </c>
      <c r="C190" s="223" t="str">
        <f>+'Sequence manipulation'!B321</f>
        <v>Nucleotide composition and sequence length</v>
      </c>
      <c r="I190" s="218" t="s">
        <v>144</v>
      </c>
      <c r="J190" s="218" t="s">
        <v>144</v>
      </c>
      <c r="K190" s="218"/>
      <c r="L190" s="218"/>
    </row>
    <row r="191" spans="2:12" x14ac:dyDescent="0.15">
      <c r="B191" s="258" t="str">
        <f>+'Sequence manipulation'!A338</f>
        <v>q.</v>
      </c>
      <c r="C191" s="249" t="str">
        <f>+'Sequence manipulation'!B338</f>
        <v>GC ratio of the nucleic acid sequence</v>
      </c>
      <c r="D191" s="226"/>
      <c r="E191" s="226"/>
      <c r="F191" s="226"/>
      <c r="G191" s="226"/>
      <c r="H191" s="248"/>
      <c r="I191" s="236" t="s">
        <v>144</v>
      </c>
      <c r="J191" s="236" t="s">
        <v>144</v>
      </c>
      <c r="K191" s="236"/>
      <c r="L191" s="236"/>
    </row>
    <row r="192" spans="2:12" x14ac:dyDescent="0.15">
      <c r="B192" s="258" t="str">
        <f>+'Sequence manipulation'!A355</f>
        <v>r.</v>
      </c>
      <c r="C192" s="249" t="str">
        <f>+'Sequence manipulation'!B355</f>
        <v>Count the occurrence of a motif in the target sequence</v>
      </c>
      <c r="D192" s="226"/>
      <c r="E192" s="226"/>
      <c r="F192" s="226"/>
      <c r="G192" s="226"/>
      <c r="H192" s="226"/>
      <c r="I192" s="236" t="s">
        <v>144</v>
      </c>
      <c r="J192" s="236" t="s">
        <v>144</v>
      </c>
      <c r="K192" s="236" t="s">
        <v>144</v>
      </c>
      <c r="L192" s="236" t="s">
        <v>144</v>
      </c>
    </row>
    <row r="193" spans="1:12" x14ac:dyDescent="0.15">
      <c r="B193" s="258" t="str">
        <f>+'Sequence manipulation'!A384</f>
        <v>s.</v>
      </c>
      <c r="C193" s="249" t="str">
        <f>+'Sequence manipulation'!B384</f>
        <v>Find the first position of a motif sequence appeared in the target sequence</v>
      </c>
      <c r="D193" s="226"/>
      <c r="E193" s="226"/>
      <c r="F193" s="226"/>
      <c r="G193" s="226"/>
      <c r="H193" s="226"/>
      <c r="I193" s="236" t="s">
        <v>144</v>
      </c>
      <c r="J193" s="236" t="s">
        <v>144</v>
      </c>
      <c r="K193" s="236" t="s">
        <v>144</v>
      </c>
      <c r="L193" s="236" t="s">
        <v>144</v>
      </c>
    </row>
    <row r="194" spans="1:12" x14ac:dyDescent="0.15">
      <c r="B194" s="258" t="str">
        <f>+'Sequence manipulation'!A413</f>
        <v>t.</v>
      </c>
      <c r="C194" s="249" t="str">
        <f>+'Sequence manipulation'!B413</f>
        <v>List of positions of the motif sequence appeared in the target sequence</v>
      </c>
      <c r="D194" s="226"/>
      <c r="E194" s="226"/>
      <c r="F194" s="226"/>
      <c r="G194" s="226"/>
      <c r="H194" s="226"/>
      <c r="I194" s="236" t="s">
        <v>144</v>
      </c>
      <c r="J194" s="236" t="s">
        <v>144</v>
      </c>
      <c r="K194" s="236" t="s">
        <v>144</v>
      </c>
      <c r="L194" s="236" t="s">
        <v>144</v>
      </c>
    </row>
    <row r="195" spans="1:12" x14ac:dyDescent="0.15">
      <c r="B195" s="259" t="str">
        <f>+'Sequence manipulation'!A437</f>
        <v>u.</v>
      </c>
      <c r="C195" s="226" t="str">
        <f>+'Sequence manipulation'!B437</f>
        <v>Mark the all motif sequence appeared in the target sequence</v>
      </c>
      <c r="D195" s="226"/>
      <c r="E195" s="226"/>
      <c r="F195" s="226"/>
      <c r="G195" s="226"/>
      <c r="H195" s="226"/>
      <c r="I195" s="236" t="s">
        <v>144</v>
      </c>
      <c r="J195" s="236" t="s">
        <v>144</v>
      </c>
      <c r="K195" s="236" t="s">
        <v>144</v>
      </c>
      <c r="L195" s="236" t="s">
        <v>144</v>
      </c>
    </row>
    <row r="196" spans="1:12" x14ac:dyDescent="0.15">
      <c r="B196" s="259" t="str">
        <f>+'Sequence manipulation'!A461</f>
        <v>v.</v>
      </c>
      <c r="C196" s="226" t="str">
        <f>+'Sequence manipulation'!B461</f>
        <v>Match the query sequence to the reference sequence</v>
      </c>
      <c r="D196" s="226"/>
      <c r="E196" s="226"/>
      <c r="F196" s="226"/>
      <c r="G196" s="226"/>
      <c r="H196" s="248"/>
      <c r="I196" s="236" t="s">
        <v>144</v>
      </c>
      <c r="J196" s="236" t="s">
        <v>144</v>
      </c>
      <c r="K196" s="236" t="s">
        <v>144</v>
      </c>
      <c r="L196" s="236" t="s">
        <v>144</v>
      </c>
    </row>
    <row r="197" spans="1:12" x14ac:dyDescent="0.15">
      <c r="B197" s="259" t="str">
        <f>+'Sequence manipulation'!A487</f>
        <v>w.</v>
      </c>
      <c r="C197" s="226" t="str">
        <f>+'Sequence manipulation'!B487</f>
        <v>Ratio of the matched query sequence to the reference sequence</v>
      </c>
      <c r="D197" s="226"/>
      <c r="E197" s="226"/>
      <c r="F197" s="226"/>
      <c r="G197" s="226"/>
      <c r="H197" s="248"/>
      <c r="I197" s="236" t="s">
        <v>144</v>
      </c>
      <c r="J197" s="236" t="s">
        <v>144</v>
      </c>
      <c r="K197" s="236" t="s">
        <v>144</v>
      </c>
      <c r="L197" s="236" t="s">
        <v>144</v>
      </c>
    </row>
    <row r="198" spans="1:12" x14ac:dyDescent="0.15">
      <c r="B198" s="260" t="str">
        <f>+'Sequence manipulation'!A512</f>
        <v>x.</v>
      </c>
      <c r="C198" s="228" t="str">
        <f>+'Sequence manipulation'!B512</f>
        <v>Prune the unnecessary sequence and select the sequence inside the bracket</v>
      </c>
      <c r="D198" s="228"/>
      <c r="E198" s="228"/>
      <c r="F198" s="228"/>
      <c r="G198" s="228"/>
      <c r="H198" s="229"/>
      <c r="I198" s="230" t="s">
        <v>144</v>
      </c>
      <c r="J198" s="230" t="s">
        <v>144</v>
      </c>
      <c r="K198" s="230" t="s">
        <v>144</v>
      </c>
      <c r="L198" s="230" t="s">
        <v>144</v>
      </c>
    </row>
    <row r="199" spans="1:12" x14ac:dyDescent="0.15">
      <c r="H199" s="227"/>
    </row>
    <row r="203" spans="1:12" x14ac:dyDescent="0.15">
      <c r="A203" s="226"/>
      <c r="B203" s="226"/>
      <c r="C203" s="45"/>
      <c r="D203" s="226"/>
      <c r="E203" s="226"/>
      <c r="F203" s="226"/>
      <c r="G203" s="226"/>
      <c r="H203" s="248"/>
      <c r="I203" s="226"/>
      <c r="J203" s="226"/>
      <c r="K203" s="226"/>
      <c r="L203" s="226"/>
    </row>
    <row r="204" spans="1:12" x14ac:dyDescent="0.15">
      <c r="A204" s="226"/>
      <c r="B204" s="226"/>
      <c r="C204" s="249"/>
      <c r="D204" s="226"/>
      <c r="E204" s="226"/>
      <c r="F204" s="226"/>
      <c r="G204" s="226"/>
      <c r="H204" s="248"/>
      <c r="I204" s="226"/>
      <c r="J204" s="226"/>
      <c r="K204" s="226"/>
      <c r="L204" s="226"/>
    </row>
    <row r="205" spans="1:12" x14ac:dyDescent="0.15">
      <c r="A205" s="226"/>
      <c r="B205" s="226"/>
      <c r="C205" s="226"/>
      <c r="D205" s="226"/>
      <c r="E205" s="226"/>
      <c r="F205" s="226"/>
      <c r="G205" s="226"/>
      <c r="H205" s="248"/>
      <c r="I205" s="226"/>
      <c r="J205" s="226"/>
      <c r="K205" s="226"/>
      <c r="L205" s="226"/>
    </row>
    <row r="206" spans="1:12" x14ac:dyDescent="0.15">
      <c r="A206" s="226"/>
      <c r="B206" s="226"/>
      <c r="C206" s="226"/>
      <c r="D206" s="226"/>
      <c r="E206" s="226"/>
      <c r="F206" s="226"/>
      <c r="G206" s="226"/>
      <c r="H206" s="248"/>
      <c r="I206" s="226"/>
      <c r="J206" s="226"/>
      <c r="K206" s="226"/>
      <c r="L206" s="226"/>
    </row>
    <row r="207" spans="1:12" x14ac:dyDescent="0.15">
      <c r="H207" s="227"/>
    </row>
    <row r="208" spans="1:12" x14ac:dyDescent="0.15">
      <c r="H208" s="227"/>
    </row>
    <row r="209" spans="4:8" x14ac:dyDescent="0.15">
      <c r="H209" s="227"/>
    </row>
    <row r="210" spans="4:8" x14ac:dyDescent="0.15">
      <c r="H210" s="227"/>
    </row>
    <row r="211" spans="4:8" x14ac:dyDescent="0.15">
      <c r="H211" s="227"/>
    </row>
    <row r="212" spans="4:8" x14ac:dyDescent="0.15">
      <c r="H212" s="227"/>
    </row>
    <row r="213" spans="4:8" x14ac:dyDescent="0.15">
      <c r="H213" s="227"/>
    </row>
    <row r="214" spans="4:8" x14ac:dyDescent="0.15">
      <c r="H214" s="227"/>
    </row>
    <row r="215" spans="4:8" x14ac:dyDescent="0.15">
      <c r="H215" s="227"/>
    </row>
    <row r="216" spans="4:8" x14ac:dyDescent="0.15">
      <c r="H216" s="227"/>
    </row>
    <row r="217" spans="4:8" x14ac:dyDescent="0.15">
      <c r="H217" s="227"/>
    </row>
    <row r="218" spans="4:8" x14ac:dyDescent="0.15">
      <c r="D218" s="5"/>
      <c r="H218" s="227"/>
    </row>
    <row r="219" spans="4:8" x14ac:dyDescent="0.15">
      <c r="D219" s="5"/>
      <c r="H219" s="227"/>
    </row>
  </sheetData>
  <mergeCells count="19">
    <mergeCell ref="C172:H172"/>
    <mergeCell ref="C165:H165"/>
    <mergeCell ref="E30:L30"/>
    <mergeCell ref="E32:L32"/>
    <mergeCell ref="E31:L31"/>
    <mergeCell ref="C62:K62"/>
    <mergeCell ref="E39:L39"/>
    <mergeCell ref="E40:L40"/>
    <mergeCell ref="E38:L38"/>
    <mergeCell ref="E41:L41"/>
    <mergeCell ref="E42:L42"/>
    <mergeCell ref="E43:L43"/>
    <mergeCell ref="E44:L44"/>
    <mergeCell ref="E29:L29"/>
    <mergeCell ref="E33:L33"/>
    <mergeCell ref="E34:L34"/>
    <mergeCell ref="E35:L35"/>
    <mergeCell ref="E37:L37"/>
    <mergeCell ref="E36:L36"/>
  </mergeCells>
  <phoneticPr fontId="1"/>
  <hyperlinks>
    <hyperlink ref="D17" r:id="rId1"/>
    <hyperlink ref="C10" r:id="rId2"/>
    <hyperlink ref="C11" r:id="rId3"/>
    <hyperlink ref="C21" r:id="rId4"/>
  </hyperlinks>
  <pageMargins left="1.05" right="1.36" top="0.75" bottom="0.75" header="0.3" footer="0.3"/>
  <pageSetup paperSize="9" scale="7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H93"/>
  <sheetViews>
    <sheetView topLeftCell="A91" workbookViewId="0">
      <selection activeCell="B93" sqref="B93"/>
    </sheetView>
  </sheetViews>
  <sheetFormatPr defaultColWidth="9" defaultRowHeight="15.75" x14ac:dyDescent="0.15"/>
  <cols>
    <col min="1" max="1" width="5.875" style="19" customWidth="1"/>
    <col min="2" max="2" width="49.125" style="8" customWidth="1"/>
    <col min="3" max="5" width="31.125" style="7" customWidth="1"/>
    <col min="6" max="6" width="33" style="12" customWidth="1"/>
    <col min="7" max="16384" width="9" style="7"/>
  </cols>
  <sheetData>
    <row r="1" spans="1:6" ht="18" x14ac:dyDescent="0.15">
      <c r="B1" s="30" t="s">
        <v>1516</v>
      </c>
      <c r="D1" s="31" t="str">
        <f>GUGS()</f>
        <v>GUGS: ver. 1.01</v>
      </c>
    </row>
    <row r="2" spans="1:6" x14ac:dyDescent="0.15">
      <c r="B2" s="31" t="s">
        <v>523</v>
      </c>
      <c r="C2" s="8"/>
    </row>
    <row r="3" spans="1:6" x14ac:dyDescent="0.15">
      <c r="B3" s="7"/>
      <c r="C3" s="8"/>
    </row>
    <row r="4" spans="1:6" x14ac:dyDescent="0.15">
      <c r="C4" s="9"/>
      <c r="D4" s="9"/>
      <c r="E4" s="9"/>
    </row>
    <row r="5" spans="1:6" s="33" customFormat="1" ht="14.25" x14ac:dyDescent="0.15">
      <c r="A5" s="19"/>
      <c r="B5" s="22" t="s">
        <v>1213</v>
      </c>
      <c r="C5" s="23" t="s">
        <v>2</v>
      </c>
      <c r="D5" s="23" t="s">
        <v>3</v>
      </c>
      <c r="E5" s="23" t="s">
        <v>4</v>
      </c>
      <c r="F5" s="23" t="s">
        <v>161</v>
      </c>
    </row>
    <row r="6" spans="1:6" s="33" customFormat="1" ht="52.5" customHeight="1" x14ac:dyDescent="0.15">
      <c r="A6" s="19"/>
      <c r="B6" s="293" t="str">
        <f>+'Data conversion'!B5:J5</f>
        <v>Functions in this category allow to normalize genotype data, convert the absolute size to the relative size of an SSR genotype, insert a separator into an SNP genotype, convert a single-letter genotype into the pseudo-SNP format and extract the difference between two alleles of SSR genotype. It also allows converting Illumina’s single-letter genotype format into an SNP genotype, and a converting single-letter HapMap code into a real SNP genotype.</v>
      </c>
      <c r="C6" s="293"/>
      <c r="D6" s="293"/>
      <c r="E6" s="293"/>
      <c r="F6" s="24" t="s">
        <v>1</v>
      </c>
    </row>
    <row r="7" spans="1:6" s="33" customFormat="1" ht="60" customHeight="1" x14ac:dyDescent="0.15">
      <c r="A7" s="19" t="s">
        <v>419</v>
      </c>
      <c r="B7" s="18" t="s">
        <v>1154</v>
      </c>
      <c r="C7" s="25" t="s">
        <v>751</v>
      </c>
      <c r="D7" s="25" t="s">
        <v>752</v>
      </c>
      <c r="E7" s="25" t="s">
        <v>753</v>
      </c>
      <c r="F7" s="24" t="s">
        <v>1</v>
      </c>
    </row>
    <row r="8" spans="1:6" s="33" customFormat="1" ht="99.75" x14ac:dyDescent="0.15">
      <c r="A8" s="19" t="s">
        <v>411</v>
      </c>
      <c r="B8" s="18" t="s">
        <v>840</v>
      </c>
      <c r="C8" s="18" t="s">
        <v>859</v>
      </c>
      <c r="D8" s="18" t="s">
        <v>841</v>
      </c>
      <c r="E8" s="18" t="s">
        <v>842</v>
      </c>
      <c r="F8" s="24" t="s">
        <v>1</v>
      </c>
    </row>
    <row r="9" spans="1:6" s="33" customFormat="1" ht="58.5" customHeight="1" x14ac:dyDescent="0.15">
      <c r="A9" s="19" t="s">
        <v>420</v>
      </c>
      <c r="B9" s="18" t="s">
        <v>1156</v>
      </c>
      <c r="C9" s="18" t="s">
        <v>860</v>
      </c>
      <c r="D9" s="24" t="s">
        <v>1</v>
      </c>
      <c r="E9" s="24" t="s">
        <v>1</v>
      </c>
      <c r="F9" s="24" t="s">
        <v>1</v>
      </c>
    </row>
    <row r="10" spans="1:6" s="33" customFormat="1" ht="85.5" x14ac:dyDescent="0.15">
      <c r="A10" s="19" t="s">
        <v>429</v>
      </c>
      <c r="B10" s="18" t="s">
        <v>843</v>
      </c>
      <c r="C10" s="24" t="s">
        <v>1</v>
      </c>
      <c r="D10" s="25" t="s">
        <v>754</v>
      </c>
      <c r="E10" s="24" t="s">
        <v>1</v>
      </c>
      <c r="F10" s="24" t="s">
        <v>1</v>
      </c>
    </row>
    <row r="11" spans="1:6" s="33" customFormat="1" ht="85.5" x14ac:dyDescent="0.15">
      <c r="A11" s="19" t="s">
        <v>430</v>
      </c>
      <c r="B11" s="18" t="s">
        <v>743</v>
      </c>
      <c r="C11" s="24" t="s">
        <v>1</v>
      </c>
      <c r="D11" s="24" t="s">
        <v>1</v>
      </c>
      <c r="E11" s="25" t="s">
        <v>755</v>
      </c>
      <c r="F11" s="25" t="s">
        <v>1609</v>
      </c>
    </row>
    <row r="12" spans="1:6" s="33" customFormat="1" ht="15" x14ac:dyDescent="0.15">
      <c r="A12" s="19"/>
      <c r="B12" s="34"/>
      <c r="C12" s="35"/>
      <c r="D12" s="34"/>
      <c r="E12" s="35"/>
      <c r="F12" s="36"/>
    </row>
    <row r="13" spans="1:6" s="33" customFormat="1" ht="14.25" x14ac:dyDescent="0.15">
      <c r="A13" s="19"/>
      <c r="B13" s="22" t="s">
        <v>1198</v>
      </c>
      <c r="C13" s="23" t="s">
        <v>2</v>
      </c>
      <c r="D13" s="23" t="s">
        <v>3</v>
      </c>
      <c r="E13" s="23" t="s">
        <v>4</v>
      </c>
      <c r="F13" s="37" t="s">
        <v>80</v>
      </c>
    </row>
    <row r="14" spans="1:6" s="33" customFormat="1" ht="49.5" customHeight="1" x14ac:dyDescent="0.15">
      <c r="A14" s="19"/>
      <c r="B14" s="294" t="str">
        <f>+'Basic analysis'!B5:J5</f>
        <v>Functions in this category allow to extract allele of an SSR or SNP genotype, examine homozygosity, determine the identity between two genotypes of SSR or SNP format, examine allele inclusion in the given genotype, evaluate the ploidy of an SSR genotype, separate all alleles of SSR or SNP genotypes and extract the shared allele between two SSR or SNP genotypes.</v>
      </c>
      <c r="C14" s="294"/>
      <c r="D14" s="294"/>
      <c r="E14" s="294"/>
      <c r="F14" s="36"/>
    </row>
    <row r="15" spans="1:6" s="33" customFormat="1" ht="71.25" x14ac:dyDescent="0.15">
      <c r="A15" s="19" t="s">
        <v>402</v>
      </c>
      <c r="B15" s="18" t="s">
        <v>1572</v>
      </c>
      <c r="C15" s="25" t="s">
        <v>758</v>
      </c>
      <c r="D15" s="25" t="s">
        <v>757</v>
      </c>
      <c r="E15" s="24" t="s">
        <v>1</v>
      </c>
      <c r="F15" s="24" t="s">
        <v>1</v>
      </c>
    </row>
    <row r="16" spans="1:6" s="33" customFormat="1" ht="71.25" x14ac:dyDescent="0.15">
      <c r="A16" s="19" t="s">
        <v>411</v>
      </c>
      <c r="B16" s="18" t="s">
        <v>1573</v>
      </c>
      <c r="C16" s="25" t="s">
        <v>759</v>
      </c>
      <c r="D16" s="25" t="s">
        <v>756</v>
      </c>
      <c r="E16" s="24" t="s">
        <v>1</v>
      </c>
      <c r="F16" s="24" t="s">
        <v>1</v>
      </c>
    </row>
    <row r="17" spans="1:6" s="33" customFormat="1" ht="50.25" customHeight="1" x14ac:dyDescent="0.15">
      <c r="A17" s="19" t="s">
        <v>421</v>
      </c>
      <c r="B17" s="18" t="s">
        <v>744</v>
      </c>
      <c r="C17" s="25" t="s">
        <v>760</v>
      </c>
      <c r="D17" s="25" t="s">
        <v>761</v>
      </c>
      <c r="E17" s="24" t="s">
        <v>1</v>
      </c>
      <c r="F17" s="24" t="s">
        <v>1</v>
      </c>
    </row>
    <row r="18" spans="1:6" s="33" customFormat="1" ht="99.75" x14ac:dyDescent="0.15">
      <c r="A18" s="19" t="s">
        <v>405</v>
      </c>
      <c r="B18" s="18" t="s">
        <v>861</v>
      </c>
      <c r="C18" s="18" t="s">
        <v>1574</v>
      </c>
      <c r="D18" s="25" t="s">
        <v>762</v>
      </c>
      <c r="E18" s="24" t="s">
        <v>1</v>
      </c>
      <c r="F18" s="24" t="s">
        <v>1</v>
      </c>
    </row>
    <row r="19" spans="1:6" s="33" customFormat="1" ht="71.25" x14ac:dyDescent="0.15">
      <c r="A19" s="19" t="s">
        <v>422</v>
      </c>
      <c r="B19" s="18" t="s">
        <v>1159</v>
      </c>
      <c r="C19" s="25" t="s">
        <v>763</v>
      </c>
      <c r="D19" s="25" t="s">
        <v>764</v>
      </c>
      <c r="E19" s="24" t="s">
        <v>1</v>
      </c>
      <c r="F19" s="24" t="s">
        <v>1</v>
      </c>
    </row>
    <row r="20" spans="1:6" s="33" customFormat="1" ht="71.25" x14ac:dyDescent="0.15">
      <c r="A20" s="19" t="s">
        <v>423</v>
      </c>
      <c r="B20" s="18" t="s">
        <v>1575</v>
      </c>
      <c r="C20" s="25" t="s">
        <v>765</v>
      </c>
      <c r="D20" s="24" t="s">
        <v>1</v>
      </c>
      <c r="E20" s="24" t="s">
        <v>1</v>
      </c>
      <c r="F20" s="24" t="s">
        <v>1</v>
      </c>
    </row>
    <row r="21" spans="1:6" s="33" customFormat="1" ht="128.25" x14ac:dyDescent="0.15">
      <c r="A21" s="19" t="s">
        <v>424</v>
      </c>
      <c r="B21" s="18" t="s">
        <v>745</v>
      </c>
      <c r="C21" s="25" t="s">
        <v>766</v>
      </c>
      <c r="D21" s="25" t="s">
        <v>767</v>
      </c>
      <c r="E21" s="24" t="s">
        <v>1</v>
      </c>
      <c r="F21" s="24" t="s">
        <v>1</v>
      </c>
    </row>
    <row r="22" spans="1:6" s="33" customFormat="1" ht="71.25" x14ac:dyDescent="0.15">
      <c r="A22" s="19" t="s">
        <v>425</v>
      </c>
      <c r="B22" s="18" t="s">
        <v>1161</v>
      </c>
      <c r="C22" s="25" t="s">
        <v>768</v>
      </c>
      <c r="D22" s="25" t="s">
        <v>769</v>
      </c>
      <c r="E22" s="24" t="s">
        <v>1</v>
      </c>
      <c r="F22" s="24" t="s">
        <v>1</v>
      </c>
    </row>
    <row r="23" spans="1:6" s="33" customFormat="1" ht="15" x14ac:dyDescent="0.15">
      <c r="A23" s="19"/>
      <c r="B23" s="34"/>
      <c r="C23" s="34"/>
      <c r="D23" s="34"/>
      <c r="E23" s="34"/>
      <c r="F23" s="36"/>
    </row>
    <row r="24" spans="1:6" s="33" customFormat="1" ht="14.25" x14ac:dyDescent="0.15">
      <c r="A24" s="19"/>
      <c r="B24" s="22" t="s">
        <v>1214</v>
      </c>
      <c r="C24" s="23" t="s">
        <v>2</v>
      </c>
      <c r="D24" s="23" t="s">
        <v>3</v>
      </c>
      <c r="E24" s="23" t="s">
        <v>4</v>
      </c>
      <c r="F24" s="37" t="s">
        <v>80</v>
      </c>
    </row>
    <row r="25" spans="1:6" s="11" customFormat="1" ht="39" customHeight="1" x14ac:dyDescent="0.15">
      <c r="A25" s="20"/>
      <c r="B25" s="294" t="str">
        <f>+'Linkage analysis'!B5:J5</f>
        <v>Functions in this category involve to estimate a segregation mode of offspring from the genotype data of parents and convert the genotype of offspring for evaluation with linkage analysis software such as MapMaker (Lander et al., 1987), JoinMap (Stam, 1993), or their equivalent software.</v>
      </c>
      <c r="C25" s="294"/>
      <c r="D25" s="294"/>
      <c r="E25" s="294"/>
      <c r="F25" s="36"/>
    </row>
    <row r="26" spans="1:6" s="33" customFormat="1" ht="71.25" x14ac:dyDescent="0.15">
      <c r="A26" s="19" t="s">
        <v>402</v>
      </c>
      <c r="B26" s="18" t="s">
        <v>1576</v>
      </c>
      <c r="C26" s="25" t="s">
        <v>1175</v>
      </c>
      <c r="D26" s="25" t="s">
        <v>1176</v>
      </c>
      <c r="E26" s="24" t="s">
        <v>1</v>
      </c>
      <c r="F26" s="24" t="s">
        <v>1</v>
      </c>
    </row>
    <row r="27" spans="1:6" s="33" customFormat="1" ht="71.25" x14ac:dyDescent="0.15">
      <c r="A27" s="19" t="s">
        <v>411</v>
      </c>
      <c r="B27" s="18" t="s">
        <v>1577</v>
      </c>
      <c r="C27" s="18" t="s">
        <v>1174</v>
      </c>
      <c r="D27" s="25" t="s">
        <v>1173</v>
      </c>
      <c r="E27" s="24" t="s">
        <v>1</v>
      </c>
      <c r="F27" s="24" t="s">
        <v>1</v>
      </c>
    </row>
    <row r="28" spans="1:6" s="33" customFormat="1" ht="71.25" x14ac:dyDescent="0.15">
      <c r="A28" s="19" t="s">
        <v>421</v>
      </c>
      <c r="B28" s="18" t="s">
        <v>1578</v>
      </c>
      <c r="C28" s="25" t="s">
        <v>770</v>
      </c>
      <c r="D28" s="25" t="s">
        <v>771</v>
      </c>
      <c r="E28" s="24" t="s">
        <v>1</v>
      </c>
      <c r="F28" s="24" t="s">
        <v>1</v>
      </c>
    </row>
    <row r="29" spans="1:6" s="33" customFormat="1" ht="57" x14ac:dyDescent="0.15">
      <c r="A29" s="19" t="s">
        <v>405</v>
      </c>
      <c r="B29" s="18" t="s">
        <v>1579</v>
      </c>
      <c r="C29" s="25" t="s">
        <v>772</v>
      </c>
      <c r="D29" s="18" t="s">
        <v>862</v>
      </c>
      <c r="E29" s="24" t="s">
        <v>1</v>
      </c>
      <c r="F29" s="24" t="s">
        <v>1</v>
      </c>
    </row>
    <row r="30" spans="1:6" s="33" customFormat="1" ht="57" x14ac:dyDescent="0.15">
      <c r="A30" s="19" t="s">
        <v>422</v>
      </c>
      <c r="B30" s="18" t="s">
        <v>1580</v>
      </c>
      <c r="C30" s="18" t="s">
        <v>844</v>
      </c>
      <c r="D30" s="25" t="s">
        <v>773</v>
      </c>
      <c r="E30" s="24" t="s">
        <v>1</v>
      </c>
      <c r="F30" s="24" t="s">
        <v>1</v>
      </c>
    </row>
    <row r="31" spans="1:6" s="33" customFormat="1" ht="57" x14ac:dyDescent="0.15">
      <c r="A31" s="19" t="s">
        <v>423</v>
      </c>
      <c r="B31" s="18" t="s">
        <v>1581</v>
      </c>
      <c r="C31" s="24" t="s">
        <v>1</v>
      </c>
      <c r="D31" s="24" t="s">
        <v>1</v>
      </c>
      <c r="E31" s="25" t="s">
        <v>774</v>
      </c>
      <c r="F31" s="24" t="s">
        <v>1</v>
      </c>
    </row>
    <row r="32" spans="1:6" s="33" customFormat="1" ht="71.25" x14ac:dyDescent="0.15">
      <c r="A32" s="19" t="s">
        <v>424</v>
      </c>
      <c r="B32" s="18" t="s">
        <v>1582</v>
      </c>
      <c r="C32" s="24" t="s">
        <v>1</v>
      </c>
      <c r="D32" s="24" t="s">
        <v>1</v>
      </c>
      <c r="E32" s="25" t="s">
        <v>775</v>
      </c>
      <c r="F32" s="24" t="s">
        <v>1</v>
      </c>
    </row>
    <row r="33" spans="1:6" s="33" customFormat="1" ht="15" x14ac:dyDescent="0.15">
      <c r="A33" s="19"/>
      <c r="B33" s="34"/>
      <c r="C33" s="35"/>
      <c r="D33" s="35"/>
      <c r="E33" s="34"/>
      <c r="F33" s="36"/>
    </row>
    <row r="34" spans="1:6" s="33" customFormat="1" ht="14.25" x14ac:dyDescent="0.15">
      <c r="A34" s="19"/>
      <c r="B34" s="22" t="s">
        <v>1583</v>
      </c>
      <c r="C34" s="23" t="s">
        <v>2</v>
      </c>
      <c r="D34" s="23" t="s">
        <v>3</v>
      </c>
      <c r="E34" s="23" t="s">
        <v>4</v>
      </c>
      <c r="F34" s="37" t="s">
        <v>80</v>
      </c>
    </row>
    <row r="35" spans="1:6" s="38" customFormat="1" ht="34.5" customHeight="1" x14ac:dyDescent="0.15">
      <c r="A35" s="21"/>
      <c r="B35" s="296" t="str">
        <f>+'Data set analysis'!B5:J5</f>
        <v>Functions in this category allow to estimate unique alleles or genotypes in the dataset, extract an allele or genotype at a designated rank in the dataset, and count the ratio of the matched allele or genotype in the dataset.</v>
      </c>
      <c r="C35" s="296"/>
      <c r="D35" s="296"/>
      <c r="E35" s="296"/>
      <c r="F35" s="296"/>
    </row>
    <row r="36" spans="1:6" s="38" customFormat="1" ht="15" x14ac:dyDescent="0.15">
      <c r="A36" s="21"/>
      <c r="B36" s="39"/>
      <c r="C36" s="40"/>
      <c r="D36" s="40"/>
      <c r="E36" s="40"/>
      <c r="F36" s="41"/>
    </row>
    <row r="37" spans="1:6" s="33" customFormat="1" ht="57" x14ac:dyDescent="0.15">
      <c r="A37" s="19" t="s">
        <v>402</v>
      </c>
      <c r="B37" s="18" t="s">
        <v>1517</v>
      </c>
      <c r="C37" s="25" t="s">
        <v>776</v>
      </c>
      <c r="D37" s="25" t="s">
        <v>777</v>
      </c>
      <c r="E37" s="25" t="s">
        <v>778</v>
      </c>
      <c r="F37" s="25" t="s">
        <v>779</v>
      </c>
    </row>
    <row r="38" spans="1:6" s="33" customFormat="1" ht="57" x14ac:dyDescent="0.15">
      <c r="A38" s="19" t="s">
        <v>411</v>
      </c>
      <c r="B38" s="18" t="s">
        <v>1518</v>
      </c>
      <c r="C38" s="25" t="s">
        <v>780</v>
      </c>
      <c r="D38" s="25" t="s">
        <v>781</v>
      </c>
      <c r="E38" s="25" t="s">
        <v>782</v>
      </c>
      <c r="F38" s="26" t="s">
        <v>845</v>
      </c>
    </row>
    <row r="39" spans="1:6" s="33" customFormat="1" ht="71.25" x14ac:dyDescent="0.15">
      <c r="A39" s="19" t="s">
        <v>421</v>
      </c>
      <c r="B39" s="18" t="s">
        <v>1524</v>
      </c>
      <c r="C39" s="25" t="s">
        <v>783</v>
      </c>
      <c r="D39" s="25" t="s">
        <v>784</v>
      </c>
      <c r="E39" s="25" t="s">
        <v>785</v>
      </c>
      <c r="F39" s="25" t="s">
        <v>786</v>
      </c>
    </row>
    <row r="40" spans="1:6" s="33" customFormat="1" ht="85.5" x14ac:dyDescent="0.15">
      <c r="A40" s="19" t="s">
        <v>405</v>
      </c>
      <c r="B40" s="18" t="s">
        <v>1519</v>
      </c>
      <c r="C40" s="25" t="s">
        <v>787</v>
      </c>
      <c r="D40" s="25" t="s">
        <v>788</v>
      </c>
      <c r="E40" s="25" t="s">
        <v>789</v>
      </c>
      <c r="F40" s="26" t="s">
        <v>846</v>
      </c>
    </row>
    <row r="41" spans="1:6" s="33" customFormat="1" ht="99.75" x14ac:dyDescent="0.15">
      <c r="A41" s="19" t="s">
        <v>422</v>
      </c>
      <c r="B41" s="18" t="s">
        <v>1520</v>
      </c>
      <c r="C41" s="25" t="s">
        <v>790</v>
      </c>
      <c r="D41" s="25" t="s">
        <v>791</v>
      </c>
      <c r="E41" s="25" t="s">
        <v>792</v>
      </c>
      <c r="F41" s="27" t="s">
        <v>793</v>
      </c>
    </row>
    <row r="42" spans="1:6" s="33" customFormat="1" ht="99.75" x14ac:dyDescent="0.15">
      <c r="A42" s="19" t="s">
        <v>423</v>
      </c>
      <c r="B42" s="18" t="s">
        <v>1521</v>
      </c>
      <c r="C42" s="25" t="s">
        <v>794</v>
      </c>
      <c r="D42" s="25" t="s">
        <v>795</v>
      </c>
      <c r="E42" s="25" t="s">
        <v>796</v>
      </c>
      <c r="F42" s="18" t="s">
        <v>1</v>
      </c>
    </row>
    <row r="43" spans="1:6" s="33" customFormat="1" ht="15" x14ac:dyDescent="0.15">
      <c r="A43" s="19"/>
      <c r="B43" s="34"/>
      <c r="C43" s="10"/>
      <c r="D43" s="10"/>
      <c r="E43" s="10"/>
      <c r="F43" s="42"/>
    </row>
    <row r="44" spans="1:6" s="33" customFormat="1" ht="14.25" x14ac:dyDescent="0.15">
      <c r="A44" s="19"/>
      <c r="B44" s="22" t="s">
        <v>1215</v>
      </c>
      <c r="C44" s="23" t="s">
        <v>2</v>
      </c>
      <c r="D44" s="23" t="s">
        <v>3</v>
      </c>
      <c r="E44" s="23" t="s">
        <v>4</v>
      </c>
      <c r="F44" s="37" t="s">
        <v>80</v>
      </c>
    </row>
    <row r="45" spans="1:6" s="38" customFormat="1" ht="37.5" customHeight="1" x14ac:dyDescent="0.15">
      <c r="A45" s="21"/>
      <c r="B45" s="297" t="str">
        <f>+'Freq analysis'!B5:J5</f>
        <v>Functions in this category allow estimating allele frequencies or diversity of population data, observed or expected heterozygosity, polymorphic information content (PIC), match probability, the power of discrimination, genetic diversity, and the probability of showing an identical genotype for different individuals in a population dataset according to the theorem of Ukai.</v>
      </c>
      <c r="C45" s="297"/>
      <c r="D45" s="297"/>
      <c r="E45" s="297"/>
      <c r="F45" s="297"/>
    </row>
    <row r="46" spans="1:6" s="33" customFormat="1" ht="85.5" x14ac:dyDescent="0.15">
      <c r="A46" s="19" t="s">
        <v>402</v>
      </c>
      <c r="B46" s="18" t="s">
        <v>1522</v>
      </c>
      <c r="C46" s="25" t="s">
        <v>797</v>
      </c>
      <c r="D46" s="25" t="s">
        <v>798</v>
      </c>
      <c r="E46" s="25" t="s">
        <v>799</v>
      </c>
      <c r="F46" s="25" t="s">
        <v>800</v>
      </c>
    </row>
    <row r="47" spans="1:6" s="33" customFormat="1" ht="85.5" x14ac:dyDescent="0.15">
      <c r="A47" s="19" t="s">
        <v>411</v>
      </c>
      <c r="B47" s="18" t="s">
        <v>1523</v>
      </c>
      <c r="C47" s="25" t="s">
        <v>801</v>
      </c>
      <c r="D47" s="25" t="s">
        <v>802</v>
      </c>
      <c r="E47" s="25" t="s">
        <v>803</v>
      </c>
      <c r="F47" s="18" t="s">
        <v>1</v>
      </c>
    </row>
    <row r="48" spans="1:6" s="33" customFormat="1" ht="71.25" x14ac:dyDescent="0.15">
      <c r="A48" s="19" t="s">
        <v>421</v>
      </c>
      <c r="B48" s="18" t="s">
        <v>746</v>
      </c>
      <c r="C48" s="25" t="s">
        <v>804</v>
      </c>
      <c r="D48" s="25" t="s">
        <v>805</v>
      </c>
      <c r="E48" s="25" t="s">
        <v>806</v>
      </c>
      <c r="F48" s="18" t="s">
        <v>1</v>
      </c>
    </row>
    <row r="49" spans="1:6" s="33" customFormat="1" ht="57" x14ac:dyDescent="0.15">
      <c r="A49" s="19" t="s">
        <v>405</v>
      </c>
      <c r="B49" s="18" t="s">
        <v>747</v>
      </c>
      <c r="C49" s="25" t="s">
        <v>807</v>
      </c>
      <c r="D49" s="25" t="s">
        <v>808</v>
      </c>
      <c r="E49" s="25" t="s">
        <v>809</v>
      </c>
      <c r="F49" s="18" t="s">
        <v>1</v>
      </c>
    </row>
    <row r="50" spans="1:6" s="33" customFormat="1" ht="71.25" x14ac:dyDescent="0.15">
      <c r="A50" s="19" t="s">
        <v>422</v>
      </c>
      <c r="B50" s="18" t="s">
        <v>748</v>
      </c>
      <c r="C50" s="25" t="s">
        <v>810</v>
      </c>
      <c r="D50" s="25" t="s">
        <v>811</v>
      </c>
      <c r="E50" s="25" t="s">
        <v>812</v>
      </c>
      <c r="F50" s="18" t="s">
        <v>1</v>
      </c>
    </row>
    <row r="51" spans="1:6" s="33" customFormat="1" ht="77.25" customHeight="1" x14ac:dyDescent="0.15">
      <c r="A51" s="19" t="s">
        <v>423</v>
      </c>
      <c r="B51" s="18" t="s">
        <v>847</v>
      </c>
      <c r="C51" s="25" t="s">
        <v>813</v>
      </c>
      <c r="D51" s="25" t="s">
        <v>814</v>
      </c>
      <c r="E51" s="25" t="s">
        <v>815</v>
      </c>
      <c r="F51" s="18" t="s">
        <v>1</v>
      </c>
    </row>
    <row r="52" spans="1:6" s="33" customFormat="1" ht="57" x14ac:dyDescent="0.15">
      <c r="A52" s="19" t="s">
        <v>424</v>
      </c>
      <c r="B52" s="18" t="s">
        <v>848</v>
      </c>
      <c r="C52" s="25" t="s">
        <v>816</v>
      </c>
      <c r="D52" s="25" t="s">
        <v>817</v>
      </c>
      <c r="E52" s="25" t="s">
        <v>818</v>
      </c>
      <c r="F52" s="18" t="s">
        <v>1</v>
      </c>
    </row>
    <row r="53" spans="1:6" s="33" customFormat="1" ht="85.5" x14ac:dyDescent="0.15">
      <c r="A53" s="19" t="s">
        <v>425</v>
      </c>
      <c r="B53" s="18" t="s">
        <v>749</v>
      </c>
      <c r="C53" s="25" t="s">
        <v>819</v>
      </c>
      <c r="D53" s="25" t="s">
        <v>825</v>
      </c>
      <c r="E53" s="18" t="s">
        <v>849</v>
      </c>
      <c r="F53" s="25" t="s">
        <v>820</v>
      </c>
    </row>
    <row r="54" spans="1:6" s="33" customFormat="1" ht="85.5" x14ac:dyDescent="0.15">
      <c r="A54" s="19" t="s">
        <v>426</v>
      </c>
      <c r="B54" s="18" t="s">
        <v>850</v>
      </c>
      <c r="C54" s="25" t="s">
        <v>824</v>
      </c>
      <c r="D54" s="25" t="s">
        <v>823</v>
      </c>
      <c r="E54" s="18" t="s">
        <v>822</v>
      </c>
      <c r="F54" s="25" t="s">
        <v>821</v>
      </c>
    </row>
    <row r="55" spans="1:6" s="33" customFormat="1" ht="142.5" x14ac:dyDescent="0.15">
      <c r="A55" s="19" t="s">
        <v>427</v>
      </c>
      <c r="B55" s="18" t="s">
        <v>750</v>
      </c>
      <c r="C55" s="294" t="s">
        <v>851</v>
      </c>
      <c r="D55" s="294"/>
      <c r="E55" s="294"/>
      <c r="F55" s="294"/>
    </row>
    <row r="56" spans="1:6" s="33" customFormat="1" ht="128.25" x14ac:dyDescent="0.15">
      <c r="A56" s="19" t="s">
        <v>428</v>
      </c>
      <c r="B56" s="29" t="s">
        <v>852</v>
      </c>
      <c r="C56" s="295" t="s">
        <v>826</v>
      </c>
      <c r="D56" s="295"/>
      <c r="E56" s="295"/>
      <c r="F56" s="295"/>
    </row>
    <row r="57" spans="1:6" s="33" customFormat="1" ht="15" x14ac:dyDescent="0.15">
      <c r="A57" s="19"/>
      <c r="B57" s="43"/>
      <c r="F57" s="36"/>
    </row>
    <row r="58" spans="1:6" s="33" customFormat="1" ht="14.25" x14ac:dyDescent="0.15">
      <c r="A58" s="19"/>
      <c r="B58" s="22" t="s">
        <v>1216</v>
      </c>
      <c r="C58" s="23" t="s">
        <v>2</v>
      </c>
      <c r="D58" s="23" t="s">
        <v>3</v>
      </c>
      <c r="E58" s="23" t="s">
        <v>4</v>
      </c>
      <c r="F58" s="37" t="s">
        <v>80</v>
      </c>
    </row>
    <row r="59" spans="1:6" s="33" customFormat="1" ht="22.5" customHeight="1" x14ac:dyDescent="0.15">
      <c r="A59" s="19"/>
      <c r="B59" s="296" t="str">
        <f>+'Genetic data analysis'!B5:J5</f>
        <v>Functions in this category are valid to estimate parentage of offspring within a population and determine the probability to obtain an individual from a cross of designated parents in a population.</v>
      </c>
      <c r="C59" s="296"/>
      <c r="D59" s="296"/>
      <c r="E59" s="296"/>
      <c r="F59" s="296"/>
    </row>
    <row r="60" spans="1:6" s="33" customFormat="1" ht="15" x14ac:dyDescent="0.15">
      <c r="A60" s="19"/>
      <c r="B60" s="28"/>
      <c r="F60" s="36"/>
    </row>
    <row r="61" spans="1:6" s="33" customFormat="1" ht="99.75" x14ac:dyDescent="0.15">
      <c r="A61" s="19" t="s">
        <v>402</v>
      </c>
      <c r="B61" s="18" t="s">
        <v>853</v>
      </c>
      <c r="C61" s="25" t="s">
        <v>827</v>
      </c>
      <c r="D61" s="25" t="s">
        <v>828</v>
      </c>
      <c r="E61" s="25" t="s">
        <v>829</v>
      </c>
      <c r="F61" s="18" t="s">
        <v>1</v>
      </c>
    </row>
    <row r="62" spans="1:6" s="33" customFormat="1" ht="114" x14ac:dyDescent="0.15">
      <c r="A62" s="19" t="s">
        <v>411</v>
      </c>
      <c r="B62" s="18" t="s">
        <v>854</v>
      </c>
      <c r="C62" s="25" t="s">
        <v>830</v>
      </c>
      <c r="D62" s="25" t="s">
        <v>831</v>
      </c>
      <c r="E62" s="25" t="s">
        <v>832</v>
      </c>
      <c r="F62" s="18" t="s">
        <v>1</v>
      </c>
    </row>
    <row r="63" spans="1:6" s="33" customFormat="1" ht="128.25" x14ac:dyDescent="0.15">
      <c r="A63" s="19" t="s">
        <v>421</v>
      </c>
      <c r="B63" s="18" t="s">
        <v>855</v>
      </c>
      <c r="C63" s="18" t="s">
        <v>856</v>
      </c>
      <c r="D63" s="25" t="s">
        <v>833</v>
      </c>
      <c r="E63" s="25" t="s">
        <v>834</v>
      </c>
      <c r="F63" s="18" t="s">
        <v>1</v>
      </c>
    </row>
    <row r="64" spans="1:6" s="33" customFormat="1" ht="99.75" x14ac:dyDescent="0.15">
      <c r="A64" s="19" t="s">
        <v>405</v>
      </c>
      <c r="B64" s="18" t="s">
        <v>857</v>
      </c>
      <c r="C64" s="25" t="s">
        <v>835</v>
      </c>
      <c r="D64" s="25" t="s">
        <v>836</v>
      </c>
      <c r="E64" s="25" t="s">
        <v>837</v>
      </c>
      <c r="F64" s="18" t="s">
        <v>1</v>
      </c>
    </row>
    <row r="65" spans="1:6" s="33" customFormat="1" ht="114" x14ac:dyDescent="0.15">
      <c r="A65" s="19" t="s">
        <v>422</v>
      </c>
      <c r="B65" s="18" t="s">
        <v>858</v>
      </c>
      <c r="C65" s="25" t="s">
        <v>838</v>
      </c>
      <c r="D65" s="25" t="s">
        <v>839</v>
      </c>
      <c r="E65" s="24" t="s">
        <v>1</v>
      </c>
      <c r="F65" s="24" t="s">
        <v>1</v>
      </c>
    </row>
    <row r="66" spans="1:6" s="33" customFormat="1" ht="15" x14ac:dyDescent="0.15">
      <c r="A66" s="19"/>
      <c r="B66" s="43"/>
      <c r="F66" s="36"/>
    </row>
    <row r="67" spans="1:6" s="33" customFormat="1" ht="14.25" x14ac:dyDescent="0.15">
      <c r="A67" s="19"/>
      <c r="B67" s="44" t="s">
        <v>1217</v>
      </c>
      <c r="C67" s="23"/>
      <c r="D67" s="23"/>
      <c r="E67" s="23"/>
      <c r="F67" s="37"/>
    </row>
    <row r="68" spans="1:6" ht="22.5" customHeight="1" x14ac:dyDescent="0.15">
      <c r="B68" s="291" t="str">
        <f>+'Sequence manipulation'!B5:J5</f>
        <v>Functions in this category allow for converting, counting, formatting and searching for nucleotide or amino acid sequence motif to support DNA marker design.</v>
      </c>
      <c r="C68" s="291"/>
      <c r="D68" s="291"/>
      <c r="E68" s="291"/>
      <c r="F68" s="291"/>
    </row>
    <row r="69" spans="1:6" ht="14.25" x14ac:dyDescent="0.15">
      <c r="B69" s="28"/>
      <c r="C69" s="292"/>
      <c r="D69" s="292"/>
      <c r="E69" s="292"/>
      <c r="F69" s="292"/>
    </row>
    <row r="70" spans="1:6" ht="66" customHeight="1" x14ac:dyDescent="0.15">
      <c r="A70" s="19" t="s">
        <v>395</v>
      </c>
      <c r="B70" s="18" t="s">
        <v>863</v>
      </c>
      <c r="C70" s="289" t="s">
        <v>877</v>
      </c>
      <c r="D70" s="290"/>
      <c r="E70" s="290"/>
      <c r="F70" s="290"/>
    </row>
    <row r="71" spans="1:6" ht="57" x14ac:dyDescent="0.15">
      <c r="A71" s="19" t="s">
        <v>396</v>
      </c>
      <c r="B71" s="18" t="s">
        <v>865</v>
      </c>
      <c r="C71" s="290" t="s">
        <v>909</v>
      </c>
      <c r="D71" s="290"/>
      <c r="E71" s="290"/>
      <c r="F71" s="290"/>
    </row>
    <row r="72" spans="1:6" ht="66" customHeight="1" x14ac:dyDescent="0.15">
      <c r="A72" s="19" t="s">
        <v>1019</v>
      </c>
      <c r="B72" s="18" t="s">
        <v>876</v>
      </c>
      <c r="C72" s="290" t="s">
        <v>892</v>
      </c>
      <c r="D72" s="290"/>
      <c r="E72" s="290"/>
      <c r="F72" s="290"/>
    </row>
    <row r="73" spans="1:6" ht="57" x14ac:dyDescent="0.15">
      <c r="A73" s="19" t="s">
        <v>398</v>
      </c>
      <c r="B73" s="18" t="s">
        <v>912</v>
      </c>
      <c r="C73" s="290" t="s">
        <v>864</v>
      </c>
      <c r="D73" s="290"/>
      <c r="E73" s="290"/>
      <c r="F73" s="290"/>
    </row>
    <row r="74" spans="1:6" ht="78.75" customHeight="1" x14ac:dyDescent="0.15">
      <c r="A74" s="19" t="s">
        <v>866</v>
      </c>
      <c r="B74" s="18" t="s">
        <v>875</v>
      </c>
      <c r="C74" s="290" t="s">
        <v>868</v>
      </c>
      <c r="D74" s="290"/>
      <c r="E74" s="290"/>
      <c r="F74" s="290"/>
    </row>
    <row r="75" spans="1:6" ht="90.75" customHeight="1" x14ac:dyDescent="0.15">
      <c r="A75" s="19" t="s">
        <v>393</v>
      </c>
      <c r="B75" s="18" t="s">
        <v>867</v>
      </c>
      <c r="C75" s="290" t="s">
        <v>872</v>
      </c>
      <c r="D75" s="290"/>
      <c r="E75" s="290"/>
      <c r="F75" s="290"/>
    </row>
    <row r="76" spans="1:6" ht="87.75" customHeight="1" x14ac:dyDescent="0.15">
      <c r="A76" s="19" t="s">
        <v>394</v>
      </c>
      <c r="B76" s="18" t="s">
        <v>925</v>
      </c>
      <c r="C76" s="290" t="s">
        <v>869</v>
      </c>
      <c r="D76" s="290"/>
      <c r="E76" s="290"/>
      <c r="F76" s="290"/>
    </row>
    <row r="77" spans="1:6" ht="59.25" customHeight="1" x14ac:dyDescent="0.15">
      <c r="A77" s="19" t="s">
        <v>425</v>
      </c>
      <c r="B77" s="18" t="s">
        <v>963</v>
      </c>
      <c r="C77" s="290" t="s">
        <v>977</v>
      </c>
      <c r="D77" s="290"/>
      <c r="E77" s="290"/>
      <c r="F77" s="290"/>
    </row>
    <row r="78" spans="1:6" ht="59.25" customHeight="1" x14ac:dyDescent="0.15">
      <c r="A78" s="19" t="s">
        <v>426</v>
      </c>
      <c r="B78" s="18" t="s">
        <v>964</v>
      </c>
      <c r="C78" s="290" t="s">
        <v>978</v>
      </c>
      <c r="D78" s="290"/>
      <c r="E78" s="290"/>
      <c r="F78" s="290"/>
    </row>
    <row r="79" spans="1:6" ht="57" x14ac:dyDescent="0.15">
      <c r="A79" s="19" t="s">
        <v>427</v>
      </c>
      <c r="B79" s="18" t="s">
        <v>937</v>
      </c>
      <c r="C79" s="290" t="s">
        <v>870</v>
      </c>
      <c r="D79" s="290"/>
      <c r="E79" s="290"/>
      <c r="F79" s="290"/>
    </row>
    <row r="80" spans="1:6" ht="57" x14ac:dyDescent="0.15">
      <c r="A80" s="19" t="s">
        <v>428</v>
      </c>
      <c r="B80" s="18" t="s">
        <v>874</v>
      </c>
      <c r="C80" s="290" t="s">
        <v>871</v>
      </c>
      <c r="D80" s="290"/>
      <c r="E80" s="290"/>
      <c r="F80" s="290"/>
    </row>
    <row r="81" spans="1:8" ht="116.25" customHeight="1" x14ac:dyDescent="0.15">
      <c r="A81" s="19" t="s">
        <v>955</v>
      </c>
      <c r="B81" s="18" t="s">
        <v>1604</v>
      </c>
      <c r="C81" s="290" t="s">
        <v>873</v>
      </c>
      <c r="D81" s="290"/>
      <c r="E81" s="290"/>
      <c r="F81" s="290"/>
    </row>
    <row r="82" spans="1:8" ht="90.75" customHeight="1" x14ac:dyDescent="0.15">
      <c r="A82" s="19" t="s">
        <v>958</v>
      </c>
      <c r="B82" s="18" t="s">
        <v>986</v>
      </c>
      <c r="C82" s="289" t="s">
        <v>1590</v>
      </c>
      <c r="D82" s="290"/>
      <c r="E82" s="290"/>
      <c r="F82" s="290"/>
    </row>
    <row r="83" spans="1:8" ht="90.75" customHeight="1" x14ac:dyDescent="0.15">
      <c r="A83" s="19" t="s">
        <v>1020</v>
      </c>
      <c r="B83" s="18" t="s">
        <v>987</v>
      </c>
      <c r="C83" s="289" t="s">
        <v>1589</v>
      </c>
      <c r="D83" s="290"/>
      <c r="E83" s="290"/>
      <c r="F83" s="290"/>
    </row>
    <row r="84" spans="1:8" ht="71.25" x14ac:dyDescent="0.15">
      <c r="A84" s="19" t="s">
        <v>960</v>
      </c>
      <c r="B84" s="18" t="s">
        <v>951</v>
      </c>
      <c r="C84" s="290" t="s">
        <v>956</v>
      </c>
      <c r="D84" s="290"/>
      <c r="E84" s="290"/>
      <c r="F84" s="290"/>
    </row>
    <row r="85" spans="1:8" ht="71.25" x14ac:dyDescent="0.15">
      <c r="A85" s="19" t="s">
        <v>961</v>
      </c>
      <c r="B85" s="18" t="s">
        <v>979</v>
      </c>
      <c r="C85" s="289" t="s">
        <v>957</v>
      </c>
      <c r="D85" s="290"/>
      <c r="E85" s="290"/>
      <c r="F85" s="290"/>
    </row>
    <row r="86" spans="1:8" ht="95.25" customHeight="1" x14ac:dyDescent="0.15">
      <c r="A86" s="19" t="s">
        <v>962</v>
      </c>
      <c r="B86" s="18" t="s">
        <v>990</v>
      </c>
      <c r="C86" s="289" t="s">
        <v>1588</v>
      </c>
      <c r="D86" s="290"/>
      <c r="E86" s="290"/>
      <c r="F86" s="290"/>
    </row>
    <row r="87" spans="1:8" ht="91.5" customHeight="1" x14ac:dyDescent="0.15">
      <c r="A87" s="19" t="s">
        <v>993</v>
      </c>
      <c r="B87" s="18" t="s">
        <v>1023</v>
      </c>
      <c r="C87" s="289" t="s">
        <v>1587</v>
      </c>
      <c r="D87" s="290"/>
      <c r="E87" s="290"/>
      <c r="F87" s="290"/>
    </row>
    <row r="88" spans="1:8" ht="97.5" customHeight="1" x14ac:dyDescent="0.15">
      <c r="A88" s="19" t="s">
        <v>994</v>
      </c>
      <c r="B88" s="18" t="s">
        <v>1024</v>
      </c>
      <c r="C88" s="289" t="s">
        <v>1586</v>
      </c>
      <c r="D88" s="290"/>
      <c r="E88" s="290"/>
      <c r="F88" s="290"/>
    </row>
    <row r="89" spans="1:8" ht="143.25" customHeight="1" x14ac:dyDescent="0.15">
      <c r="A89" s="19" t="s">
        <v>1005</v>
      </c>
      <c r="B89" s="18" t="s">
        <v>1025</v>
      </c>
      <c r="C89" s="289" t="s">
        <v>1585</v>
      </c>
      <c r="D89" s="290"/>
      <c r="E89" s="290"/>
      <c r="F89" s="290"/>
    </row>
    <row r="90" spans="1:8" ht="141" customHeight="1" x14ac:dyDescent="0.15">
      <c r="A90" s="19" t="s">
        <v>1006</v>
      </c>
      <c r="B90" s="18" t="s">
        <v>1026</v>
      </c>
      <c r="C90" s="289" t="s">
        <v>1584</v>
      </c>
      <c r="D90" s="290"/>
      <c r="E90" s="290"/>
      <c r="F90" s="290"/>
      <c r="H90" s="8"/>
    </row>
    <row r="91" spans="1:8" ht="98.25" customHeight="1" x14ac:dyDescent="0.15">
      <c r="A91" s="19" t="s">
        <v>1591</v>
      </c>
      <c r="B91" s="18" t="s">
        <v>1612</v>
      </c>
      <c r="C91" s="289" t="s">
        <v>1598</v>
      </c>
      <c r="D91" s="289"/>
      <c r="E91" s="289"/>
      <c r="F91" s="289"/>
      <c r="H91" s="8"/>
    </row>
    <row r="92" spans="1:8" ht="99.75" x14ac:dyDescent="0.15">
      <c r="A92" s="19" t="s">
        <v>1592</v>
      </c>
      <c r="B92" s="18" t="s">
        <v>1597</v>
      </c>
      <c r="C92" s="289" t="s">
        <v>1599</v>
      </c>
      <c r="D92" s="289"/>
      <c r="E92" s="289"/>
      <c r="F92" s="289"/>
      <c r="H92" s="7">
        <f>matchscore("ATGCAAA", "ATGCAAA")</f>
        <v>1</v>
      </c>
    </row>
    <row r="93" spans="1:8" ht="114" x14ac:dyDescent="0.15">
      <c r="A93" s="19" t="s">
        <v>1593</v>
      </c>
      <c r="B93" s="18" t="s">
        <v>1601</v>
      </c>
      <c r="C93" s="289" t="s">
        <v>1603</v>
      </c>
      <c r="D93" s="289"/>
      <c r="E93" s="289"/>
      <c r="F93" s="289"/>
    </row>
  </sheetData>
  <mergeCells count="34">
    <mergeCell ref="C91:F91"/>
    <mergeCell ref="C92:F92"/>
    <mergeCell ref="C93:F93"/>
    <mergeCell ref="B6:E6"/>
    <mergeCell ref="C55:F55"/>
    <mergeCell ref="C56:F56"/>
    <mergeCell ref="B59:F59"/>
    <mergeCell ref="B45:F45"/>
    <mergeCell ref="B14:E14"/>
    <mergeCell ref="B25:E25"/>
    <mergeCell ref="B35:F35"/>
    <mergeCell ref="C74:F74"/>
    <mergeCell ref="C75:F75"/>
    <mergeCell ref="C76:F76"/>
    <mergeCell ref="C79:F79"/>
    <mergeCell ref="C80:F80"/>
    <mergeCell ref="B68:F68"/>
    <mergeCell ref="C70:F70"/>
    <mergeCell ref="C72:F72"/>
    <mergeCell ref="C71:F71"/>
    <mergeCell ref="C73:F73"/>
    <mergeCell ref="C69:F69"/>
    <mergeCell ref="C90:F90"/>
    <mergeCell ref="C77:F77"/>
    <mergeCell ref="C78:F78"/>
    <mergeCell ref="C82:F82"/>
    <mergeCell ref="C86:F86"/>
    <mergeCell ref="C87:F87"/>
    <mergeCell ref="C88:F88"/>
    <mergeCell ref="C89:F89"/>
    <mergeCell ref="C84:F84"/>
    <mergeCell ref="C81:F81"/>
    <mergeCell ref="C85:F85"/>
    <mergeCell ref="C83:F83"/>
  </mergeCells>
  <phoneticPr fontId="1"/>
  <pageMargins left="0.7" right="0.7" top="0.75" bottom="0.75" header="0.3" footer="0.3"/>
  <pageSetup paperSize="8" scale="73"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22"/>
  <sheetViews>
    <sheetView workbookViewId="0">
      <selection activeCell="D111" sqref="D111"/>
    </sheetView>
  </sheetViews>
  <sheetFormatPr defaultColWidth="9" defaultRowHeight="15.75" x14ac:dyDescent="0.15"/>
  <cols>
    <col min="1" max="1" width="5.375" style="16" customWidth="1"/>
    <col min="2" max="2" width="3.75" style="14" customWidth="1"/>
    <col min="3" max="4" width="11.875" style="14" customWidth="1"/>
    <col min="5" max="5" width="13" style="14" customWidth="1"/>
    <col min="6" max="6" width="9" style="17" customWidth="1"/>
    <col min="7" max="8" width="11.875" style="14" customWidth="1"/>
    <col min="9" max="9" width="9" style="17"/>
    <col min="10" max="10" width="9" style="14"/>
    <col min="11" max="11" width="11.875" style="17" customWidth="1"/>
    <col min="12" max="12" width="11.875" style="14" customWidth="1"/>
    <col min="13" max="13" width="9" style="17"/>
    <col min="14" max="14" width="12.625" style="14" customWidth="1"/>
    <col min="15" max="16384" width="9" style="14"/>
  </cols>
  <sheetData>
    <row r="1" spans="1:17" ht="21" x14ac:dyDescent="0.15">
      <c r="A1" s="254" t="s">
        <v>129</v>
      </c>
      <c r="I1" s="17" t="s">
        <v>130</v>
      </c>
      <c r="J1" s="14" t="str">
        <f>GUGS()</f>
        <v>GUGS: ver. 1.01</v>
      </c>
    </row>
    <row r="3" spans="1:17" x14ac:dyDescent="0.15">
      <c r="A3" s="47" t="s">
        <v>1222</v>
      </c>
      <c r="B3" s="48"/>
      <c r="C3" s="48"/>
      <c r="D3" s="48"/>
      <c r="E3" s="48"/>
      <c r="F3" s="49"/>
      <c r="G3" s="48"/>
      <c r="H3" s="48"/>
      <c r="I3" s="49"/>
      <c r="J3" s="48"/>
      <c r="K3" s="49"/>
      <c r="L3" s="48"/>
      <c r="M3" s="49"/>
      <c r="N3" s="48"/>
      <c r="O3" s="48"/>
      <c r="P3" s="48"/>
      <c r="Q3" s="48"/>
    </row>
    <row r="5" spans="1:17" ht="87.75" customHeight="1" x14ac:dyDescent="0.15">
      <c r="B5" s="298" t="s">
        <v>1546</v>
      </c>
      <c r="C5" s="298"/>
      <c r="D5" s="298"/>
      <c r="E5" s="298"/>
      <c r="F5" s="298"/>
      <c r="G5" s="298"/>
      <c r="H5" s="298"/>
      <c r="I5" s="298"/>
      <c r="J5" s="298"/>
      <c r="K5" s="54"/>
      <c r="N5" s="144"/>
    </row>
    <row r="8" spans="1:17" x14ac:dyDescent="0.15">
      <c r="A8" s="66" t="s">
        <v>402</v>
      </c>
      <c r="B8" s="67" t="s">
        <v>280</v>
      </c>
      <c r="C8" s="67"/>
      <c r="D8" s="67"/>
      <c r="E8" s="67"/>
      <c r="F8" s="68"/>
      <c r="G8" s="67"/>
      <c r="H8" s="67"/>
      <c r="I8" s="68"/>
      <c r="J8" s="67"/>
      <c r="K8" s="68"/>
      <c r="L8" s="67"/>
      <c r="M8" s="68"/>
      <c r="N8" s="67"/>
      <c r="O8" s="67"/>
      <c r="P8" s="67"/>
      <c r="Q8" s="67"/>
    </row>
    <row r="9" spans="1:17" x14ac:dyDescent="0.15">
      <c r="C9" s="14" t="s">
        <v>1153</v>
      </c>
    </row>
    <row r="11" spans="1:17" x14ac:dyDescent="0.15">
      <c r="B11" s="17" t="s">
        <v>19</v>
      </c>
      <c r="C11" s="15" t="s">
        <v>320</v>
      </c>
      <c r="F11" s="14"/>
    </row>
    <row r="12" spans="1:17" x14ac:dyDescent="0.15">
      <c r="B12" s="17"/>
      <c r="C12" s="14" t="s">
        <v>596</v>
      </c>
      <c r="F12" s="14"/>
    </row>
    <row r="13" spans="1:17" x14ac:dyDescent="0.15">
      <c r="B13" s="17"/>
      <c r="F13" s="14"/>
    </row>
    <row r="14" spans="1:17" x14ac:dyDescent="0.15">
      <c r="B14" s="17"/>
      <c r="C14" s="69" t="s">
        <v>879</v>
      </c>
      <c r="D14" s="70" t="s">
        <v>1494</v>
      </c>
      <c r="E14" s="58"/>
      <c r="F14" s="71"/>
    </row>
    <row r="15" spans="1:17" x14ac:dyDescent="0.15">
      <c r="B15" s="17"/>
      <c r="C15" s="72" t="s">
        <v>886</v>
      </c>
      <c r="D15" s="32" t="s">
        <v>1495</v>
      </c>
      <c r="E15" s="32"/>
      <c r="F15" s="73"/>
    </row>
    <row r="16" spans="1:17" x14ac:dyDescent="0.15">
      <c r="B16" s="17"/>
      <c r="C16" s="74" t="s">
        <v>887</v>
      </c>
      <c r="D16" s="62" t="s">
        <v>638</v>
      </c>
      <c r="E16" s="62"/>
      <c r="F16" s="75"/>
    </row>
    <row r="17" spans="2:10" x14ac:dyDescent="0.15">
      <c r="B17" s="17"/>
      <c r="F17" s="14"/>
    </row>
    <row r="18" spans="2:10" x14ac:dyDescent="0.15">
      <c r="C18" s="114"/>
      <c r="D18" s="129" t="s">
        <v>283</v>
      </c>
      <c r="F18" s="14"/>
      <c r="J18" s="17"/>
    </row>
    <row r="19" spans="2:10" x14ac:dyDescent="0.15">
      <c r="C19" s="130" t="s">
        <v>172</v>
      </c>
      <c r="D19" s="78" t="s">
        <v>173</v>
      </c>
      <c r="E19" s="14" t="s">
        <v>284</v>
      </c>
      <c r="F19" s="14"/>
    </row>
    <row r="20" spans="2:10" x14ac:dyDescent="0.15">
      <c r="C20" s="131">
        <v>100</v>
      </c>
      <c r="D20" s="81" t="str">
        <f t="shared" ref="D20:D25" si="0">NormSSR(C20)</f>
        <v>100/100</v>
      </c>
      <c r="E20" s="14" t="s">
        <v>285</v>
      </c>
      <c r="F20" s="14"/>
    </row>
    <row r="21" spans="2:10" x14ac:dyDescent="0.15">
      <c r="C21" s="131">
        <v>120</v>
      </c>
      <c r="D21" s="81" t="str">
        <f t="shared" si="0"/>
        <v>120/120</v>
      </c>
      <c r="F21" s="14"/>
    </row>
    <row r="22" spans="2:10" x14ac:dyDescent="0.15">
      <c r="C22" s="131" t="s">
        <v>6</v>
      </c>
      <c r="D22" s="81" t="str">
        <f t="shared" si="0"/>
        <v>100/110</v>
      </c>
      <c r="E22" s="14" t="s">
        <v>604</v>
      </c>
      <c r="F22" s="14"/>
    </row>
    <row r="23" spans="2:10" x14ac:dyDescent="0.15">
      <c r="C23" s="131" t="s">
        <v>338</v>
      </c>
      <c r="D23" s="81" t="str">
        <f t="shared" si="0"/>
        <v>90/120</v>
      </c>
      <c r="E23" s="14" t="s">
        <v>605</v>
      </c>
      <c r="F23" s="14"/>
    </row>
    <row r="24" spans="2:10" x14ac:dyDescent="0.15">
      <c r="C24" s="131" t="s">
        <v>288</v>
      </c>
      <c r="D24" s="81" t="str">
        <f t="shared" si="0"/>
        <v>a/120</v>
      </c>
      <c r="E24" s="14" t="s">
        <v>289</v>
      </c>
      <c r="F24" s="14"/>
    </row>
    <row r="25" spans="2:10" x14ac:dyDescent="0.15">
      <c r="C25" s="195"/>
      <c r="D25" s="84" t="str">
        <f t="shared" si="0"/>
        <v>/</v>
      </c>
      <c r="E25" s="46" t="s">
        <v>606</v>
      </c>
      <c r="F25" s="14"/>
    </row>
    <row r="26" spans="2:10" x14ac:dyDescent="0.15">
      <c r="C26" s="17"/>
    </row>
    <row r="27" spans="2:10" x14ac:dyDescent="0.15">
      <c r="B27" s="17" t="s">
        <v>291</v>
      </c>
      <c r="C27" s="15" t="s">
        <v>319</v>
      </c>
      <c r="F27" s="14"/>
    </row>
    <row r="28" spans="2:10" x14ac:dyDescent="0.15">
      <c r="B28" s="17"/>
      <c r="C28" s="14" t="s">
        <v>660</v>
      </c>
      <c r="F28" s="14"/>
    </row>
    <row r="29" spans="2:10" x14ac:dyDescent="0.15">
      <c r="B29" s="17"/>
      <c r="F29" s="14"/>
    </row>
    <row r="30" spans="2:10" x14ac:dyDescent="0.15">
      <c r="B30" s="17"/>
      <c r="C30" s="69" t="s">
        <v>879</v>
      </c>
      <c r="D30" s="70" t="s">
        <v>1496</v>
      </c>
      <c r="E30" s="58"/>
      <c r="F30" s="71"/>
    </row>
    <row r="31" spans="2:10" x14ac:dyDescent="0.15">
      <c r="B31" s="17"/>
      <c r="C31" s="72" t="s">
        <v>886</v>
      </c>
      <c r="D31" s="32" t="s">
        <v>1497</v>
      </c>
      <c r="E31" s="32"/>
      <c r="F31" s="73"/>
    </row>
    <row r="32" spans="2:10" x14ac:dyDescent="0.15">
      <c r="B32" s="17"/>
      <c r="C32" s="74" t="s">
        <v>887</v>
      </c>
      <c r="D32" s="62" t="s">
        <v>1027</v>
      </c>
      <c r="E32" s="62"/>
      <c r="F32" s="75"/>
    </row>
    <row r="33" spans="2:7" x14ac:dyDescent="0.15">
      <c r="B33" s="17"/>
      <c r="F33" s="14"/>
    </row>
    <row r="34" spans="2:7" x14ac:dyDescent="0.15">
      <c r="C34" s="182"/>
      <c r="D34" s="129" t="s">
        <v>281</v>
      </c>
      <c r="E34" s="17"/>
    </row>
    <row r="35" spans="2:7" x14ac:dyDescent="0.15">
      <c r="C35" s="130" t="s">
        <v>171</v>
      </c>
      <c r="D35" s="78" t="s">
        <v>173</v>
      </c>
      <c r="E35" s="17"/>
    </row>
    <row r="36" spans="2:7" x14ac:dyDescent="0.15">
      <c r="C36" s="131" t="s">
        <v>286</v>
      </c>
      <c r="D36" s="81" t="str">
        <f t="shared" ref="D36:D41" si="1">NormSNP(C36)</f>
        <v>CC</v>
      </c>
      <c r="E36" s="46" t="s">
        <v>600</v>
      </c>
      <c r="G36" s="17"/>
    </row>
    <row r="37" spans="2:7" x14ac:dyDescent="0.15">
      <c r="C37" s="131" t="s">
        <v>76</v>
      </c>
      <c r="D37" s="81" t="str">
        <f t="shared" si="1"/>
        <v>AB</v>
      </c>
      <c r="E37" s="46" t="s">
        <v>601</v>
      </c>
      <c r="G37" s="17"/>
    </row>
    <row r="38" spans="2:7" x14ac:dyDescent="0.15">
      <c r="C38" s="131" t="s">
        <v>75</v>
      </c>
      <c r="D38" s="81" t="str">
        <f t="shared" si="1"/>
        <v>ABC</v>
      </c>
      <c r="E38" s="46" t="s">
        <v>340</v>
      </c>
      <c r="G38" s="17"/>
    </row>
    <row r="39" spans="2:7" x14ac:dyDescent="0.15">
      <c r="C39" s="131" t="s">
        <v>339</v>
      </c>
      <c r="D39" s="81" t="str">
        <f t="shared" si="1"/>
        <v>AB</v>
      </c>
      <c r="E39" s="46" t="s">
        <v>602</v>
      </c>
    </row>
    <row r="40" spans="2:7" x14ac:dyDescent="0.15">
      <c r="C40" s="131" t="s">
        <v>74</v>
      </c>
      <c r="D40" s="81" t="str">
        <f t="shared" si="1"/>
        <v>CC</v>
      </c>
      <c r="E40" s="14" t="s">
        <v>287</v>
      </c>
    </row>
    <row r="41" spans="2:7" x14ac:dyDescent="0.15">
      <c r="C41" s="195"/>
      <c r="D41" s="84" t="str">
        <f t="shared" si="1"/>
        <v/>
      </c>
      <c r="E41" s="46" t="s">
        <v>603</v>
      </c>
    </row>
    <row r="43" spans="2:7" x14ac:dyDescent="0.15">
      <c r="B43" s="17" t="s">
        <v>310</v>
      </c>
      <c r="C43" s="15" t="s">
        <v>318</v>
      </c>
      <c r="F43" s="14"/>
    </row>
    <row r="44" spans="2:7" x14ac:dyDescent="0.15">
      <c r="B44" s="17"/>
      <c r="C44" s="14" t="s">
        <v>597</v>
      </c>
      <c r="F44" s="14"/>
    </row>
    <row r="45" spans="2:7" x14ac:dyDescent="0.15">
      <c r="B45" s="17"/>
      <c r="C45" s="46" t="s">
        <v>598</v>
      </c>
      <c r="F45" s="14"/>
    </row>
    <row r="46" spans="2:7" x14ac:dyDescent="0.15">
      <c r="B46" s="17"/>
      <c r="C46" s="46"/>
      <c r="F46" s="14"/>
    </row>
    <row r="47" spans="2:7" x14ac:dyDescent="0.15">
      <c r="B47" s="17"/>
      <c r="C47" s="69" t="s">
        <v>879</v>
      </c>
      <c r="D47" s="70" t="s">
        <v>1498</v>
      </c>
      <c r="E47" s="58"/>
      <c r="F47" s="71"/>
    </row>
    <row r="48" spans="2:7" x14ac:dyDescent="0.15">
      <c r="B48" s="17"/>
      <c r="C48" s="72" t="s">
        <v>886</v>
      </c>
      <c r="D48" s="32" t="s">
        <v>1499</v>
      </c>
      <c r="E48" s="32"/>
      <c r="F48" s="73"/>
    </row>
    <row r="49" spans="2:6" x14ac:dyDescent="0.15">
      <c r="B49" s="17"/>
      <c r="C49" s="74" t="s">
        <v>887</v>
      </c>
      <c r="D49" s="62" t="s">
        <v>1028</v>
      </c>
      <c r="E49" s="62"/>
      <c r="F49" s="75"/>
    </row>
    <row r="50" spans="2:6" x14ac:dyDescent="0.15">
      <c r="B50" s="17"/>
      <c r="C50" s="46"/>
      <c r="F50" s="14"/>
    </row>
    <row r="51" spans="2:6" x14ac:dyDescent="0.15">
      <c r="C51" s="182"/>
      <c r="D51" s="129" t="s">
        <v>282</v>
      </c>
      <c r="E51" s="17"/>
      <c r="F51" s="14"/>
    </row>
    <row r="52" spans="2:6" x14ac:dyDescent="0.15">
      <c r="C52" s="130" t="s">
        <v>170</v>
      </c>
      <c r="D52" s="78" t="s">
        <v>173</v>
      </c>
      <c r="E52" s="17"/>
    </row>
    <row r="53" spans="2:6" x14ac:dyDescent="0.15">
      <c r="C53" s="131" t="s">
        <v>11</v>
      </c>
      <c r="D53" s="81" t="str">
        <f t="shared" ref="D53:D64" si="2">NormMC(C53)</f>
        <v>A</v>
      </c>
      <c r="E53" s="46" t="s">
        <v>301</v>
      </c>
    </row>
    <row r="54" spans="2:6" x14ac:dyDescent="0.15">
      <c r="C54" s="131" t="s">
        <v>12</v>
      </c>
      <c r="D54" s="81" t="str">
        <f t="shared" si="2"/>
        <v>B</v>
      </c>
      <c r="E54" s="46" t="s">
        <v>301</v>
      </c>
    </row>
    <row r="55" spans="2:6" x14ac:dyDescent="0.15">
      <c r="C55" s="131" t="s">
        <v>13</v>
      </c>
      <c r="D55" s="81" t="str">
        <f t="shared" si="2"/>
        <v>H</v>
      </c>
      <c r="E55" s="46" t="s">
        <v>301</v>
      </c>
    </row>
    <row r="56" spans="2:6" x14ac:dyDescent="0.15">
      <c r="C56" s="131" t="s">
        <v>77</v>
      </c>
      <c r="D56" s="81" t="str">
        <f t="shared" si="2"/>
        <v>A</v>
      </c>
      <c r="E56" s="46" t="s">
        <v>599</v>
      </c>
    </row>
    <row r="57" spans="2:6" x14ac:dyDescent="0.15">
      <c r="C57" s="131" t="s">
        <v>78</v>
      </c>
      <c r="D57" s="81" t="str">
        <f t="shared" si="2"/>
        <v>B</v>
      </c>
      <c r="E57" s="46" t="s">
        <v>599</v>
      </c>
    </row>
    <row r="58" spans="2:6" x14ac:dyDescent="0.15">
      <c r="C58" s="131" t="s">
        <v>79</v>
      </c>
      <c r="D58" s="81" t="str">
        <f t="shared" si="2"/>
        <v>H</v>
      </c>
      <c r="E58" s="46" t="s">
        <v>599</v>
      </c>
    </row>
    <row r="59" spans="2:6" x14ac:dyDescent="0.15">
      <c r="C59" s="131" t="s">
        <v>80</v>
      </c>
      <c r="D59" s="81" t="str">
        <f t="shared" si="2"/>
        <v>A</v>
      </c>
      <c r="E59" s="46" t="s">
        <v>661</v>
      </c>
    </row>
    <row r="60" spans="2:6" x14ac:dyDescent="0.15">
      <c r="C60" s="131" t="s">
        <v>81</v>
      </c>
      <c r="D60" s="81" t="str">
        <f t="shared" si="2"/>
        <v>B</v>
      </c>
      <c r="E60" s="46" t="s">
        <v>661</v>
      </c>
    </row>
    <row r="61" spans="2:6" x14ac:dyDescent="0.15">
      <c r="C61" s="131" t="s">
        <v>82</v>
      </c>
      <c r="D61" s="81" t="str">
        <f t="shared" si="2"/>
        <v>H</v>
      </c>
      <c r="E61" s="46" t="s">
        <v>661</v>
      </c>
    </row>
    <row r="62" spans="2:6" x14ac:dyDescent="0.15">
      <c r="C62" s="131" t="s">
        <v>8</v>
      </c>
      <c r="D62" s="81" t="str">
        <f t="shared" si="2"/>
        <v>A</v>
      </c>
      <c r="E62" s="46" t="s">
        <v>661</v>
      </c>
    </row>
    <row r="63" spans="2:6" x14ac:dyDescent="0.15">
      <c r="C63" s="131"/>
      <c r="D63" s="81" t="str">
        <f t="shared" si="2"/>
        <v/>
      </c>
      <c r="E63" s="46" t="s">
        <v>603</v>
      </c>
    </row>
    <row r="64" spans="2:6" x14ac:dyDescent="0.15">
      <c r="C64" s="195">
        <v>3</v>
      </c>
      <c r="D64" s="84" t="str">
        <f t="shared" si="2"/>
        <v>X</v>
      </c>
      <c r="E64" s="196" t="s">
        <v>290</v>
      </c>
    </row>
    <row r="66" spans="1:17" x14ac:dyDescent="0.15">
      <c r="A66" s="66" t="s">
        <v>411</v>
      </c>
      <c r="B66" s="67" t="s">
        <v>663</v>
      </c>
      <c r="C66" s="67"/>
      <c r="D66" s="67"/>
      <c r="E66" s="67"/>
      <c r="F66" s="68"/>
      <c r="G66" s="67"/>
      <c r="H66" s="67"/>
      <c r="I66" s="68"/>
      <c r="J66" s="67"/>
      <c r="K66" s="68"/>
      <c r="L66" s="67"/>
      <c r="M66" s="68"/>
      <c r="N66" s="67"/>
      <c r="O66" s="67"/>
      <c r="P66" s="67"/>
      <c r="Q66" s="67"/>
    </row>
    <row r="67" spans="1:17" x14ac:dyDescent="0.15">
      <c r="B67" s="17"/>
      <c r="C67" s="14" t="s">
        <v>1547</v>
      </c>
    </row>
    <row r="68" spans="1:17" x14ac:dyDescent="0.15">
      <c r="B68" s="17"/>
    </row>
    <row r="69" spans="1:17" x14ac:dyDescent="0.15">
      <c r="B69" s="17" t="s">
        <v>19</v>
      </c>
      <c r="C69" s="15" t="s">
        <v>311</v>
      </c>
      <c r="F69" s="14"/>
      <c r="G69" s="17"/>
      <c r="I69" s="14"/>
    </row>
    <row r="70" spans="1:17" x14ac:dyDescent="0.15">
      <c r="B70" s="17"/>
      <c r="C70" s="14" t="s">
        <v>607</v>
      </c>
      <c r="F70" s="14"/>
      <c r="G70" s="17"/>
      <c r="I70" s="14"/>
    </row>
    <row r="71" spans="1:17" x14ac:dyDescent="0.15">
      <c r="B71" s="17"/>
      <c r="F71" s="14"/>
      <c r="G71" s="17"/>
      <c r="I71" s="14"/>
    </row>
    <row r="72" spans="1:17" x14ac:dyDescent="0.15">
      <c r="B72" s="17"/>
      <c r="C72" s="69" t="s">
        <v>879</v>
      </c>
      <c r="D72" s="70" t="s">
        <v>1500</v>
      </c>
      <c r="E72" s="58"/>
      <c r="F72" s="59"/>
      <c r="G72" s="58"/>
      <c r="H72" s="58"/>
      <c r="I72" s="58"/>
      <c r="J72" s="59"/>
      <c r="K72" s="71"/>
    </row>
    <row r="73" spans="1:17" x14ac:dyDescent="0.15">
      <c r="B73" s="17"/>
      <c r="C73" s="72" t="s">
        <v>1029</v>
      </c>
      <c r="D73" s="32" t="s">
        <v>1501</v>
      </c>
      <c r="E73" s="32"/>
      <c r="F73" s="61"/>
      <c r="G73" s="32"/>
      <c r="H73" s="32"/>
      <c r="I73" s="32"/>
      <c r="J73" s="61"/>
      <c r="K73" s="73"/>
    </row>
    <row r="74" spans="1:17" x14ac:dyDescent="0.15">
      <c r="B74" s="17"/>
      <c r="C74" s="72"/>
      <c r="D74" s="32" t="s">
        <v>1502</v>
      </c>
      <c r="E74" s="32"/>
      <c r="F74" s="61"/>
      <c r="G74" s="32"/>
      <c r="H74" s="32"/>
      <c r="I74" s="32"/>
      <c r="J74" s="61"/>
      <c r="K74" s="73"/>
    </row>
    <row r="75" spans="1:17" x14ac:dyDescent="0.15">
      <c r="B75" s="17"/>
      <c r="C75" s="74" t="s">
        <v>887</v>
      </c>
      <c r="D75" s="62" t="s">
        <v>1030</v>
      </c>
      <c r="E75" s="62"/>
      <c r="F75" s="63"/>
      <c r="G75" s="62"/>
      <c r="H75" s="62"/>
      <c r="I75" s="62"/>
      <c r="J75" s="63"/>
      <c r="K75" s="75"/>
    </row>
    <row r="76" spans="1:17" x14ac:dyDescent="0.15">
      <c r="B76" s="17"/>
      <c r="F76" s="14"/>
      <c r="G76" s="17"/>
      <c r="I76" s="14"/>
    </row>
    <row r="77" spans="1:17" x14ac:dyDescent="0.15">
      <c r="B77" s="17"/>
      <c r="C77" s="114"/>
      <c r="D77" s="114"/>
      <c r="E77" s="129" t="s">
        <v>295</v>
      </c>
      <c r="I77" s="14"/>
    </row>
    <row r="78" spans="1:17" x14ac:dyDescent="0.15">
      <c r="B78" s="17"/>
      <c r="C78" s="197" t="s">
        <v>292</v>
      </c>
      <c r="D78" s="197" t="s">
        <v>293</v>
      </c>
      <c r="E78" s="78" t="s">
        <v>294</v>
      </c>
      <c r="I78" s="14"/>
    </row>
    <row r="79" spans="1:17" x14ac:dyDescent="0.15">
      <c r="B79" s="17"/>
      <c r="C79" s="17" t="s">
        <v>58</v>
      </c>
      <c r="D79" s="17" t="s">
        <v>58</v>
      </c>
      <c r="E79" s="81" t="str">
        <f>SSRtoRelSize(C79,D79)</f>
        <v>0/0</v>
      </c>
      <c r="I79" s="14"/>
    </row>
    <row r="80" spans="1:17" x14ac:dyDescent="0.15">
      <c r="B80" s="17"/>
      <c r="C80" s="17" t="s">
        <v>59</v>
      </c>
      <c r="D80" s="17" t="s">
        <v>58</v>
      </c>
      <c r="E80" s="81" t="str">
        <f>SSRtoRelSize(C80,D80)</f>
        <v>-1/-1</v>
      </c>
      <c r="I80" s="14"/>
    </row>
    <row r="81" spans="2:9" x14ac:dyDescent="0.15">
      <c r="B81" s="17"/>
      <c r="C81" s="17" t="s">
        <v>60</v>
      </c>
      <c r="D81" s="17" t="s">
        <v>58</v>
      </c>
      <c r="E81" s="81" t="str">
        <f>SSRtoRelSize(C81,D81)</f>
        <v>-2/-2</v>
      </c>
      <c r="I81" s="14"/>
    </row>
    <row r="82" spans="2:9" x14ac:dyDescent="0.15">
      <c r="B82" s="17"/>
      <c r="C82" s="63" t="s">
        <v>61</v>
      </c>
      <c r="D82" s="63" t="s">
        <v>58</v>
      </c>
      <c r="E82" s="84" t="str">
        <f>SSRtoRelSize(C82,D82)</f>
        <v>-1/0</v>
      </c>
      <c r="I82" s="14"/>
    </row>
    <row r="83" spans="2:9" x14ac:dyDescent="0.15">
      <c r="B83" s="17"/>
      <c r="I83" s="14"/>
    </row>
    <row r="84" spans="2:9" x14ac:dyDescent="0.15">
      <c r="B84" s="17" t="s">
        <v>291</v>
      </c>
      <c r="C84" s="15" t="s">
        <v>390</v>
      </c>
      <c r="I84" s="14"/>
    </row>
    <row r="85" spans="2:9" x14ac:dyDescent="0.15">
      <c r="B85" s="17"/>
      <c r="C85" s="198" t="s">
        <v>741</v>
      </c>
      <c r="I85" s="14"/>
    </row>
    <row r="86" spans="2:9" x14ac:dyDescent="0.15">
      <c r="B86" s="17"/>
      <c r="C86" s="198"/>
      <c r="I86" s="14"/>
    </row>
    <row r="87" spans="2:9" x14ac:dyDescent="0.15">
      <c r="B87" s="17"/>
      <c r="C87" s="69" t="s">
        <v>879</v>
      </c>
      <c r="D87" s="70" t="s">
        <v>1503</v>
      </c>
      <c r="E87" s="59"/>
      <c r="F87" s="58"/>
      <c r="G87" s="58"/>
      <c r="H87" s="71"/>
      <c r="I87" s="14"/>
    </row>
    <row r="88" spans="2:9" x14ac:dyDescent="0.15">
      <c r="B88" s="17"/>
      <c r="C88" s="72" t="s">
        <v>1029</v>
      </c>
      <c r="D88" s="32" t="s">
        <v>1504</v>
      </c>
      <c r="E88" s="61"/>
      <c r="F88" s="32"/>
      <c r="G88" s="32"/>
      <c r="H88" s="73"/>
      <c r="I88" s="14"/>
    </row>
    <row r="89" spans="2:9" x14ac:dyDescent="0.15">
      <c r="B89" s="17"/>
      <c r="C89" s="72"/>
      <c r="D89" s="32" t="s">
        <v>1505</v>
      </c>
      <c r="E89" s="61"/>
      <c r="F89" s="32"/>
      <c r="G89" s="32"/>
      <c r="H89" s="73"/>
      <c r="I89" s="14"/>
    </row>
    <row r="90" spans="2:9" x14ac:dyDescent="0.15">
      <c r="B90" s="17"/>
      <c r="C90" s="74" t="s">
        <v>887</v>
      </c>
      <c r="D90" s="62" t="s">
        <v>1031</v>
      </c>
      <c r="E90" s="63"/>
      <c r="F90" s="62"/>
      <c r="G90" s="62"/>
      <c r="H90" s="75"/>
      <c r="I90" s="14"/>
    </row>
    <row r="91" spans="2:9" x14ac:dyDescent="0.15">
      <c r="B91" s="17"/>
      <c r="C91" s="198"/>
      <c r="I91" s="14"/>
    </row>
    <row r="92" spans="2:9" x14ac:dyDescent="0.15">
      <c r="B92" s="17"/>
      <c r="C92" s="114"/>
      <c r="D92" s="129"/>
      <c r="E92" s="129" t="s">
        <v>302</v>
      </c>
      <c r="I92" s="14"/>
    </row>
    <row r="93" spans="2:9" x14ac:dyDescent="0.15">
      <c r="B93" s="17"/>
      <c r="C93" s="130" t="s">
        <v>171</v>
      </c>
      <c r="D93" s="130" t="s">
        <v>303</v>
      </c>
      <c r="E93" s="78" t="s">
        <v>173</v>
      </c>
      <c r="I93" s="14"/>
    </row>
    <row r="94" spans="2:9" x14ac:dyDescent="0.15">
      <c r="B94" s="17"/>
      <c r="C94" s="17" t="s">
        <v>46</v>
      </c>
      <c r="D94" s="199" t="s">
        <v>304</v>
      </c>
      <c r="E94" s="82" t="str">
        <f>SNPwithSEP(C94,D94)</f>
        <v>A/G</v>
      </c>
    </row>
    <row r="95" spans="2:9" x14ac:dyDescent="0.15">
      <c r="B95" s="17"/>
      <c r="C95" s="17" t="s">
        <v>300</v>
      </c>
      <c r="D95" s="200" t="s">
        <v>304</v>
      </c>
      <c r="E95" s="83" t="str">
        <f t="shared" ref="E95:E100" si="3">SNPwithSEP(C95,D95)</f>
        <v>A/A</v>
      </c>
    </row>
    <row r="96" spans="2:9" x14ac:dyDescent="0.15">
      <c r="B96" s="17"/>
      <c r="C96" s="17" t="s">
        <v>296</v>
      </c>
      <c r="D96" s="200" t="s">
        <v>305</v>
      </c>
      <c r="E96" s="83" t="str">
        <f t="shared" si="3"/>
        <v>A-C</v>
      </c>
    </row>
    <row r="97" spans="2:9" x14ac:dyDescent="0.15">
      <c r="B97" s="17"/>
      <c r="C97" s="17" t="s">
        <v>308</v>
      </c>
      <c r="D97" s="200" t="s">
        <v>305</v>
      </c>
      <c r="E97" s="83" t="str">
        <f t="shared" si="3"/>
        <v>G-G</v>
      </c>
    </row>
    <row r="98" spans="2:9" x14ac:dyDescent="0.15">
      <c r="B98" s="17"/>
      <c r="C98" s="17" t="s">
        <v>297</v>
      </c>
      <c r="D98" s="200" t="s">
        <v>306</v>
      </c>
      <c r="E98" s="83" t="str">
        <f t="shared" si="3"/>
        <v>C+T</v>
      </c>
    </row>
    <row r="99" spans="2:9" x14ac:dyDescent="0.15">
      <c r="B99" s="17"/>
      <c r="C99" s="17" t="s">
        <v>309</v>
      </c>
      <c r="D99" s="200" t="s">
        <v>307</v>
      </c>
      <c r="E99" s="83" t="str">
        <f t="shared" si="3"/>
        <v>C_C</v>
      </c>
    </row>
    <row r="100" spans="2:9" x14ac:dyDescent="0.15">
      <c r="B100" s="17"/>
      <c r="C100" s="63" t="s">
        <v>299</v>
      </c>
      <c r="D100" s="201" t="s">
        <v>304</v>
      </c>
      <c r="E100" s="84" t="str">
        <f t="shared" si="3"/>
        <v>A/A</v>
      </c>
    </row>
    <row r="101" spans="2:9" x14ac:dyDescent="0.15">
      <c r="B101" s="17"/>
      <c r="I101" s="14"/>
    </row>
    <row r="102" spans="2:9" x14ac:dyDescent="0.15">
      <c r="B102" s="17" t="s">
        <v>310</v>
      </c>
      <c r="C102" s="15" t="s">
        <v>662</v>
      </c>
      <c r="I102" s="14"/>
    </row>
    <row r="103" spans="2:9" x14ac:dyDescent="0.15">
      <c r="B103" s="17"/>
      <c r="C103" s="14" t="s">
        <v>608</v>
      </c>
      <c r="I103" s="14"/>
    </row>
    <row r="104" spans="2:9" x14ac:dyDescent="0.15">
      <c r="B104" s="17"/>
      <c r="I104" s="14"/>
    </row>
    <row r="105" spans="2:9" x14ac:dyDescent="0.15">
      <c r="B105" s="17"/>
      <c r="C105" s="69" t="s">
        <v>879</v>
      </c>
      <c r="D105" s="70" t="s">
        <v>1506</v>
      </c>
      <c r="E105" s="59"/>
      <c r="F105" s="71"/>
      <c r="I105" s="14"/>
    </row>
    <row r="106" spans="2:9" x14ac:dyDescent="0.15">
      <c r="B106" s="17"/>
      <c r="C106" s="72" t="s">
        <v>886</v>
      </c>
      <c r="D106" s="32" t="s">
        <v>1507</v>
      </c>
      <c r="E106" s="61"/>
      <c r="F106" s="73"/>
      <c r="I106" s="14"/>
    </row>
    <row r="107" spans="2:9" x14ac:dyDescent="0.15">
      <c r="B107" s="17"/>
      <c r="C107" s="74" t="s">
        <v>887</v>
      </c>
      <c r="D107" s="62" t="s">
        <v>1032</v>
      </c>
      <c r="E107" s="63"/>
      <c r="F107" s="75"/>
      <c r="I107" s="14"/>
    </row>
    <row r="108" spans="2:9" x14ac:dyDescent="0.15">
      <c r="B108" s="17"/>
      <c r="I108" s="14"/>
    </row>
    <row r="109" spans="2:9" x14ac:dyDescent="0.15">
      <c r="B109" s="17"/>
      <c r="C109" s="114"/>
      <c r="D109" s="129" t="s">
        <v>312</v>
      </c>
      <c r="I109" s="14"/>
    </row>
    <row r="110" spans="2:9" x14ac:dyDescent="0.15">
      <c r="B110" s="17"/>
      <c r="C110" s="130" t="s">
        <v>170</v>
      </c>
      <c r="D110" s="78" t="s">
        <v>173</v>
      </c>
      <c r="I110" s="14"/>
    </row>
    <row r="111" spans="2:9" x14ac:dyDescent="0.15">
      <c r="B111" s="17"/>
      <c r="C111" s="17" t="s">
        <v>299</v>
      </c>
      <c r="D111" s="82" t="str">
        <f t="shared" ref="D111:D117" si="4">M2SNP(C111)</f>
        <v>AA</v>
      </c>
      <c r="I111" s="14"/>
    </row>
    <row r="112" spans="2:9" x14ac:dyDescent="0.15">
      <c r="B112" s="17"/>
      <c r="C112" s="17" t="s">
        <v>313</v>
      </c>
      <c r="D112" s="83" t="str">
        <f t="shared" si="4"/>
        <v>BB</v>
      </c>
      <c r="I112" s="14"/>
    </row>
    <row r="113" spans="1:17" x14ac:dyDescent="0.15">
      <c r="B113" s="17"/>
      <c r="C113" s="17" t="s">
        <v>314</v>
      </c>
      <c r="D113" s="83" t="str">
        <f t="shared" si="4"/>
        <v>AB</v>
      </c>
      <c r="I113" s="14"/>
    </row>
    <row r="114" spans="1:17" x14ac:dyDescent="0.15">
      <c r="B114" s="16"/>
      <c r="C114" s="17" t="s">
        <v>298</v>
      </c>
      <c r="D114" s="83" t="str">
        <f t="shared" si="4"/>
        <v>AA</v>
      </c>
      <c r="I114" s="14"/>
    </row>
    <row r="115" spans="1:17" x14ac:dyDescent="0.15">
      <c r="B115" s="16"/>
      <c r="C115" s="17" t="s">
        <v>315</v>
      </c>
      <c r="D115" s="83" t="str">
        <f t="shared" si="4"/>
        <v/>
      </c>
      <c r="E115" s="79" t="s">
        <v>1034</v>
      </c>
      <c r="I115" s="14"/>
    </row>
    <row r="116" spans="1:17" x14ac:dyDescent="0.15">
      <c r="B116" s="16"/>
      <c r="C116" s="17"/>
      <c r="D116" s="83" t="str">
        <f t="shared" si="4"/>
        <v/>
      </c>
      <c r="I116" s="14"/>
    </row>
    <row r="117" spans="1:17" s="53" customFormat="1" x14ac:dyDescent="0.15">
      <c r="A117" s="101"/>
      <c r="B117" s="101"/>
      <c r="C117" s="63" t="s">
        <v>316</v>
      </c>
      <c r="D117" s="84" t="str">
        <f t="shared" si="4"/>
        <v>AA</v>
      </c>
      <c r="E117" s="53" t="s">
        <v>1033</v>
      </c>
      <c r="F117" s="85"/>
      <c r="K117" s="85"/>
      <c r="M117" s="85"/>
    </row>
    <row r="118" spans="1:17" s="53" customFormat="1" x14ac:dyDescent="0.15">
      <c r="A118" s="101"/>
      <c r="B118" s="101"/>
      <c r="C118" s="52"/>
      <c r="D118" s="52"/>
      <c r="F118" s="85"/>
      <c r="K118" s="85"/>
      <c r="M118" s="85"/>
    </row>
    <row r="119" spans="1:17" s="53" customFormat="1" x14ac:dyDescent="0.15">
      <c r="A119" s="101"/>
      <c r="B119" s="101"/>
      <c r="C119" s="52"/>
      <c r="D119" s="202"/>
      <c r="E119" s="52"/>
      <c r="F119" s="85"/>
      <c r="K119" s="85"/>
      <c r="M119" s="85"/>
    </row>
    <row r="120" spans="1:17" x14ac:dyDescent="0.15">
      <c r="A120" s="66" t="s">
        <v>412</v>
      </c>
      <c r="B120" s="67" t="s">
        <v>609</v>
      </c>
      <c r="C120" s="67"/>
      <c r="D120" s="67"/>
      <c r="E120" s="67"/>
      <c r="F120" s="68"/>
      <c r="G120" s="67"/>
      <c r="H120" s="67"/>
      <c r="I120" s="68"/>
      <c r="J120" s="67"/>
      <c r="K120" s="68"/>
      <c r="L120" s="67"/>
      <c r="M120" s="68"/>
      <c r="N120" s="67"/>
      <c r="O120" s="67"/>
      <c r="P120" s="67"/>
      <c r="Q120" s="67"/>
    </row>
    <row r="121" spans="1:17" x14ac:dyDescent="0.15">
      <c r="B121" s="17" t="s">
        <v>19</v>
      </c>
      <c r="C121" s="15" t="s">
        <v>317</v>
      </c>
      <c r="F121" s="14"/>
      <c r="G121" s="17"/>
      <c r="I121" s="14"/>
    </row>
    <row r="122" spans="1:17" x14ac:dyDescent="0.15">
      <c r="B122" s="17"/>
      <c r="C122" s="14" t="s">
        <v>1155</v>
      </c>
      <c r="F122" s="14"/>
      <c r="G122" s="17"/>
      <c r="I122" s="14"/>
    </row>
    <row r="123" spans="1:17" x14ac:dyDescent="0.15">
      <c r="B123" s="17"/>
      <c r="F123" s="14"/>
      <c r="G123" s="17"/>
      <c r="I123" s="14"/>
      <c r="K123" s="14"/>
    </row>
    <row r="124" spans="1:17" x14ac:dyDescent="0.15">
      <c r="B124" s="17"/>
      <c r="C124" s="69" t="s">
        <v>879</v>
      </c>
      <c r="D124" s="70" t="s">
        <v>1508</v>
      </c>
      <c r="E124" s="58"/>
      <c r="F124" s="59"/>
      <c r="G124" s="58"/>
      <c r="H124" s="71"/>
      <c r="K124" s="14"/>
    </row>
    <row r="125" spans="1:17" x14ac:dyDescent="0.15">
      <c r="B125" s="17"/>
      <c r="C125" s="72" t="s">
        <v>886</v>
      </c>
      <c r="D125" s="32" t="s">
        <v>1509</v>
      </c>
      <c r="E125" s="32"/>
      <c r="F125" s="61"/>
      <c r="G125" s="32"/>
      <c r="H125" s="73"/>
      <c r="K125" s="14"/>
    </row>
    <row r="126" spans="1:17" x14ac:dyDescent="0.15">
      <c r="B126" s="17"/>
      <c r="C126" s="74" t="s">
        <v>887</v>
      </c>
      <c r="D126" s="62" t="s">
        <v>1035</v>
      </c>
      <c r="E126" s="62"/>
      <c r="F126" s="63"/>
      <c r="G126" s="62"/>
      <c r="H126" s="75"/>
      <c r="K126" s="14"/>
    </row>
    <row r="127" spans="1:17" x14ac:dyDescent="0.15">
      <c r="B127" s="17"/>
      <c r="F127" s="14"/>
      <c r="G127" s="17"/>
      <c r="I127" s="14"/>
      <c r="K127" s="14"/>
    </row>
    <row r="128" spans="1:17" x14ac:dyDescent="0.15">
      <c r="B128" s="17"/>
      <c r="C128" s="114"/>
      <c r="D128" s="129" t="s">
        <v>1046</v>
      </c>
      <c r="F128" s="14"/>
      <c r="G128" s="17"/>
      <c r="I128" s="14"/>
    </row>
    <row r="129" spans="1:17" x14ac:dyDescent="0.15">
      <c r="B129" s="16"/>
      <c r="C129" s="197" t="s">
        <v>167</v>
      </c>
      <c r="D129" s="78" t="s">
        <v>168</v>
      </c>
      <c r="F129" s="14"/>
      <c r="G129" s="17"/>
      <c r="I129" s="14"/>
    </row>
    <row r="130" spans="1:17" x14ac:dyDescent="0.15">
      <c r="B130" s="16"/>
      <c r="C130" s="17" t="s">
        <v>58</v>
      </c>
      <c r="D130" s="81">
        <f>SSRDiff(C130)</f>
        <v>0</v>
      </c>
      <c r="F130" s="14"/>
      <c r="G130" s="17"/>
      <c r="I130" s="14"/>
    </row>
    <row r="131" spans="1:17" x14ac:dyDescent="0.15">
      <c r="B131" s="16"/>
      <c r="C131" s="17" t="s">
        <v>61</v>
      </c>
      <c r="D131" s="81">
        <f>SSRDiff(C131)</f>
        <v>1</v>
      </c>
      <c r="F131" s="14"/>
      <c r="G131" s="17"/>
      <c r="I131" s="14"/>
    </row>
    <row r="132" spans="1:17" x14ac:dyDescent="0.15">
      <c r="B132" s="16"/>
      <c r="C132" s="17" t="s">
        <v>66</v>
      </c>
      <c r="D132" s="81">
        <f>SSRDiff(C132)</f>
        <v>-10</v>
      </c>
      <c r="F132" s="14"/>
      <c r="G132" s="17"/>
      <c r="I132" s="14"/>
    </row>
    <row r="133" spans="1:17" x14ac:dyDescent="0.15">
      <c r="C133" s="63" t="s">
        <v>67</v>
      </c>
      <c r="D133" s="84">
        <f>SSRDiff(C133)</f>
        <v>-20</v>
      </c>
      <c r="F133" s="14"/>
      <c r="I133" s="14"/>
    </row>
    <row r="134" spans="1:17" x14ac:dyDescent="0.15">
      <c r="F134" s="14"/>
      <c r="I134" s="14"/>
    </row>
    <row r="135" spans="1:17" x14ac:dyDescent="0.15">
      <c r="F135" s="14"/>
      <c r="I135" s="14"/>
    </row>
    <row r="136" spans="1:17" x14ac:dyDescent="0.15">
      <c r="A136" s="66" t="s">
        <v>405</v>
      </c>
      <c r="B136" s="67" t="s">
        <v>664</v>
      </c>
      <c r="C136" s="67"/>
      <c r="D136" s="67"/>
      <c r="E136" s="67"/>
      <c r="F136" s="68"/>
      <c r="G136" s="67"/>
      <c r="H136" s="67"/>
      <c r="I136" s="68"/>
      <c r="J136" s="67"/>
      <c r="K136" s="68"/>
      <c r="L136" s="67"/>
      <c r="M136" s="68"/>
      <c r="N136" s="67"/>
      <c r="O136" s="67"/>
      <c r="P136" s="67"/>
      <c r="Q136" s="67"/>
    </row>
    <row r="137" spans="1:17" s="53" customFormat="1" x14ac:dyDescent="0.15">
      <c r="A137" s="101"/>
      <c r="B137" s="17" t="s">
        <v>19</v>
      </c>
      <c r="C137" s="15" t="s">
        <v>321</v>
      </c>
      <c r="F137" s="85"/>
      <c r="I137" s="85"/>
      <c r="K137" s="85"/>
      <c r="M137" s="85"/>
    </row>
    <row r="138" spans="1:17" x14ac:dyDescent="0.15">
      <c r="C138" s="14" t="s">
        <v>325</v>
      </c>
      <c r="F138" s="14"/>
      <c r="I138" s="14"/>
    </row>
    <row r="139" spans="1:17" x14ac:dyDescent="0.15">
      <c r="C139" s="14" t="s">
        <v>742</v>
      </c>
      <c r="F139" s="14"/>
      <c r="I139" s="14"/>
    </row>
    <row r="140" spans="1:17" x14ac:dyDescent="0.15">
      <c r="C140" s="16" t="s">
        <v>665</v>
      </c>
      <c r="D140" s="203" t="s">
        <v>666</v>
      </c>
      <c r="F140" s="14"/>
      <c r="I140" s="14"/>
    </row>
    <row r="141" spans="1:17" x14ac:dyDescent="0.15">
      <c r="C141" s="16"/>
      <c r="D141" s="203"/>
      <c r="F141" s="14"/>
      <c r="I141" s="14"/>
    </row>
    <row r="142" spans="1:17" x14ac:dyDescent="0.15">
      <c r="C142" s="69" t="s">
        <v>879</v>
      </c>
      <c r="D142" s="70" t="s">
        <v>1510</v>
      </c>
      <c r="E142" s="58"/>
      <c r="F142" s="58"/>
      <c r="G142" s="58"/>
      <c r="H142" s="58"/>
      <c r="I142" s="71"/>
      <c r="K142" s="14"/>
    </row>
    <row r="143" spans="1:17" x14ac:dyDescent="0.15">
      <c r="C143" s="72" t="s">
        <v>1029</v>
      </c>
      <c r="D143" s="32" t="s">
        <v>1511</v>
      </c>
      <c r="E143" s="32"/>
      <c r="F143" s="32"/>
      <c r="G143" s="32"/>
      <c r="H143" s="32"/>
      <c r="I143" s="73"/>
      <c r="K143" s="14"/>
    </row>
    <row r="144" spans="1:17" x14ac:dyDescent="0.15">
      <c r="C144" s="72"/>
      <c r="D144" s="32" t="s">
        <v>1512</v>
      </c>
      <c r="E144" s="32"/>
      <c r="F144" s="32"/>
      <c r="G144" s="32"/>
      <c r="H144" s="32"/>
      <c r="I144" s="73"/>
      <c r="K144" s="14"/>
    </row>
    <row r="145" spans="3:15" x14ac:dyDescent="0.15">
      <c r="C145" s="72"/>
      <c r="D145" s="32" t="s">
        <v>1513</v>
      </c>
      <c r="E145" s="32"/>
      <c r="F145" s="32"/>
      <c r="G145" s="32"/>
      <c r="H145" s="32"/>
      <c r="I145" s="73"/>
      <c r="K145" s="14"/>
    </row>
    <row r="146" spans="3:15" x14ac:dyDescent="0.15">
      <c r="C146" s="74" t="s">
        <v>887</v>
      </c>
      <c r="D146" s="62" t="s">
        <v>1036</v>
      </c>
      <c r="E146" s="62"/>
      <c r="F146" s="62"/>
      <c r="G146" s="62"/>
      <c r="H146" s="62"/>
      <c r="I146" s="75"/>
      <c r="K146" s="14"/>
    </row>
    <row r="147" spans="3:15" x14ac:dyDescent="0.15">
      <c r="C147" s="16"/>
      <c r="D147" s="203"/>
      <c r="F147" s="14"/>
      <c r="I147" s="14"/>
    </row>
    <row r="148" spans="3:15" x14ac:dyDescent="0.15">
      <c r="F148" s="14"/>
      <c r="I148" s="14"/>
    </row>
    <row r="149" spans="3:15" x14ac:dyDescent="0.15">
      <c r="C149" s="204" t="s">
        <v>323</v>
      </c>
      <c r="D149" s="205">
        <v>1</v>
      </c>
      <c r="E149" s="205">
        <v>2</v>
      </c>
      <c r="F149" s="205">
        <v>3</v>
      </c>
      <c r="G149" s="205">
        <v>4</v>
      </c>
      <c r="H149" s="205">
        <v>5</v>
      </c>
      <c r="K149" s="204" t="s">
        <v>324</v>
      </c>
    </row>
    <row r="150" spans="3:15" x14ac:dyDescent="0.15">
      <c r="C150" s="206" t="s">
        <v>91</v>
      </c>
      <c r="D150" s="207" t="s">
        <v>68</v>
      </c>
      <c r="E150" s="207" t="s">
        <v>69</v>
      </c>
      <c r="F150" s="207" t="s">
        <v>43</v>
      </c>
      <c r="G150" s="207" t="s">
        <v>70</v>
      </c>
      <c r="H150" s="207" t="s">
        <v>69</v>
      </c>
      <c r="I150" s="14"/>
      <c r="K150" s="81"/>
      <c r="L150" s="114"/>
      <c r="M150" s="114"/>
      <c r="N150" s="114"/>
      <c r="O150" s="129" t="s">
        <v>322</v>
      </c>
    </row>
    <row r="151" spans="3:15" x14ac:dyDescent="0.15">
      <c r="C151" s="208" t="s">
        <v>92</v>
      </c>
      <c r="D151" s="209" t="s">
        <v>71</v>
      </c>
      <c r="E151" s="209" t="s">
        <v>71</v>
      </c>
      <c r="F151" s="209" t="s">
        <v>71</v>
      </c>
      <c r="G151" s="209" t="s">
        <v>94</v>
      </c>
      <c r="H151" s="209" t="s">
        <v>94</v>
      </c>
      <c r="I151" s="14"/>
      <c r="K151" s="205">
        <v>1</v>
      </c>
      <c r="L151" s="205">
        <v>2</v>
      </c>
      <c r="M151" s="205">
        <v>3</v>
      </c>
      <c r="N151" s="205">
        <v>4</v>
      </c>
      <c r="O151" s="205">
        <v>5</v>
      </c>
    </row>
    <row r="152" spans="3:15" x14ac:dyDescent="0.15">
      <c r="C152" s="210" t="s">
        <v>93</v>
      </c>
      <c r="D152" s="211" t="s">
        <v>72</v>
      </c>
      <c r="E152" s="211" t="s">
        <v>73</v>
      </c>
      <c r="F152" s="211" t="s">
        <v>72</v>
      </c>
      <c r="G152" s="211" t="s">
        <v>72</v>
      </c>
      <c r="H152" s="211" t="s">
        <v>73</v>
      </c>
      <c r="I152" s="14"/>
      <c r="J152" s="212" t="s">
        <v>3</v>
      </c>
      <c r="K152" s="82" t="str">
        <f t="shared" ref="K152:K160" si="5">InterpretSNP(D$150,D$151,D152)</f>
        <v>AG</v>
      </c>
      <c r="L152" s="82" t="str">
        <f t="shared" ref="L152:L160" si="6">InterpretSNP(E$150,E$151,E152)</f>
        <v>CC</v>
      </c>
      <c r="M152" s="82" t="str">
        <f t="shared" ref="M152:M160" si="7">InterpretSNP(F$150,F$151,F152)</f>
        <v>AC</v>
      </c>
      <c r="N152" s="82" t="str">
        <f t="shared" ref="N152:N160" si="8">InterpretSNP(G$150,G$151,G152)</f>
        <v>AT</v>
      </c>
      <c r="O152" s="82" t="str">
        <f t="shared" ref="O152:O160" si="9">InterpretSNP(H$150,H$151,H152)</f>
        <v>TT</v>
      </c>
    </row>
    <row r="153" spans="3:15" x14ac:dyDescent="0.15">
      <c r="C153" s="210"/>
      <c r="D153" s="211" t="s">
        <v>72</v>
      </c>
      <c r="E153" s="211" t="s">
        <v>72</v>
      </c>
      <c r="F153" s="211" t="s">
        <v>72</v>
      </c>
      <c r="G153" s="211" t="s">
        <v>72</v>
      </c>
      <c r="H153" s="211" t="s">
        <v>72</v>
      </c>
      <c r="I153" s="14"/>
      <c r="J153" s="210"/>
      <c r="K153" s="83" t="str">
        <f t="shared" si="5"/>
        <v>AG</v>
      </c>
      <c r="L153" s="83" t="str">
        <f t="shared" si="6"/>
        <v>TC</v>
      </c>
      <c r="M153" s="83" t="str">
        <f t="shared" si="7"/>
        <v>AC</v>
      </c>
      <c r="N153" s="83" t="str">
        <f t="shared" si="8"/>
        <v>AT</v>
      </c>
      <c r="O153" s="83" t="str">
        <f t="shared" si="9"/>
        <v>CT</v>
      </c>
    </row>
    <row r="154" spans="3:15" x14ac:dyDescent="0.15">
      <c r="C154" s="210"/>
      <c r="D154" s="211" t="s">
        <v>27</v>
      </c>
      <c r="E154" s="211" t="s">
        <v>72</v>
      </c>
      <c r="F154" s="211" t="s">
        <v>72</v>
      </c>
      <c r="G154" s="211" t="s">
        <v>72</v>
      </c>
      <c r="H154" s="211" t="s">
        <v>73</v>
      </c>
      <c r="I154" s="14"/>
      <c r="J154" s="210"/>
      <c r="K154" s="83" t="str">
        <f t="shared" si="5"/>
        <v>AA</v>
      </c>
      <c r="L154" s="83" t="str">
        <f t="shared" si="6"/>
        <v>TC</v>
      </c>
      <c r="M154" s="83" t="str">
        <f t="shared" si="7"/>
        <v>AC</v>
      </c>
      <c r="N154" s="83" t="str">
        <f t="shared" si="8"/>
        <v>AT</v>
      </c>
      <c r="O154" s="83" t="str">
        <f t="shared" si="9"/>
        <v>TT</v>
      </c>
    </row>
    <row r="155" spans="3:15" x14ac:dyDescent="0.15">
      <c r="C155" s="210"/>
      <c r="D155" s="211" t="s">
        <v>72</v>
      </c>
      <c r="E155" s="211" t="s">
        <v>27</v>
      </c>
      <c r="F155" s="211" t="s">
        <v>27</v>
      </c>
      <c r="G155" s="211" t="s">
        <v>72</v>
      </c>
      <c r="H155" s="211" t="s">
        <v>72</v>
      </c>
      <c r="I155" s="14"/>
      <c r="J155" s="210"/>
      <c r="K155" s="83" t="str">
        <f t="shared" si="5"/>
        <v>AG</v>
      </c>
      <c r="L155" s="83" t="str">
        <f t="shared" si="6"/>
        <v>TT</v>
      </c>
      <c r="M155" s="83" t="str">
        <f t="shared" si="7"/>
        <v>AA</v>
      </c>
      <c r="N155" s="83" t="str">
        <f t="shared" si="8"/>
        <v>AT</v>
      </c>
      <c r="O155" s="83" t="str">
        <f t="shared" si="9"/>
        <v>CT</v>
      </c>
    </row>
    <row r="156" spans="3:15" x14ac:dyDescent="0.15">
      <c r="C156" s="210"/>
      <c r="D156" s="211" t="s">
        <v>72</v>
      </c>
      <c r="E156" s="211" t="s">
        <v>72</v>
      </c>
      <c r="F156" s="211" t="s">
        <v>72</v>
      </c>
      <c r="G156" s="211" t="s">
        <v>73</v>
      </c>
      <c r="H156" s="211" t="s">
        <v>27</v>
      </c>
      <c r="I156" s="14"/>
      <c r="J156" s="210"/>
      <c r="K156" s="83" t="str">
        <f t="shared" si="5"/>
        <v>AG</v>
      </c>
      <c r="L156" s="83" t="str">
        <f t="shared" si="6"/>
        <v>TC</v>
      </c>
      <c r="M156" s="83" t="str">
        <f t="shared" si="7"/>
        <v>AC</v>
      </c>
      <c r="N156" s="83" t="str">
        <f t="shared" si="8"/>
        <v>TT</v>
      </c>
      <c r="O156" s="83" t="str">
        <f t="shared" si="9"/>
        <v>CC</v>
      </c>
    </row>
    <row r="157" spans="3:15" x14ac:dyDescent="0.15">
      <c r="C157" s="210"/>
      <c r="D157" s="211" t="s">
        <v>27</v>
      </c>
      <c r="E157" s="211" t="s">
        <v>72</v>
      </c>
      <c r="F157" s="211" t="s">
        <v>72</v>
      </c>
      <c r="G157" s="211" t="s">
        <v>72</v>
      </c>
      <c r="H157" s="213"/>
      <c r="I157" s="14"/>
      <c r="J157" s="210"/>
      <c r="K157" s="83" t="str">
        <f t="shared" si="5"/>
        <v>AA</v>
      </c>
      <c r="L157" s="83" t="str">
        <f t="shared" si="6"/>
        <v>TC</v>
      </c>
      <c r="M157" s="83" t="str">
        <f t="shared" si="7"/>
        <v>AC</v>
      </c>
      <c r="N157" s="83" t="str">
        <f t="shared" si="8"/>
        <v>AT</v>
      </c>
      <c r="O157" s="171" t="str">
        <f t="shared" si="9"/>
        <v>NN</v>
      </c>
    </row>
    <row r="158" spans="3:15" x14ac:dyDescent="0.15">
      <c r="C158" s="210"/>
      <c r="D158" s="211" t="s">
        <v>72</v>
      </c>
      <c r="E158" s="214" t="s">
        <v>326</v>
      </c>
      <c r="F158" s="211" t="s">
        <v>72</v>
      </c>
      <c r="G158" s="211" t="s">
        <v>73</v>
      </c>
      <c r="H158" s="211" t="s">
        <v>27</v>
      </c>
      <c r="I158" s="14"/>
      <c r="J158" s="210"/>
      <c r="K158" s="83" t="str">
        <f t="shared" si="5"/>
        <v>AG</v>
      </c>
      <c r="L158" s="171" t="str">
        <f t="shared" si="6"/>
        <v>NN</v>
      </c>
      <c r="M158" s="83" t="str">
        <f t="shared" si="7"/>
        <v>AC</v>
      </c>
      <c r="N158" s="83" t="str">
        <f t="shared" si="8"/>
        <v>TT</v>
      </c>
      <c r="O158" s="83" t="str">
        <f t="shared" si="9"/>
        <v>CC</v>
      </c>
    </row>
    <row r="159" spans="3:15" x14ac:dyDescent="0.15">
      <c r="C159" s="210"/>
      <c r="D159" s="211" t="s">
        <v>12</v>
      </c>
      <c r="E159" s="211" t="s">
        <v>27</v>
      </c>
      <c r="F159" s="211" t="s">
        <v>72</v>
      </c>
      <c r="G159" s="211" t="s">
        <v>73</v>
      </c>
      <c r="H159" s="211" t="s">
        <v>72</v>
      </c>
      <c r="I159" s="14"/>
      <c r="J159" s="210"/>
      <c r="K159" s="83" t="str">
        <f t="shared" si="5"/>
        <v>GG</v>
      </c>
      <c r="L159" s="83" t="str">
        <f t="shared" si="6"/>
        <v>TT</v>
      </c>
      <c r="M159" s="83" t="str">
        <f t="shared" si="7"/>
        <v>AC</v>
      </c>
      <c r="N159" s="83" t="str">
        <f t="shared" si="8"/>
        <v>TT</v>
      </c>
      <c r="O159" s="83" t="str">
        <f t="shared" si="9"/>
        <v>CT</v>
      </c>
    </row>
    <row r="160" spans="3:15" x14ac:dyDescent="0.15">
      <c r="C160" s="215"/>
      <c r="D160" s="216" t="s">
        <v>72</v>
      </c>
      <c r="E160" s="216" t="s">
        <v>72</v>
      </c>
      <c r="F160" s="216" t="s">
        <v>72</v>
      </c>
      <c r="G160" s="216" t="s">
        <v>11</v>
      </c>
      <c r="H160" s="216" t="s">
        <v>72</v>
      </c>
      <c r="I160" s="14"/>
      <c r="J160" s="215"/>
      <c r="K160" s="84" t="str">
        <f t="shared" si="5"/>
        <v>AG</v>
      </c>
      <c r="L160" s="84" t="str">
        <f t="shared" si="6"/>
        <v>TC</v>
      </c>
      <c r="M160" s="84" t="str">
        <f t="shared" si="7"/>
        <v>AC</v>
      </c>
      <c r="N160" s="84" t="str">
        <f t="shared" si="8"/>
        <v>AA</v>
      </c>
      <c r="O160" s="84" t="str">
        <f t="shared" si="9"/>
        <v>CT</v>
      </c>
    </row>
    <row r="161" spans="1:17" x14ac:dyDescent="0.15">
      <c r="F161" s="14"/>
      <c r="I161" s="14"/>
      <c r="K161" s="14"/>
      <c r="M161" s="14"/>
    </row>
    <row r="162" spans="1:17" x14ac:dyDescent="0.15">
      <c r="D162" s="14" t="s">
        <v>327</v>
      </c>
      <c r="F162" s="14"/>
      <c r="H162" s="14" t="s">
        <v>328</v>
      </c>
      <c r="I162" s="14"/>
      <c r="K162" s="14"/>
      <c r="M162" s="14"/>
    </row>
    <row r="163" spans="1:17" x14ac:dyDescent="0.15">
      <c r="F163" s="14"/>
      <c r="I163" s="14"/>
      <c r="K163" s="14"/>
      <c r="M163" s="14"/>
    </row>
    <row r="164" spans="1:17" x14ac:dyDescent="0.15">
      <c r="F164" s="14"/>
      <c r="I164" s="14"/>
      <c r="K164" s="14"/>
      <c r="M164" s="14"/>
    </row>
    <row r="165" spans="1:17" x14ac:dyDescent="0.15">
      <c r="A165" s="66" t="s">
        <v>406</v>
      </c>
      <c r="B165" s="67" t="s">
        <v>610</v>
      </c>
      <c r="C165" s="67"/>
      <c r="D165" s="67"/>
      <c r="E165" s="67"/>
      <c r="F165" s="68"/>
      <c r="G165" s="67"/>
      <c r="H165" s="67"/>
      <c r="I165" s="68"/>
      <c r="J165" s="67"/>
      <c r="K165" s="68"/>
      <c r="L165" s="67"/>
      <c r="M165" s="68"/>
      <c r="N165" s="67"/>
      <c r="O165" s="67"/>
      <c r="P165" s="67"/>
      <c r="Q165" s="67"/>
    </row>
    <row r="166" spans="1:17" x14ac:dyDescent="0.15">
      <c r="B166" s="17" t="s">
        <v>19</v>
      </c>
      <c r="C166" s="15" t="s">
        <v>330</v>
      </c>
      <c r="F166" s="14"/>
      <c r="I166" s="14"/>
      <c r="K166" s="14"/>
      <c r="M166" s="14"/>
    </row>
    <row r="167" spans="1:17" x14ac:dyDescent="0.15">
      <c r="C167" s="217" t="s">
        <v>611</v>
      </c>
      <c r="F167" s="14"/>
      <c r="I167" s="14"/>
      <c r="K167" s="14"/>
      <c r="M167" s="14"/>
    </row>
    <row r="168" spans="1:17" x14ac:dyDescent="0.15">
      <c r="C168" s="217"/>
      <c r="F168" s="14"/>
      <c r="I168" s="14"/>
      <c r="K168" s="14"/>
      <c r="M168" s="14"/>
    </row>
    <row r="169" spans="1:17" x14ac:dyDescent="0.15">
      <c r="C169" s="69" t="s">
        <v>879</v>
      </c>
      <c r="D169" s="70" t="s">
        <v>1514</v>
      </c>
      <c r="E169" s="58"/>
      <c r="F169" s="58"/>
      <c r="G169" s="71"/>
      <c r="I169" s="14"/>
      <c r="K169" s="14"/>
      <c r="M169" s="14"/>
    </row>
    <row r="170" spans="1:17" x14ac:dyDescent="0.15">
      <c r="C170" s="72" t="s">
        <v>886</v>
      </c>
      <c r="D170" s="32" t="s">
        <v>1515</v>
      </c>
      <c r="E170" s="32"/>
      <c r="F170" s="32"/>
      <c r="G170" s="73"/>
      <c r="I170" s="14"/>
      <c r="K170" s="14"/>
      <c r="M170" s="14"/>
    </row>
    <row r="171" spans="1:17" x14ac:dyDescent="0.15">
      <c r="C171" s="74" t="s">
        <v>887</v>
      </c>
      <c r="D171" s="62" t="s">
        <v>639</v>
      </c>
      <c r="E171" s="62"/>
      <c r="F171" s="62"/>
      <c r="G171" s="75"/>
      <c r="I171" s="14"/>
      <c r="K171" s="14"/>
      <c r="M171" s="14"/>
    </row>
    <row r="172" spans="1:17" x14ac:dyDescent="0.15">
      <c r="F172" s="14"/>
    </row>
    <row r="173" spans="1:17" x14ac:dyDescent="0.15">
      <c r="C173" s="129"/>
      <c r="D173" s="129" t="s">
        <v>329</v>
      </c>
    </row>
    <row r="174" spans="1:17" x14ac:dyDescent="0.15">
      <c r="B174" s="157"/>
      <c r="C174" s="130" t="s">
        <v>26</v>
      </c>
      <c r="D174" s="78" t="s">
        <v>173</v>
      </c>
    </row>
    <row r="175" spans="1:17" x14ac:dyDescent="0.15">
      <c r="C175" s="131" t="s">
        <v>11</v>
      </c>
      <c r="D175" s="81" t="str">
        <f t="shared" ref="D175:D190" si="10">HMP2SNP(C175)</f>
        <v>AA</v>
      </c>
    </row>
    <row r="176" spans="1:17" x14ac:dyDescent="0.15">
      <c r="B176" s="16"/>
      <c r="C176" s="131" t="s">
        <v>83</v>
      </c>
      <c r="D176" s="81" t="str">
        <f t="shared" si="10"/>
        <v>TT</v>
      </c>
      <c r="F176" s="14"/>
      <c r="G176" s="17"/>
    </row>
    <row r="177" spans="2:13" x14ac:dyDescent="0.15">
      <c r="B177" s="16"/>
      <c r="C177" s="131" t="s">
        <v>84</v>
      </c>
      <c r="D177" s="81" t="str">
        <f t="shared" si="10"/>
        <v>GG</v>
      </c>
      <c r="F177" s="14"/>
      <c r="G177" s="17"/>
      <c r="I177" s="14"/>
      <c r="K177" s="14"/>
      <c r="M177" s="14"/>
    </row>
    <row r="178" spans="2:13" x14ac:dyDescent="0.15">
      <c r="B178" s="16"/>
      <c r="C178" s="131" t="s">
        <v>85</v>
      </c>
      <c r="D178" s="81" t="str">
        <f t="shared" si="10"/>
        <v>CC</v>
      </c>
      <c r="F178" s="14"/>
      <c r="I178" s="14"/>
      <c r="K178" s="14"/>
      <c r="M178" s="14"/>
    </row>
    <row r="179" spans="2:13" x14ac:dyDescent="0.15">
      <c r="B179" s="16"/>
      <c r="C179" s="131" t="s">
        <v>86</v>
      </c>
      <c r="D179" s="81" t="str">
        <f t="shared" si="10"/>
        <v>AT</v>
      </c>
      <c r="F179" s="14"/>
      <c r="I179" s="14"/>
      <c r="K179" s="14"/>
      <c r="M179" s="14"/>
    </row>
    <row r="180" spans="2:13" x14ac:dyDescent="0.15">
      <c r="B180" s="16"/>
      <c r="C180" s="131" t="s">
        <v>87</v>
      </c>
      <c r="D180" s="81" t="str">
        <f t="shared" si="10"/>
        <v>AG</v>
      </c>
      <c r="F180" s="14"/>
      <c r="I180" s="14"/>
      <c r="K180" s="14"/>
      <c r="M180" s="14"/>
    </row>
    <row r="181" spans="2:13" x14ac:dyDescent="0.15">
      <c r="B181" s="16"/>
      <c r="C181" s="131" t="s">
        <v>4</v>
      </c>
      <c r="D181" s="81" t="str">
        <f t="shared" si="10"/>
        <v>AC</v>
      </c>
      <c r="F181" s="14"/>
      <c r="I181" s="14"/>
      <c r="K181" s="14"/>
      <c r="M181" s="14"/>
    </row>
    <row r="182" spans="2:13" x14ac:dyDescent="0.15">
      <c r="B182" s="16"/>
      <c r="C182" s="131" t="s">
        <v>88</v>
      </c>
      <c r="D182" s="81" t="str">
        <f t="shared" si="10"/>
        <v>TG</v>
      </c>
      <c r="F182" s="14"/>
      <c r="I182" s="14"/>
      <c r="K182" s="14"/>
      <c r="M182" s="14"/>
    </row>
    <row r="183" spans="2:13" x14ac:dyDescent="0.15">
      <c r="B183" s="16"/>
      <c r="C183" s="131" t="s">
        <v>89</v>
      </c>
      <c r="D183" s="81" t="str">
        <f t="shared" si="10"/>
        <v>TC</v>
      </c>
      <c r="F183" s="14"/>
      <c r="I183" s="14"/>
      <c r="K183" s="14"/>
      <c r="M183" s="14"/>
    </row>
    <row r="184" spans="2:13" x14ac:dyDescent="0.15">
      <c r="B184" s="16"/>
      <c r="C184" s="131" t="s">
        <v>14</v>
      </c>
      <c r="D184" s="81" t="str">
        <f t="shared" si="10"/>
        <v>GC</v>
      </c>
      <c r="F184" s="14"/>
      <c r="I184" s="14"/>
      <c r="K184" s="14"/>
      <c r="M184" s="14"/>
    </row>
    <row r="185" spans="2:13" x14ac:dyDescent="0.15">
      <c r="B185" s="16"/>
      <c r="C185" s="131" t="s">
        <v>13</v>
      </c>
      <c r="D185" s="81" t="str">
        <f t="shared" si="10"/>
        <v>ACT</v>
      </c>
      <c r="F185" s="14"/>
      <c r="I185" s="14"/>
      <c r="K185" s="14"/>
      <c r="M185" s="14"/>
    </row>
    <row r="186" spans="2:13" x14ac:dyDescent="0.15">
      <c r="B186" s="16"/>
      <c r="C186" s="131" t="s">
        <v>12</v>
      </c>
      <c r="D186" s="81" t="str">
        <f t="shared" si="10"/>
        <v>GTC</v>
      </c>
      <c r="F186" s="14"/>
      <c r="I186" s="14"/>
      <c r="K186" s="14"/>
      <c r="M186" s="14"/>
    </row>
    <row r="187" spans="2:13" x14ac:dyDescent="0.15">
      <c r="B187" s="16"/>
      <c r="C187" s="131" t="s">
        <v>138</v>
      </c>
      <c r="D187" s="81" t="str">
        <f t="shared" si="10"/>
        <v>GCA</v>
      </c>
      <c r="F187" s="14"/>
      <c r="I187" s="14"/>
      <c r="K187" s="14"/>
      <c r="M187" s="14"/>
    </row>
    <row r="188" spans="2:13" x14ac:dyDescent="0.15">
      <c r="B188" s="16"/>
      <c r="C188" s="131" t="s">
        <v>139</v>
      </c>
      <c r="D188" s="81" t="str">
        <f t="shared" si="10"/>
        <v>GAT</v>
      </c>
      <c r="F188" s="14"/>
      <c r="I188" s="14"/>
      <c r="K188" s="14"/>
      <c r="M188" s="14"/>
    </row>
    <row r="189" spans="2:13" x14ac:dyDescent="0.15">
      <c r="B189" s="16"/>
      <c r="C189" s="131" t="s">
        <v>117</v>
      </c>
      <c r="D189" s="81" t="str">
        <f t="shared" si="10"/>
        <v>NN</v>
      </c>
      <c r="F189" s="14"/>
      <c r="I189" s="14"/>
      <c r="K189" s="14"/>
      <c r="M189" s="14"/>
    </row>
    <row r="190" spans="2:13" x14ac:dyDescent="0.15">
      <c r="B190" s="16"/>
      <c r="C190" s="195" t="s">
        <v>90</v>
      </c>
      <c r="D190" s="84" t="str">
        <f t="shared" si="10"/>
        <v>ACGT</v>
      </c>
      <c r="F190" s="14"/>
      <c r="I190" s="14"/>
      <c r="K190" s="14"/>
      <c r="M190" s="14"/>
    </row>
    <row r="191" spans="2:13" x14ac:dyDescent="0.15">
      <c r="B191" s="16"/>
      <c r="F191" s="14"/>
      <c r="I191" s="14"/>
      <c r="K191" s="14"/>
      <c r="M191" s="14"/>
    </row>
    <row r="192" spans="2:13" x14ac:dyDescent="0.15">
      <c r="B192" s="16"/>
      <c r="F192" s="14"/>
      <c r="I192" s="14"/>
      <c r="K192" s="14"/>
      <c r="M192" s="14"/>
    </row>
    <row r="193" spans="2:14" x14ac:dyDescent="0.15">
      <c r="B193" s="16"/>
      <c r="F193" s="14"/>
      <c r="I193" s="14"/>
      <c r="J193" s="61"/>
      <c r="K193" s="61"/>
      <c r="L193" s="61"/>
      <c r="M193" s="61"/>
      <c r="N193" s="61"/>
    </row>
    <row r="194" spans="2:14" x14ac:dyDescent="0.15">
      <c r="B194" s="16"/>
      <c r="F194" s="14"/>
      <c r="I194" s="14"/>
      <c r="J194" s="61"/>
      <c r="K194" s="61"/>
      <c r="L194" s="61"/>
      <c r="M194" s="61"/>
      <c r="N194" s="61"/>
    </row>
    <row r="195" spans="2:14" x14ac:dyDescent="0.15">
      <c r="F195" s="14"/>
      <c r="I195" s="14"/>
      <c r="J195" s="61"/>
      <c r="K195" s="61"/>
      <c r="L195" s="61"/>
      <c r="M195" s="61"/>
      <c r="N195" s="61"/>
    </row>
    <row r="196" spans="2:14" x14ac:dyDescent="0.15">
      <c r="F196" s="14"/>
      <c r="I196" s="14"/>
      <c r="J196" s="61"/>
      <c r="K196" s="61"/>
      <c r="L196" s="61"/>
      <c r="M196" s="61"/>
      <c r="N196" s="61"/>
    </row>
    <row r="197" spans="2:14" x14ac:dyDescent="0.15">
      <c r="F197" s="14"/>
      <c r="I197" s="14"/>
      <c r="J197" s="61"/>
      <c r="K197" s="61"/>
      <c r="L197" s="61"/>
      <c r="M197" s="61"/>
      <c r="N197" s="61"/>
    </row>
    <row r="198" spans="2:14" x14ac:dyDescent="0.15">
      <c r="F198" s="14"/>
      <c r="I198" s="14"/>
      <c r="J198" s="61"/>
      <c r="K198" s="61"/>
      <c r="L198" s="61"/>
      <c r="M198" s="61"/>
      <c r="N198" s="61"/>
    </row>
    <row r="199" spans="2:14" x14ac:dyDescent="0.15">
      <c r="F199" s="14"/>
      <c r="I199" s="14"/>
      <c r="K199" s="14"/>
      <c r="M199" s="14"/>
    </row>
    <row r="200" spans="2:14" x14ac:dyDescent="0.15">
      <c r="F200" s="14"/>
      <c r="I200" s="14"/>
      <c r="K200" s="14"/>
      <c r="M200" s="14"/>
    </row>
    <row r="201" spans="2:14" x14ac:dyDescent="0.15">
      <c r="I201" s="14"/>
      <c r="K201" s="14"/>
      <c r="M201" s="14"/>
    </row>
    <row r="202" spans="2:14" x14ac:dyDescent="0.15">
      <c r="I202" s="14"/>
      <c r="K202" s="14"/>
      <c r="M202" s="14"/>
    </row>
    <row r="203" spans="2:14" x14ac:dyDescent="0.15">
      <c r="I203" s="14"/>
      <c r="K203" s="14"/>
      <c r="M203" s="14"/>
    </row>
    <row r="204" spans="2:14" x14ac:dyDescent="0.15">
      <c r="F204" s="14"/>
    </row>
    <row r="205" spans="2:14" x14ac:dyDescent="0.15">
      <c r="F205" s="14"/>
    </row>
    <row r="206" spans="2:14" x14ac:dyDescent="0.15">
      <c r="F206" s="14"/>
    </row>
    <row r="207" spans="2:14" x14ac:dyDescent="0.15">
      <c r="F207" s="14"/>
    </row>
    <row r="208" spans="2:14" x14ac:dyDescent="0.15">
      <c r="F208" s="14"/>
    </row>
    <row r="209" spans="6:6" x14ac:dyDescent="0.15">
      <c r="F209" s="14"/>
    </row>
    <row r="210" spans="6:6" x14ac:dyDescent="0.15">
      <c r="F210" s="14"/>
    </row>
    <row r="211" spans="6:6" x14ac:dyDescent="0.15">
      <c r="F211" s="14"/>
    </row>
    <row r="212" spans="6:6" x14ac:dyDescent="0.15">
      <c r="F212" s="14"/>
    </row>
    <row r="213" spans="6:6" x14ac:dyDescent="0.15">
      <c r="F213" s="14"/>
    </row>
    <row r="214" spans="6:6" x14ac:dyDescent="0.15">
      <c r="F214" s="14"/>
    </row>
    <row r="215" spans="6:6" x14ac:dyDescent="0.15">
      <c r="F215" s="14"/>
    </row>
    <row r="216" spans="6:6" x14ac:dyDescent="0.15">
      <c r="F216" s="14"/>
    </row>
    <row r="217" spans="6:6" x14ac:dyDescent="0.15">
      <c r="F217" s="14"/>
    </row>
    <row r="218" spans="6:6" x14ac:dyDescent="0.15">
      <c r="F218" s="14"/>
    </row>
    <row r="219" spans="6:6" x14ac:dyDescent="0.15">
      <c r="F219" s="14"/>
    </row>
    <row r="220" spans="6:6" x14ac:dyDescent="0.15">
      <c r="F220" s="14"/>
    </row>
    <row r="221" spans="6:6" x14ac:dyDescent="0.15">
      <c r="F221" s="14"/>
    </row>
    <row r="222" spans="6:6" x14ac:dyDescent="0.15">
      <c r="F222" s="14"/>
    </row>
  </sheetData>
  <mergeCells count="1">
    <mergeCell ref="B5:J5"/>
  </mergeCells>
  <phoneticPr fontId="1"/>
  <hyperlinks>
    <hyperlink ref="D140"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62"/>
  <sheetViews>
    <sheetView topLeftCell="A61" workbookViewId="0">
      <selection activeCell="R113" sqref="R113"/>
    </sheetView>
  </sheetViews>
  <sheetFormatPr defaultColWidth="9" defaultRowHeight="15.75" x14ac:dyDescent="0.15"/>
  <cols>
    <col min="1" max="1" width="9" style="16" customWidth="1"/>
    <col min="2" max="2" width="9" style="14"/>
    <col min="3" max="3" width="12.5" style="14" customWidth="1"/>
    <col min="4" max="5" width="11.5" style="14" customWidth="1"/>
    <col min="6" max="6" width="9" style="17"/>
    <col min="7" max="8" width="9" style="14"/>
    <col min="9" max="9" width="9" style="17"/>
    <col min="10" max="10" width="12.375" style="14" customWidth="1"/>
    <col min="11" max="11" width="12.375" style="17" customWidth="1"/>
    <col min="12" max="12" width="9" style="14"/>
    <col min="13" max="13" width="9" style="17"/>
    <col min="14" max="14" width="12.625" style="14" customWidth="1"/>
    <col min="15" max="21" width="9" style="14"/>
    <col min="22" max="24" width="27.375" style="14" customWidth="1"/>
    <col min="25" max="16384" width="9" style="14"/>
  </cols>
  <sheetData>
    <row r="1" spans="1:17" ht="21" x14ac:dyDescent="0.15">
      <c r="A1" s="254" t="s">
        <v>129</v>
      </c>
      <c r="I1" s="17" t="s">
        <v>130</v>
      </c>
      <c r="J1" s="14" t="str">
        <f>GUGS()</f>
        <v>GUGS: ver. 1.01</v>
      </c>
      <c r="K1" s="14"/>
    </row>
    <row r="3" spans="1:17" x14ac:dyDescent="0.15">
      <c r="A3" s="47" t="s">
        <v>1221</v>
      </c>
      <c r="B3" s="48"/>
      <c r="C3" s="48"/>
      <c r="D3" s="48"/>
      <c r="E3" s="48"/>
      <c r="F3" s="49"/>
      <c r="G3" s="48"/>
      <c r="H3" s="48"/>
      <c r="I3" s="49"/>
      <c r="J3" s="48"/>
      <c r="K3" s="49"/>
      <c r="L3" s="48"/>
      <c r="M3" s="49"/>
      <c r="N3" s="48"/>
      <c r="O3" s="48"/>
      <c r="P3" s="48"/>
      <c r="Q3" s="48"/>
    </row>
    <row r="4" spans="1:17" s="53" customFormat="1" x14ac:dyDescent="0.15">
      <c r="A4" s="50"/>
      <c r="B4" s="51"/>
      <c r="C4" s="51"/>
      <c r="D4" s="51"/>
      <c r="E4" s="51"/>
      <c r="F4" s="52"/>
      <c r="G4" s="51"/>
      <c r="H4" s="51"/>
      <c r="I4" s="52"/>
      <c r="J4" s="51"/>
      <c r="K4" s="52"/>
      <c r="L4" s="51"/>
      <c r="M4" s="52"/>
      <c r="N4" s="51"/>
      <c r="O4" s="51"/>
      <c r="P4" s="51"/>
      <c r="Q4" s="51"/>
    </row>
    <row r="5" spans="1:17" s="53" customFormat="1" ht="80.25" customHeight="1" x14ac:dyDescent="0.15">
      <c r="A5" s="50"/>
      <c r="B5" s="298" t="s">
        <v>1548</v>
      </c>
      <c r="C5" s="298"/>
      <c r="D5" s="298"/>
      <c r="E5" s="298"/>
      <c r="F5" s="298"/>
      <c r="G5" s="298"/>
      <c r="H5" s="298"/>
      <c r="I5" s="298"/>
      <c r="J5" s="298"/>
      <c r="K5" s="54"/>
      <c r="M5" s="52"/>
      <c r="N5" s="51"/>
      <c r="O5" s="51"/>
      <c r="P5" s="51"/>
      <c r="Q5" s="51"/>
    </row>
    <row r="6" spans="1:17" s="53" customFormat="1" x14ac:dyDescent="0.15">
      <c r="A6" s="50"/>
      <c r="B6" s="51"/>
      <c r="C6" s="51"/>
      <c r="D6" s="51"/>
      <c r="E6" s="51"/>
      <c r="F6" s="52"/>
      <c r="G6" s="51"/>
      <c r="H6" s="51"/>
      <c r="I6" s="52"/>
      <c r="J6" s="51"/>
      <c r="K6" s="52"/>
      <c r="L6" s="51"/>
      <c r="M6" s="52"/>
      <c r="N6" s="51"/>
      <c r="O6" s="51"/>
      <c r="P6" s="51"/>
      <c r="Q6" s="51"/>
    </row>
    <row r="7" spans="1:17" s="53" customFormat="1" x14ac:dyDescent="0.15">
      <c r="A7" s="50"/>
      <c r="B7" s="51"/>
      <c r="C7" s="51"/>
      <c r="D7" s="51"/>
      <c r="E7" s="51"/>
      <c r="F7" s="52"/>
      <c r="G7" s="51"/>
      <c r="H7" s="51"/>
      <c r="I7" s="52"/>
      <c r="J7" s="51"/>
      <c r="K7" s="52"/>
      <c r="L7" s="51"/>
      <c r="M7" s="52"/>
      <c r="N7" s="51"/>
      <c r="O7" s="51"/>
      <c r="P7" s="51"/>
      <c r="Q7" s="51"/>
    </row>
    <row r="8" spans="1:17" x14ac:dyDescent="0.15">
      <c r="A8" s="66" t="s">
        <v>402</v>
      </c>
      <c r="B8" s="67" t="s">
        <v>1549</v>
      </c>
      <c r="C8" s="67"/>
      <c r="D8" s="67"/>
      <c r="E8" s="67"/>
      <c r="F8" s="68"/>
      <c r="G8" s="67"/>
      <c r="H8" s="67"/>
      <c r="I8" s="68"/>
      <c r="J8" s="67"/>
      <c r="K8" s="68"/>
      <c r="L8" s="67"/>
      <c r="M8" s="68"/>
      <c r="N8" s="67"/>
      <c r="O8" s="67"/>
      <c r="P8" s="67"/>
      <c r="Q8" s="67"/>
    </row>
    <row r="9" spans="1:17" x14ac:dyDescent="0.15">
      <c r="B9" s="46" t="s">
        <v>1551</v>
      </c>
    </row>
    <row r="10" spans="1:17" x14ac:dyDescent="0.15">
      <c r="B10" s="46" t="s">
        <v>667</v>
      </c>
    </row>
    <row r="11" spans="1:17" x14ac:dyDescent="0.15">
      <c r="B11" s="46"/>
    </row>
    <row r="12" spans="1:17" x14ac:dyDescent="0.15">
      <c r="B12" s="46"/>
      <c r="C12" s="69" t="s">
        <v>879</v>
      </c>
      <c r="D12" s="70" t="s">
        <v>1467</v>
      </c>
      <c r="E12" s="59"/>
      <c r="F12" s="58"/>
      <c r="G12" s="71"/>
      <c r="J12" s="69" t="s">
        <v>879</v>
      </c>
      <c r="K12" s="70" t="s">
        <v>1468</v>
      </c>
      <c r="L12" s="59"/>
      <c r="M12" s="58"/>
      <c r="N12" s="71"/>
    </row>
    <row r="13" spans="1:17" x14ac:dyDescent="0.15">
      <c r="B13" s="46"/>
      <c r="C13" s="72" t="s">
        <v>886</v>
      </c>
      <c r="D13" s="32" t="s">
        <v>1469</v>
      </c>
      <c r="E13" s="61"/>
      <c r="F13" s="32"/>
      <c r="G13" s="73"/>
      <c r="J13" s="72" t="s">
        <v>886</v>
      </c>
      <c r="K13" s="32" t="s">
        <v>1470</v>
      </c>
      <c r="L13" s="61"/>
      <c r="M13" s="32"/>
      <c r="N13" s="73"/>
    </row>
    <row r="14" spans="1:17" x14ac:dyDescent="0.15">
      <c r="B14" s="46"/>
      <c r="C14" s="74" t="s">
        <v>887</v>
      </c>
      <c r="D14" s="62" t="s">
        <v>1037</v>
      </c>
      <c r="E14" s="63"/>
      <c r="F14" s="62"/>
      <c r="G14" s="75"/>
      <c r="J14" s="74" t="s">
        <v>887</v>
      </c>
      <c r="K14" s="62" t="s">
        <v>1038</v>
      </c>
      <c r="L14" s="63"/>
      <c r="M14" s="62"/>
      <c r="N14" s="75"/>
    </row>
    <row r="15" spans="1:17" x14ac:dyDescent="0.15">
      <c r="B15" s="46"/>
    </row>
    <row r="16" spans="1:17" x14ac:dyDescent="0.15">
      <c r="B16" s="17"/>
      <c r="C16" s="15" t="s">
        <v>331</v>
      </c>
      <c r="J16" s="15" t="s">
        <v>332</v>
      </c>
      <c r="M16" s="14"/>
    </row>
    <row r="17" spans="1:24" x14ac:dyDescent="0.15">
      <c r="B17" s="17"/>
      <c r="C17" s="15"/>
      <c r="D17" s="299" t="s">
        <v>48</v>
      </c>
      <c r="E17" s="299"/>
      <c r="F17" s="14"/>
      <c r="J17" s="299" t="s">
        <v>49</v>
      </c>
      <c r="K17" s="299"/>
    </row>
    <row r="18" spans="1:24" x14ac:dyDescent="0.15">
      <c r="B18" s="17"/>
      <c r="C18" s="15"/>
      <c r="D18" s="182"/>
      <c r="E18" s="129" t="s">
        <v>333</v>
      </c>
      <c r="J18" s="182"/>
      <c r="K18" s="129" t="s">
        <v>334</v>
      </c>
      <c r="V18" s="183"/>
      <c r="W18" s="184"/>
      <c r="X18" s="184"/>
    </row>
    <row r="19" spans="1:24" x14ac:dyDescent="0.15">
      <c r="B19" s="17"/>
      <c r="C19" s="15"/>
      <c r="D19" s="80" t="s">
        <v>172</v>
      </c>
      <c r="E19" s="78" t="s">
        <v>169</v>
      </c>
      <c r="F19" s="14"/>
      <c r="J19" s="80" t="s">
        <v>171</v>
      </c>
      <c r="K19" s="78" t="s">
        <v>169</v>
      </c>
      <c r="V19" s="183"/>
      <c r="W19" s="184"/>
      <c r="X19" s="184"/>
    </row>
    <row r="20" spans="1:24" x14ac:dyDescent="0.15">
      <c r="B20" s="17"/>
      <c r="D20" s="17" t="s">
        <v>40</v>
      </c>
      <c r="E20" s="81" t="str">
        <f>RightAllele(D20)</f>
        <v>110</v>
      </c>
      <c r="F20" s="14"/>
      <c r="J20" s="17" t="s">
        <v>42</v>
      </c>
      <c r="K20" s="81" t="str">
        <f>SNPRightAllele(J20)</f>
        <v>C</v>
      </c>
    </row>
    <row r="21" spans="1:24" x14ac:dyDescent="0.15">
      <c r="B21" s="17"/>
      <c r="D21" s="17" t="s">
        <v>41</v>
      </c>
      <c r="E21" s="81" t="str">
        <f>RightAllele(D21)</f>
        <v>130</v>
      </c>
      <c r="F21" s="14"/>
      <c r="J21" s="17" t="s">
        <v>335</v>
      </c>
      <c r="K21" s="81" t="str">
        <f>SNPRightAllele(J21)</f>
        <v>A</v>
      </c>
      <c r="L21" s="14" t="s">
        <v>668</v>
      </c>
    </row>
    <row r="22" spans="1:24" x14ac:dyDescent="0.15">
      <c r="B22" s="17"/>
      <c r="D22" s="17" t="s">
        <v>336</v>
      </c>
      <c r="E22" s="81" t="str">
        <f>RightAllele(D22)</f>
        <v>100</v>
      </c>
      <c r="F22" s="14"/>
      <c r="J22" s="17" t="s">
        <v>341</v>
      </c>
      <c r="K22" s="81" t="str">
        <f>SNPRightAllele(J22)</f>
        <v>A</v>
      </c>
      <c r="L22" s="14" t="s">
        <v>669</v>
      </c>
    </row>
    <row r="23" spans="1:24" x14ac:dyDescent="0.15">
      <c r="B23" s="17"/>
      <c r="D23" s="17" t="s">
        <v>337</v>
      </c>
      <c r="E23" s="81" t="str">
        <f>RightAllele(D23)</f>
        <v>90</v>
      </c>
      <c r="F23" s="14" t="s">
        <v>342</v>
      </c>
      <c r="J23" s="17" t="s">
        <v>45</v>
      </c>
      <c r="K23" s="81" t="str">
        <f>SNPRightAllele(J23)</f>
        <v>T</v>
      </c>
      <c r="L23" s="14" t="s">
        <v>670</v>
      </c>
    </row>
    <row r="24" spans="1:24" x14ac:dyDescent="0.15">
      <c r="B24" s="17"/>
      <c r="D24" s="63">
        <v>100</v>
      </c>
      <c r="E24" s="84" t="str">
        <f>RightAllele(D24)</f>
        <v>100</v>
      </c>
      <c r="F24" s="14"/>
      <c r="J24" s="63" t="s">
        <v>85</v>
      </c>
      <c r="K24" s="84" t="str">
        <f>SNPRightAllele(J24)</f>
        <v>C</v>
      </c>
    </row>
    <row r="25" spans="1:24" x14ac:dyDescent="0.15">
      <c r="B25" s="17"/>
      <c r="F25" s="14"/>
      <c r="I25" s="14"/>
      <c r="K25" s="14"/>
    </row>
    <row r="26" spans="1:24" x14ac:dyDescent="0.15">
      <c r="B26" s="17"/>
      <c r="F26" s="14"/>
      <c r="I26" s="14"/>
      <c r="K26" s="14"/>
    </row>
    <row r="27" spans="1:24" x14ac:dyDescent="0.15">
      <c r="A27" s="66" t="s">
        <v>403</v>
      </c>
      <c r="B27" s="67" t="s">
        <v>1550</v>
      </c>
      <c r="C27" s="67"/>
      <c r="D27" s="67"/>
      <c r="E27" s="67"/>
      <c r="F27" s="68"/>
      <c r="G27" s="67"/>
      <c r="H27" s="67"/>
      <c r="I27" s="68"/>
      <c r="J27" s="67"/>
      <c r="K27" s="68"/>
      <c r="L27" s="67"/>
      <c r="M27" s="68"/>
      <c r="N27" s="67"/>
      <c r="O27" s="67"/>
      <c r="P27" s="67"/>
      <c r="Q27" s="67"/>
    </row>
    <row r="28" spans="1:24" x14ac:dyDescent="0.15">
      <c r="B28" s="46" t="s">
        <v>1157</v>
      </c>
    </row>
    <row r="29" spans="1:24" x14ac:dyDescent="0.15">
      <c r="B29" s="46" t="s">
        <v>667</v>
      </c>
    </row>
    <row r="30" spans="1:24" x14ac:dyDescent="0.15">
      <c r="B30" s="46"/>
    </row>
    <row r="31" spans="1:24" x14ac:dyDescent="0.15">
      <c r="B31" s="46"/>
      <c r="C31" s="69" t="s">
        <v>879</v>
      </c>
      <c r="D31" s="70" t="s">
        <v>1471</v>
      </c>
      <c r="E31" s="59"/>
      <c r="F31" s="58"/>
      <c r="G31" s="71"/>
      <c r="J31" s="69" t="s">
        <v>879</v>
      </c>
      <c r="K31" s="70" t="s">
        <v>1472</v>
      </c>
      <c r="L31" s="59"/>
      <c r="M31" s="58"/>
      <c r="N31" s="71"/>
    </row>
    <row r="32" spans="1:24" x14ac:dyDescent="0.15">
      <c r="B32" s="46"/>
      <c r="C32" s="72" t="s">
        <v>886</v>
      </c>
      <c r="D32" s="32" t="s">
        <v>1473</v>
      </c>
      <c r="E32" s="61"/>
      <c r="F32" s="32"/>
      <c r="G32" s="73"/>
      <c r="J32" s="72" t="s">
        <v>886</v>
      </c>
      <c r="K32" s="32" t="s">
        <v>1470</v>
      </c>
      <c r="L32" s="61"/>
      <c r="M32" s="32"/>
      <c r="N32" s="73"/>
    </row>
    <row r="33" spans="1:17" x14ac:dyDescent="0.15">
      <c r="B33" s="46"/>
      <c r="C33" s="74" t="s">
        <v>887</v>
      </c>
      <c r="D33" s="62" t="s">
        <v>1039</v>
      </c>
      <c r="E33" s="63"/>
      <c r="F33" s="62"/>
      <c r="G33" s="75"/>
      <c r="J33" s="74" t="s">
        <v>887</v>
      </c>
      <c r="K33" s="62" t="s">
        <v>1040</v>
      </c>
      <c r="L33" s="63"/>
      <c r="M33" s="62"/>
      <c r="N33" s="75"/>
    </row>
    <row r="34" spans="1:17" x14ac:dyDescent="0.15">
      <c r="B34" s="46"/>
    </row>
    <row r="35" spans="1:17" x14ac:dyDescent="0.15">
      <c r="B35" s="17"/>
      <c r="C35" s="15" t="s">
        <v>343</v>
      </c>
      <c r="J35" s="15" t="s">
        <v>344</v>
      </c>
    </row>
    <row r="36" spans="1:17" x14ac:dyDescent="0.15">
      <c r="D36" s="299" t="s">
        <v>2</v>
      </c>
      <c r="E36" s="299"/>
      <c r="J36" s="299" t="s">
        <v>3</v>
      </c>
      <c r="K36" s="299"/>
    </row>
    <row r="37" spans="1:17" x14ac:dyDescent="0.15">
      <c r="D37" s="182"/>
      <c r="E37" s="129" t="s">
        <v>381</v>
      </c>
      <c r="F37" s="14"/>
      <c r="J37" s="182"/>
      <c r="K37" s="129" t="s">
        <v>382</v>
      </c>
    </row>
    <row r="38" spans="1:17" x14ac:dyDescent="0.15">
      <c r="D38" s="80" t="s">
        <v>172</v>
      </c>
      <c r="E38" s="78" t="s">
        <v>169</v>
      </c>
      <c r="F38" s="14"/>
      <c r="J38" s="80" t="s">
        <v>171</v>
      </c>
      <c r="K38" s="78" t="s">
        <v>169</v>
      </c>
    </row>
    <row r="39" spans="1:17" x14ac:dyDescent="0.15">
      <c r="D39" s="17" t="s">
        <v>40</v>
      </c>
      <c r="E39" s="81" t="str">
        <f>LeftAllele(D39)</f>
        <v>100</v>
      </c>
      <c r="F39" s="14"/>
      <c r="J39" s="17" t="s">
        <v>42</v>
      </c>
      <c r="K39" s="81" t="str">
        <f>SNPLeftAllele(J39)</f>
        <v>A</v>
      </c>
    </row>
    <row r="40" spans="1:17" x14ac:dyDescent="0.15">
      <c r="D40" s="17" t="s">
        <v>41</v>
      </c>
      <c r="E40" s="81" t="str">
        <f>LeftAllele(D40)</f>
        <v>120</v>
      </c>
      <c r="F40" s="14"/>
      <c r="J40" s="17" t="s">
        <v>335</v>
      </c>
      <c r="K40" s="81" t="str">
        <f>SNPLeftAllele(J40)</f>
        <v>C</v>
      </c>
    </row>
    <row r="41" spans="1:17" x14ac:dyDescent="0.15">
      <c r="D41" s="17" t="s">
        <v>336</v>
      </c>
      <c r="E41" s="81" t="str">
        <f>LeftAllele(D41)</f>
        <v>90</v>
      </c>
      <c r="F41" s="14"/>
      <c r="J41" s="17" t="s">
        <v>341</v>
      </c>
      <c r="K41" s="81" t="str">
        <f>SNPLeftAllele(J41)</f>
        <v>G</v>
      </c>
    </row>
    <row r="42" spans="1:17" x14ac:dyDescent="0.15">
      <c r="D42" s="17" t="s">
        <v>337</v>
      </c>
      <c r="E42" s="81" t="str">
        <f>LeftAllele(D42)</f>
        <v>100</v>
      </c>
      <c r="F42" s="14"/>
      <c r="J42" s="17" t="s">
        <v>45</v>
      </c>
      <c r="K42" s="81" t="str">
        <f>SNPLeftAllele(J42)</f>
        <v>C</v>
      </c>
    </row>
    <row r="43" spans="1:17" x14ac:dyDescent="0.15">
      <c r="D43" s="63">
        <v>100</v>
      </c>
      <c r="E43" s="84" t="str">
        <f>LeftAllele(D43)</f>
        <v>100</v>
      </c>
      <c r="F43" s="14"/>
      <c r="J43" s="63" t="s">
        <v>85</v>
      </c>
      <c r="K43" s="84" t="str">
        <f>SNPLeftAllele(J43)</f>
        <v>C</v>
      </c>
    </row>
    <row r="44" spans="1:17" x14ac:dyDescent="0.15">
      <c r="F44" s="14"/>
      <c r="I44" s="14"/>
      <c r="K44" s="14"/>
    </row>
    <row r="45" spans="1:17" x14ac:dyDescent="0.15">
      <c r="F45" s="14"/>
      <c r="J45" s="61"/>
      <c r="K45" s="14"/>
    </row>
    <row r="46" spans="1:17" x14ac:dyDescent="0.15">
      <c r="A46" s="66" t="s">
        <v>404</v>
      </c>
      <c r="B46" s="67" t="s">
        <v>408</v>
      </c>
      <c r="C46" s="67"/>
      <c r="D46" s="67"/>
      <c r="E46" s="67"/>
      <c r="F46" s="68"/>
      <c r="G46" s="67"/>
      <c r="H46" s="67"/>
      <c r="I46" s="68"/>
      <c r="J46" s="67"/>
      <c r="K46" s="68"/>
      <c r="L46" s="67"/>
      <c r="M46" s="68"/>
      <c r="N46" s="67"/>
      <c r="O46" s="67"/>
      <c r="P46" s="67"/>
      <c r="Q46" s="67"/>
    </row>
    <row r="47" spans="1:17" x14ac:dyDescent="0.15">
      <c r="B47" s="14" t="s">
        <v>612</v>
      </c>
      <c r="D47" s="17"/>
      <c r="F47" s="14"/>
      <c r="G47" s="17"/>
      <c r="J47" s="17"/>
      <c r="K47" s="14"/>
      <c r="L47" s="17"/>
    </row>
    <row r="48" spans="1:17" x14ac:dyDescent="0.15">
      <c r="B48" s="14" t="s">
        <v>613</v>
      </c>
      <c r="D48" s="17"/>
      <c r="F48" s="14"/>
      <c r="G48" s="17"/>
      <c r="J48" s="17"/>
      <c r="K48" s="14"/>
      <c r="L48" s="17"/>
    </row>
    <row r="49" spans="3:14" x14ac:dyDescent="0.15">
      <c r="D49" s="17"/>
      <c r="F49" s="14"/>
      <c r="G49" s="17"/>
      <c r="J49" s="17"/>
      <c r="K49" s="14"/>
      <c r="L49" s="17"/>
    </row>
    <row r="50" spans="3:14" x14ac:dyDescent="0.15">
      <c r="C50" s="69" t="s">
        <v>879</v>
      </c>
      <c r="D50" s="70" t="s">
        <v>1474</v>
      </c>
      <c r="E50" s="59"/>
      <c r="F50" s="58"/>
      <c r="G50" s="71"/>
      <c r="J50" s="69" t="s">
        <v>879</v>
      </c>
      <c r="K50" s="70" t="s">
        <v>1475</v>
      </c>
      <c r="L50" s="59"/>
      <c r="M50" s="58"/>
      <c r="N50" s="71"/>
    </row>
    <row r="51" spans="3:14" x14ac:dyDescent="0.15">
      <c r="C51" s="72" t="s">
        <v>886</v>
      </c>
      <c r="D51" s="32" t="s">
        <v>1473</v>
      </c>
      <c r="E51" s="61"/>
      <c r="F51" s="32"/>
      <c r="G51" s="73"/>
      <c r="J51" s="72" t="s">
        <v>886</v>
      </c>
      <c r="K51" s="32" t="s">
        <v>1476</v>
      </c>
      <c r="L51" s="61"/>
      <c r="M51" s="32"/>
      <c r="N51" s="73"/>
    </row>
    <row r="52" spans="3:14" x14ac:dyDescent="0.15">
      <c r="C52" s="74" t="s">
        <v>887</v>
      </c>
      <c r="D52" s="62" t="s">
        <v>1041</v>
      </c>
      <c r="E52" s="63"/>
      <c r="F52" s="62"/>
      <c r="G52" s="75"/>
      <c r="J52" s="74" t="s">
        <v>887</v>
      </c>
      <c r="K52" s="62" t="s">
        <v>1041</v>
      </c>
      <c r="L52" s="63"/>
      <c r="M52" s="62"/>
      <c r="N52" s="75"/>
    </row>
    <row r="53" spans="3:14" x14ac:dyDescent="0.15">
      <c r="D53" s="17"/>
      <c r="F53" s="14"/>
      <c r="G53" s="17"/>
      <c r="J53" s="17"/>
      <c r="K53" s="14"/>
      <c r="L53" s="17"/>
    </row>
    <row r="54" spans="3:14" x14ac:dyDescent="0.15">
      <c r="C54" s="15" t="s">
        <v>346</v>
      </c>
      <c r="J54" s="15" t="s">
        <v>347</v>
      </c>
      <c r="K54" s="14"/>
      <c r="M54" s="14"/>
    </row>
    <row r="55" spans="3:14" x14ac:dyDescent="0.15">
      <c r="D55" s="299" t="s">
        <v>2</v>
      </c>
      <c r="E55" s="299"/>
      <c r="J55" s="299" t="s">
        <v>3</v>
      </c>
      <c r="K55" s="299"/>
      <c r="M55" s="14"/>
    </row>
    <row r="56" spans="3:14" x14ac:dyDescent="0.15">
      <c r="D56" s="182"/>
      <c r="E56" s="129" t="s">
        <v>348</v>
      </c>
      <c r="F56" s="14"/>
      <c r="J56" s="182"/>
      <c r="K56" s="129" t="s">
        <v>349</v>
      </c>
    </row>
    <row r="57" spans="3:14" x14ac:dyDescent="0.15">
      <c r="D57" s="80" t="s">
        <v>172</v>
      </c>
      <c r="E57" s="78" t="s">
        <v>169</v>
      </c>
      <c r="F57" s="14"/>
      <c r="J57" s="80" t="s">
        <v>171</v>
      </c>
      <c r="K57" s="78" t="s">
        <v>169</v>
      </c>
    </row>
    <row r="58" spans="3:14" x14ac:dyDescent="0.15">
      <c r="D58" s="17" t="s">
        <v>6</v>
      </c>
      <c r="E58" s="81" t="b">
        <f>IsHOMOzygous(D58)</f>
        <v>0</v>
      </c>
      <c r="F58" s="14"/>
      <c r="J58" s="17" t="s">
        <v>42</v>
      </c>
      <c r="K58" s="81" t="b">
        <f>SNPIsHOMOzygous(J58)</f>
        <v>0</v>
      </c>
      <c r="L58" s="14" t="s">
        <v>354</v>
      </c>
    </row>
    <row r="59" spans="3:14" x14ac:dyDescent="0.15">
      <c r="D59" s="17" t="s">
        <v>7</v>
      </c>
      <c r="E59" s="81" t="b">
        <f>IsHOMOzygous(D59)</f>
        <v>1</v>
      </c>
      <c r="F59" s="14"/>
      <c r="J59" s="17" t="s">
        <v>62</v>
      </c>
      <c r="K59" s="81" t="b">
        <f>SNPIsHOMOzygous(J59)</f>
        <v>1</v>
      </c>
      <c r="L59" s="14" t="s">
        <v>355</v>
      </c>
    </row>
    <row r="60" spans="3:14" x14ac:dyDescent="0.15">
      <c r="D60" s="17" t="s">
        <v>336</v>
      </c>
      <c r="E60" s="81" t="b">
        <f>IsHOMOzygous(D60)</f>
        <v>0</v>
      </c>
      <c r="F60" s="14"/>
      <c r="J60" s="17" t="s">
        <v>45</v>
      </c>
      <c r="K60" s="81" t="b">
        <f>SNPIsHOMOzygous(J60)</f>
        <v>0</v>
      </c>
      <c r="L60" s="14" t="s">
        <v>353</v>
      </c>
    </row>
    <row r="61" spans="3:14" x14ac:dyDescent="0.15">
      <c r="D61" s="17" t="s">
        <v>350</v>
      </c>
      <c r="E61" s="81" t="b">
        <f>IsHOMOzygous(D61)</f>
        <v>1</v>
      </c>
      <c r="F61" s="14"/>
      <c r="J61" s="17" t="s">
        <v>351</v>
      </c>
      <c r="K61" s="81" t="b">
        <f>SNPIsHOMOzygous(J61)</f>
        <v>1</v>
      </c>
    </row>
    <row r="62" spans="3:14" x14ac:dyDescent="0.15">
      <c r="D62" s="63">
        <v>100</v>
      </c>
      <c r="E62" s="84" t="b">
        <f>IsHOMOzygous(D62)</f>
        <v>1</v>
      </c>
      <c r="F62" s="14"/>
      <c r="J62" s="63" t="s">
        <v>85</v>
      </c>
      <c r="K62" s="84" t="b">
        <f>SNPIsHOMOzygous(J62)</f>
        <v>1</v>
      </c>
      <c r="L62" s="14" t="s">
        <v>352</v>
      </c>
    </row>
    <row r="63" spans="3:14" x14ac:dyDescent="0.15">
      <c r="F63" s="14"/>
      <c r="L63" s="17"/>
    </row>
    <row r="65" spans="1:17" x14ac:dyDescent="0.15">
      <c r="A65" s="66" t="s">
        <v>405</v>
      </c>
      <c r="B65" s="67" t="s">
        <v>407</v>
      </c>
      <c r="C65" s="67"/>
      <c r="D65" s="67"/>
      <c r="E65" s="67"/>
      <c r="F65" s="68"/>
      <c r="G65" s="67"/>
      <c r="H65" s="67"/>
      <c r="I65" s="68"/>
      <c r="J65" s="67"/>
      <c r="K65" s="68"/>
      <c r="L65" s="67"/>
      <c r="M65" s="68"/>
      <c r="N65" s="67"/>
      <c r="O65" s="67"/>
      <c r="P65" s="67"/>
      <c r="Q65" s="67"/>
    </row>
    <row r="66" spans="1:17" x14ac:dyDescent="0.15">
      <c r="B66" s="14" t="s">
        <v>671</v>
      </c>
    </row>
    <row r="67" spans="1:17" ht="60" customHeight="1" x14ac:dyDescent="0.15">
      <c r="B67" s="301" t="s">
        <v>1554</v>
      </c>
      <c r="C67" s="301"/>
      <c r="D67" s="301"/>
      <c r="E67" s="301"/>
      <c r="F67" s="301"/>
      <c r="G67" s="301"/>
      <c r="H67" s="301"/>
      <c r="I67" s="301"/>
      <c r="J67" s="301"/>
      <c r="K67" s="301"/>
      <c r="L67" s="301"/>
    </row>
    <row r="69" spans="1:17" x14ac:dyDescent="0.15">
      <c r="C69" s="69" t="s">
        <v>879</v>
      </c>
      <c r="D69" s="70" t="s">
        <v>1477</v>
      </c>
      <c r="E69" s="59"/>
      <c r="F69" s="58"/>
      <c r="G69" s="71"/>
      <c r="J69" s="69" t="s">
        <v>879</v>
      </c>
      <c r="K69" s="70" t="s">
        <v>1478</v>
      </c>
      <c r="L69" s="59"/>
      <c r="M69" s="58"/>
      <c r="N69" s="71"/>
    </row>
    <row r="70" spans="1:17" x14ac:dyDescent="0.15">
      <c r="C70" s="72" t="s">
        <v>1042</v>
      </c>
      <c r="D70" s="32" t="s">
        <v>1479</v>
      </c>
      <c r="E70" s="61"/>
      <c r="F70" s="32"/>
      <c r="G70" s="73"/>
      <c r="J70" s="72" t="s">
        <v>1042</v>
      </c>
      <c r="K70" s="32" t="s">
        <v>1480</v>
      </c>
      <c r="L70" s="61"/>
      <c r="M70" s="32"/>
      <c r="N70" s="73"/>
    </row>
    <row r="71" spans="1:17" x14ac:dyDescent="0.15">
      <c r="C71" s="72"/>
      <c r="D71" s="32" t="s">
        <v>1553</v>
      </c>
      <c r="E71" s="61"/>
      <c r="F71" s="32"/>
      <c r="G71" s="73"/>
      <c r="J71" s="74" t="s">
        <v>887</v>
      </c>
      <c r="K71" s="62" t="s">
        <v>1043</v>
      </c>
      <c r="L71" s="63"/>
      <c r="M71" s="62"/>
      <c r="N71" s="75"/>
    </row>
    <row r="72" spans="1:17" x14ac:dyDescent="0.15">
      <c r="C72" s="72"/>
      <c r="D72" s="32" t="s">
        <v>1552</v>
      </c>
      <c r="E72" s="61"/>
      <c r="F72" s="32"/>
      <c r="G72" s="73"/>
      <c r="J72" s="32"/>
      <c r="K72" s="32"/>
      <c r="L72" s="61"/>
      <c r="M72" s="32"/>
      <c r="N72" s="32"/>
    </row>
    <row r="73" spans="1:17" x14ac:dyDescent="0.15">
      <c r="C73" s="74" t="s">
        <v>887</v>
      </c>
      <c r="D73" s="62" t="s">
        <v>1043</v>
      </c>
      <c r="E73" s="63"/>
      <c r="F73" s="62"/>
      <c r="G73" s="75"/>
    </row>
    <row r="75" spans="1:17" x14ac:dyDescent="0.15">
      <c r="C75" s="15" t="s">
        <v>356</v>
      </c>
      <c r="J75" s="15" t="s">
        <v>357</v>
      </c>
    </row>
    <row r="76" spans="1:17" x14ac:dyDescent="0.15">
      <c r="D76" s="300" t="s">
        <v>2</v>
      </c>
      <c r="E76" s="300"/>
      <c r="F76" s="300"/>
      <c r="G76" s="300"/>
      <c r="J76" s="300" t="s">
        <v>3</v>
      </c>
      <c r="K76" s="300"/>
      <c r="L76" s="300"/>
    </row>
    <row r="77" spans="1:17" x14ac:dyDescent="0.15">
      <c r="D77" s="129"/>
      <c r="E77" s="129"/>
      <c r="F77" s="182"/>
      <c r="G77" s="129" t="s">
        <v>391</v>
      </c>
      <c r="J77" s="182"/>
      <c r="K77" s="182"/>
      <c r="L77" s="129" t="s">
        <v>392</v>
      </c>
    </row>
    <row r="78" spans="1:17" x14ac:dyDescent="0.15">
      <c r="D78" s="80" t="s">
        <v>55</v>
      </c>
      <c r="E78" s="80" t="s">
        <v>56</v>
      </c>
      <c r="F78" s="80" t="s">
        <v>57</v>
      </c>
      <c r="G78" s="80" t="s">
        <v>169</v>
      </c>
      <c r="J78" s="80" t="s">
        <v>64</v>
      </c>
      <c r="K78" s="80" t="s">
        <v>65</v>
      </c>
      <c r="L78" s="78" t="s">
        <v>169</v>
      </c>
    </row>
    <row r="79" spans="1:17" x14ac:dyDescent="0.15">
      <c r="D79" s="17" t="s">
        <v>58</v>
      </c>
      <c r="E79" s="17" t="s">
        <v>58</v>
      </c>
      <c r="F79" s="17">
        <v>0</v>
      </c>
      <c r="G79" s="17" t="b">
        <f>IsSameSSR(D79,E79,F79)</f>
        <v>1</v>
      </c>
      <c r="J79" s="17" t="s">
        <v>62</v>
      </c>
      <c r="K79" s="17" t="s">
        <v>62</v>
      </c>
      <c r="L79" s="81" t="b">
        <f>SNPmatch(J79,K79)</f>
        <v>1</v>
      </c>
    </row>
    <row r="80" spans="1:17" x14ac:dyDescent="0.15">
      <c r="D80" s="17" t="s">
        <v>59</v>
      </c>
      <c r="E80" s="17" t="s">
        <v>58</v>
      </c>
      <c r="F80" s="17">
        <v>0</v>
      </c>
      <c r="G80" s="17" t="b">
        <f>IsSameSSR(D80,E80,F80)</f>
        <v>0</v>
      </c>
      <c r="J80" s="17" t="s">
        <v>366</v>
      </c>
      <c r="K80" s="17" t="s">
        <v>360</v>
      </c>
      <c r="L80" s="81" t="b">
        <f>SNPmatch(J80,K80)</f>
        <v>0</v>
      </c>
    </row>
    <row r="81" spans="1:17" x14ac:dyDescent="0.15">
      <c r="D81" s="17" t="s">
        <v>60</v>
      </c>
      <c r="E81" s="17" t="s">
        <v>58</v>
      </c>
      <c r="F81" s="17">
        <v>1</v>
      </c>
      <c r="G81" s="17" t="b">
        <f>IsSameSSR(D81,E81,F81)</f>
        <v>0</v>
      </c>
      <c r="H81" s="14" t="s">
        <v>358</v>
      </c>
      <c r="J81" s="17" t="s">
        <v>44</v>
      </c>
      <c r="K81" s="17" t="s">
        <v>42</v>
      </c>
      <c r="L81" s="81" t="b">
        <f>SNPmatch(J81,K81)</f>
        <v>1</v>
      </c>
    </row>
    <row r="82" spans="1:17" x14ac:dyDescent="0.15">
      <c r="D82" s="17" t="s">
        <v>1244</v>
      </c>
      <c r="E82" s="17" t="s">
        <v>1245</v>
      </c>
      <c r="F82" s="17">
        <v>2</v>
      </c>
      <c r="G82" s="17" t="b">
        <f>IsSameSSR(D82,E82,F82)</f>
        <v>1</v>
      </c>
      <c r="J82" s="17" t="s">
        <v>44</v>
      </c>
      <c r="K82" s="17" t="s">
        <v>367</v>
      </c>
      <c r="L82" s="81" t="b">
        <f>SNPmatch(J82,K82)</f>
        <v>1</v>
      </c>
    </row>
    <row r="83" spans="1:17" x14ac:dyDescent="0.15">
      <c r="D83" s="63" t="s">
        <v>61</v>
      </c>
      <c r="E83" s="63" t="s">
        <v>58</v>
      </c>
      <c r="F83" s="63">
        <v>2</v>
      </c>
      <c r="G83" s="63" t="b">
        <f>IsSameSSR(D83,E83,F83)</f>
        <v>0</v>
      </c>
      <c r="H83" s="14" t="s">
        <v>359</v>
      </c>
      <c r="J83" s="63" t="s">
        <v>308</v>
      </c>
      <c r="K83" s="63" t="s">
        <v>368</v>
      </c>
      <c r="L83" s="84" t="b">
        <f>SNPmatch(J83,K83)</f>
        <v>0</v>
      </c>
    </row>
    <row r="84" spans="1:17" x14ac:dyDescent="0.15">
      <c r="F84" s="14"/>
      <c r="G84" s="17"/>
    </row>
    <row r="85" spans="1:17" x14ac:dyDescent="0.15">
      <c r="C85" s="14" t="s">
        <v>1152</v>
      </c>
    </row>
    <row r="86" spans="1:17" x14ac:dyDescent="0.15">
      <c r="C86" s="46" t="s">
        <v>1555</v>
      </c>
    </row>
    <row r="88" spans="1:17" x14ac:dyDescent="0.15">
      <c r="A88" s="66" t="s">
        <v>406</v>
      </c>
      <c r="B88" s="67" t="s">
        <v>1158</v>
      </c>
      <c r="C88" s="67"/>
      <c r="D88" s="67"/>
      <c r="E88" s="67"/>
      <c r="F88" s="68"/>
      <c r="G88" s="67"/>
      <c r="H88" s="67"/>
      <c r="I88" s="68"/>
      <c r="J88" s="67"/>
      <c r="K88" s="68"/>
      <c r="L88" s="67"/>
      <c r="M88" s="68"/>
      <c r="N88" s="67"/>
      <c r="O88" s="67"/>
      <c r="P88" s="67"/>
      <c r="Q88" s="67"/>
    </row>
    <row r="89" spans="1:17" x14ac:dyDescent="0.15">
      <c r="B89" s="14" t="s">
        <v>614</v>
      </c>
    </row>
    <row r="91" spans="1:17" x14ac:dyDescent="0.15">
      <c r="C91" s="69" t="s">
        <v>879</v>
      </c>
      <c r="D91" s="70" t="s">
        <v>1481</v>
      </c>
      <c r="E91" s="59"/>
      <c r="F91" s="58"/>
      <c r="G91" s="71"/>
      <c r="J91" s="69" t="s">
        <v>879</v>
      </c>
      <c r="K91" s="70" t="s">
        <v>1482</v>
      </c>
      <c r="L91" s="59"/>
      <c r="M91" s="58"/>
      <c r="N91" s="71"/>
    </row>
    <row r="92" spans="1:17" x14ac:dyDescent="0.15">
      <c r="C92" s="72" t="s">
        <v>1042</v>
      </c>
      <c r="D92" s="32" t="s">
        <v>1483</v>
      </c>
      <c r="E92" s="61"/>
      <c r="F92" s="32"/>
      <c r="G92" s="73"/>
      <c r="J92" s="72" t="s">
        <v>1042</v>
      </c>
      <c r="K92" s="32" t="s">
        <v>1484</v>
      </c>
      <c r="L92" s="61"/>
      <c r="M92" s="32"/>
      <c r="N92" s="73"/>
    </row>
    <row r="93" spans="1:17" x14ac:dyDescent="0.15">
      <c r="C93" s="72"/>
      <c r="D93" s="32" t="s">
        <v>1485</v>
      </c>
      <c r="E93" s="61"/>
      <c r="F93" s="32"/>
      <c r="G93" s="73"/>
      <c r="J93" s="72"/>
      <c r="K93" s="32" t="s">
        <v>1486</v>
      </c>
      <c r="L93" s="61"/>
      <c r="M93" s="32"/>
      <c r="N93" s="73"/>
    </row>
    <row r="94" spans="1:17" x14ac:dyDescent="0.15">
      <c r="C94" s="74" t="s">
        <v>887</v>
      </c>
      <c r="D94" s="62" t="s">
        <v>1044</v>
      </c>
      <c r="E94" s="63"/>
      <c r="F94" s="62"/>
      <c r="G94" s="75"/>
      <c r="J94" s="74" t="s">
        <v>887</v>
      </c>
      <c r="K94" s="62" t="s">
        <v>1044</v>
      </c>
      <c r="L94" s="63"/>
      <c r="M94" s="62"/>
      <c r="N94" s="75"/>
    </row>
    <row r="95" spans="1:17" x14ac:dyDescent="0.15">
      <c r="C95" s="32"/>
      <c r="D95" s="32"/>
      <c r="E95" s="61"/>
      <c r="F95" s="32"/>
      <c r="G95" s="32"/>
      <c r="J95" s="32"/>
      <c r="K95" s="32"/>
      <c r="L95" s="61"/>
      <c r="M95" s="32"/>
      <c r="N95" s="32"/>
    </row>
    <row r="96" spans="1:17" x14ac:dyDescent="0.15">
      <c r="C96" s="15" t="s">
        <v>361</v>
      </c>
      <c r="J96" s="15" t="s">
        <v>362</v>
      </c>
    </row>
    <row r="97" spans="1:17" x14ac:dyDescent="0.15">
      <c r="D97" s="300" t="s">
        <v>2</v>
      </c>
      <c r="E97" s="300"/>
      <c r="F97" s="300"/>
      <c r="G97" s="300"/>
      <c r="J97" s="300" t="s">
        <v>3</v>
      </c>
      <c r="K97" s="300"/>
      <c r="L97" s="300"/>
    </row>
    <row r="98" spans="1:17" x14ac:dyDescent="0.15">
      <c r="D98" s="129"/>
      <c r="E98" s="182"/>
      <c r="F98" s="129" t="s">
        <v>363</v>
      </c>
      <c r="J98" s="182"/>
      <c r="K98" s="182"/>
      <c r="L98" s="129" t="s">
        <v>364</v>
      </c>
    </row>
    <row r="99" spans="1:17" x14ac:dyDescent="0.15">
      <c r="D99" s="80" t="s">
        <v>2</v>
      </c>
      <c r="E99" s="80" t="s">
        <v>80</v>
      </c>
      <c r="F99" s="80" t="s">
        <v>169</v>
      </c>
      <c r="J99" s="80" t="s">
        <v>64</v>
      </c>
      <c r="K99" s="80" t="s">
        <v>80</v>
      </c>
      <c r="L99" s="78" t="s">
        <v>169</v>
      </c>
    </row>
    <row r="100" spans="1:17" x14ac:dyDescent="0.15">
      <c r="D100" s="17" t="s">
        <v>365</v>
      </c>
      <c r="E100" s="17">
        <v>100</v>
      </c>
      <c r="F100" s="59" t="b">
        <f>IsIncluded(D100,E100)</f>
        <v>1</v>
      </c>
      <c r="J100" s="17" t="s">
        <v>62</v>
      </c>
      <c r="K100" s="17" t="s">
        <v>11</v>
      </c>
      <c r="L100" s="82" t="b">
        <f>SNPIsIncluded(J100,K100)</f>
        <v>1</v>
      </c>
    </row>
    <row r="101" spans="1:17" x14ac:dyDescent="0.15">
      <c r="D101" s="17" t="s">
        <v>365</v>
      </c>
      <c r="E101" s="17">
        <v>110</v>
      </c>
      <c r="F101" s="61" t="b">
        <f>IsIncluded(D101,E101)</f>
        <v>0</v>
      </c>
      <c r="J101" s="17" t="s">
        <v>366</v>
      </c>
      <c r="K101" s="17" t="s">
        <v>584</v>
      </c>
      <c r="L101" s="83" t="b">
        <f>SNPIsIncluded(J101,K101)</f>
        <v>1</v>
      </c>
    </row>
    <row r="102" spans="1:17" x14ac:dyDescent="0.15">
      <c r="D102" s="17" t="s">
        <v>370</v>
      </c>
      <c r="E102" s="17">
        <v>110</v>
      </c>
      <c r="F102" s="61" t="b">
        <f>IsIncluded(D102,E102)</f>
        <v>1</v>
      </c>
      <c r="J102" s="17" t="s">
        <v>44</v>
      </c>
      <c r="K102" s="17" t="s">
        <v>84</v>
      </c>
      <c r="L102" s="83" t="b">
        <f>SNPIsIncluded(J102,K102)</f>
        <v>0</v>
      </c>
    </row>
    <row r="103" spans="1:17" x14ac:dyDescent="0.15">
      <c r="D103" s="17" t="s">
        <v>371</v>
      </c>
      <c r="E103" s="17">
        <v>110</v>
      </c>
      <c r="F103" s="61" t="b">
        <f>IsIncluded(D103,E103)</f>
        <v>1</v>
      </c>
      <c r="J103" s="17" t="s">
        <v>44</v>
      </c>
      <c r="K103" s="17" t="s">
        <v>11</v>
      </c>
      <c r="L103" s="83" t="b">
        <f>SNPIsIncluded(J103,K103)</f>
        <v>1</v>
      </c>
    </row>
    <row r="104" spans="1:17" x14ac:dyDescent="0.15">
      <c r="D104" s="63">
        <v>120</v>
      </c>
      <c r="E104" s="63">
        <v>120</v>
      </c>
      <c r="F104" s="63" t="b">
        <f>IsIncluded(D104,E104)</f>
        <v>1</v>
      </c>
      <c r="J104" s="63" t="s">
        <v>369</v>
      </c>
      <c r="K104" s="63" t="s">
        <v>369</v>
      </c>
      <c r="L104" s="84" t="b">
        <f>SNPIsIncluded(J104,K104)</f>
        <v>1</v>
      </c>
    </row>
    <row r="106" spans="1:17" x14ac:dyDescent="0.15">
      <c r="C106" s="14" t="s">
        <v>372</v>
      </c>
    </row>
    <row r="107" spans="1:17" x14ac:dyDescent="0.15">
      <c r="C107" s="79"/>
      <c r="D107" s="17"/>
    </row>
    <row r="108" spans="1:17" x14ac:dyDescent="0.15">
      <c r="D108" s="17"/>
    </row>
    <row r="109" spans="1:17" x14ac:dyDescent="0.15">
      <c r="A109" s="66" t="s">
        <v>409</v>
      </c>
      <c r="B109" s="67" t="s">
        <v>1556</v>
      </c>
      <c r="C109" s="67"/>
      <c r="D109" s="67"/>
      <c r="E109" s="67"/>
      <c r="F109" s="68"/>
      <c r="G109" s="67"/>
      <c r="H109" s="67"/>
      <c r="I109" s="68"/>
      <c r="J109" s="67"/>
      <c r="K109" s="68"/>
      <c r="L109" s="67"/>
      <c r="M109" s="68"/>
      <c r="N109" s="67"/>
      <c r="O109" s="67"/>
      <c r="P109" s="67"/>
      <c r="Q109" s="67"/>
    </row>
    <row r="110" spans="1:17" x14ac:dyDescent="0.15">
      <c r="B110" s="14" t="s">
        <v>615</v>
      </c>
    </row>
    <row r="111" spans="1:17" x14ac:dyDescent="0.15">
      <c r="B111" s="14" t="s">
        <v>616</v>
      </c>
    </row>
    <row r="112" spans="1:17" x14ac:dyDescent="0.15">
      <c r="C112" s="46"/>
    </row>
    <row r="113" spans="1:17" x14ac:dyDescent="0.15">
      <c r="C113" s="69" t="s">
        <v>879</v>
      </c>
      <c r="D113" s="70" t="s">
        <v>1487</v>
      </c>
      <c r="E113" s="59"/>
      <c r="F113" s="58"/>
      <c r="G113" s="58"/>
      <c r="H113" s="71"/>
    </row>
    <row r="114" spans="1:17" x14ac:dyDescent="0.15">
      <c r="C114" s="72" t="s">
        <v>886</v>
      </c>
      <c r="D114" s="32" t="s">
        <v>1469</v>
      </c>
      <c r="E114" s="61"/>
      <c r="F114" s="32"/>
      <c r="G114" s="32"/>
      <c r="H114" s="73"/>
    </row>
    <row r="115" spans="1:17" x14ac:dyDescent="0.15">
      <c r="C115" s="74" t="s">
        <v>887</v>
      </c>
      <c r="D115" s="62" t="s">
        <v>1045</v>
      </c>
      <c r="E115" s="63"/>
      <c r="F115" s="62"/>
      <c r="G115" s="62"/>
      <c r="H115" s="75"/>
    </row>
    <row r="116" spans="1:17" x14ac:dyDescent="0.15">
      <c r="C116" s="46"/>
    </row>
    <row r="117" spans="1:17" x14ac:dyDescent="0.15">
      <c r="D117" s="182"/>
      <c r="E117" s="185" t="s">
        <v>378</v>
      </c>
      <c r="F117" s="182"/>
    </row>
    <row r="118" spans="1:17" x14ac:dyDescent="0.15">
      <c r="D118" s="80" t="s">
        <v>374</v>
      </c>
      <c r="E118" s="59" t="s">
        <v>169</v>
      </c>
      <c r="F118" s="14"/>
    </row>
    <row r="119" spans="1:17" x14ac:dyDescent="0.15">
      <c r="D119" s="16">
        <v>100</v>
      </c>
      <c r="E119" s="59">
        <f t="shared" ref="E119:E124" si="0">SSRPloidy(D119)</f>
        <v>1</v>
      </c>
      <c r="F119" s="14"/>
    </row>
    <row r="120" spans="1:17" x14ac:dyDescent="0.15">
      <c r="D120" s="16" t="s">
        <v>387</v>
      </c>
      <c r="E120" s="61">
        <f t="shared" si="0"/>
        <v>2</v>
      </c>
      <c r="F120" s="14"/>
    </row>
    <row r="121" spans="1:17" x14ac:dyDescent="0.15">
      <c r="D121" s="16" t="s">
        <v>375</v>
      </c>
      <c r="E121" s="61">
        <f t="shared" si="0"/>
        <v>3</v>
      </c>
      <c r="F121" s="14"/>
      <c r="J121" s="17"/>
    </row>
    <row r="122" spans="1:17" x14ac:dyDescent="0.15">
      <c r="D122" s="16" t="s">
        <v>376</v>
      </c>
      <c r="E122" s="61">
        <f t="shared" si="0"/>
        <v>4</v>
      </c>
      <c r="F122" s="14"/>
      <c r="J122" s="17"/>
    </row>
    <row r="123" spans="1:17" x14ac:dyDescent="0.15">
      <c r="D123" s="16" t="s">
        <v>379</v>
      </c>
      <c r="E123" s="61">
        <f t="shared" si="0"/>
        <v>5</v>
      </c>
      <c r="F123" s="14" t="s">
        <v>380</v>
      </c>
      <c r="J123" s="17"/>
    </row>
    <row r="124" spans="1:17" x14ac:dyDescent="0.15">
      <c r="D124" s="123" t="s">
        <v>377</v>
      </c>
      <c r="E124" s="63">
        <f t="shared" si="0"/>
        <v>5</v>
      </c>
      <c r="F124" s="14"/>
      <c r="J124" s="17"/>
    </row>
    <row r="125" spans="1:17" x14ac:dyDescent="0.15">
      <c r="J125" s="17"/>
      <c r="K125" s="17" t="str">
        <f t="array" ref="K125:O125">SSRAllele(E125)</f>
        <v/>
      </c>
      <c r="L125" s="17" t="str">
        <v/>
      </c>
      <c r="M125" s="17" t="str">
        <v/>
      </c>
      <c r="N125" s="17" t="str">
        <v/>
      </c>
      <c r="O125" s="17" t="str">
        <v/>
      </c>
    </row>
    <row r="127" spans="1:17" x14ac:dyDescent="0.15">
      <c r="A127" s="66" t="s">
        <v>410</v>
      </c>
      <c r="B127" s="67" t="s">
        <v>617</v>
      </c>
      <c r="C127" s="67"/>
      <c r="D127" s="67"/>
      <c r="E127" s="67"/>
      <c r="F127" s="68"/>
      <c r="G127" s="67"/>
      <c r="H127" s="67"/>
      <c r="I127" s="68"/>
      <c r="J127" s="67"/>
      <c r="K127" s="68"/>
      <c r="L127" s="67"/>
      <c r="M127" s="68"/>
      <c r="N127" s="67"/>
      <c r="O127" s="67"/>
      <c r="P127" s="67"/>
      <c r="Q127" s="67"/>
    </row>
    <row r="128" spans="1:17" x14ac:dyDescent="0.15">
      <c r="B128" s="14" t="s">
        <v>618</v>
      </c>
    </row>
    <row r="129" spans="2:14" x14ac:dyDescent="0.15">
      <c r="B129" s="14" t="s">
        <v>619</v>
      </c>
    </row>
    <row r="130" spans="2:14" x14ac:dyDescent="0.15">
      <c r="B130" s="14" t="s">
        <v>620</v>
      </c>
    </row>
    <row r="132" spans="2:14" x14ac:dyDescent="0.15">
      <c r="C132" s="69" t="s">
        <v>879</v>
      </c>
      <c r="D132" s="70" t="s">
        <v>1488</v>
      </c>
      <c r="E132" s="59"/>
      <c r="F132" s="58"/>
      <c r="G132" s="71"/>
      <c r="H132" s="17"/>
      <c r="I132" s="14"/>
      <c r="J132" s="186" t="s">
        <v>879</v>
      </c>
      <c r="K132" s="187" t="s">
        <v>1489</v>
      </c>
      <c r="L132" s="188"/>
      <c r="M132" s="186"/>
      <c r="N132" s="186"/>
    </row>
    <row r="133" spans="2:14" x14ac:dyDescent="0.15">
      <c r="C133" s="72" t="s">
        <v>886</v>
      </c>
      <c r="D133" s="32" t="s">
        <v>1473</v>
      </c>
      <c r="E133" s="61"/>
      <c r="F133" s="32"/>
      <c r="G133" s="73"/>
      <c r="H133" s="17"/>
      <c r="I133" s="14"/>
      <c r="J133" s="51" t="s">
        <v>886</v>
      </c>
      <c r="K133" s="51" t="s">
        <v>1490</v>
      </c>
      <c r="L133" s="52"/>
      <c r="M133" s="51"/>
      <c r="N133" s="51"/>
    </row>
    <row r="134" spans="2:14" x14ac:dyDescent="0.15">
      <c r="C134" s="74" t="s">
        <v>887</v>
      </c>
      <c r="D134" s="62" t="s">
        <v>1049</v>
      </c>
      <c r="E134" s="63"/>
      <c r="F134" s="62"/>
      <c r="G134" s="75"/>
      <c r="H134" s="17"/>
      <c r="I134" s="14"/>
      <c r="J134" s="189" t="s">
        <v>887</v>
      </c>
      <c r="K134" s="189" t="s">
        <v>1049</v>
      </c>
      <c r="L134" s="95"/>
      <c r="M134" s="189"/>
      <c r="N134" s="189"/>
    </row>
    <row r="136" spans="2:14" x14ac:dyDescent="0.15">
      <c r="C136" s="182"/>
      <c r="D136" s="185" t="s">
        <v>386</v>
      </c>
      <c r="E136" s="129"/>
      <c r="I136" s="14"/>
      <c r="J136" s="182"/>
      <c r="K136" s="185" t="s">
        <v>637</v>
      </c>
      <c r="L136" s="129"/>
      <c r="M136" s="14"/>
    </row>
    <row r="137" spans="2:14" x14ac:dyDescent="0.15">
      <c r="C137" s="80" t="s">
        <v>374</v>
      </c>
      <c r="D137" s="80" t="s">
        <v>169</v>
      </c>
      <c r="E137" s="13"/>
      <c r="F137" s="80"/>
      <c r="G137" s="13"/>
      <c r="H137" s="13"/>
      <c r="I137" s="14"/>
      <c r="J137" s="80" t="s">
        <v>388</v>
      </c>
      <c r="K137" s="80" t="s">
        <v>169</v>
      </c>
      <c r="L137" s="13"/>
      <c r="M137" s="80"/>
      <c r="N137" s="13"/>
    </row>
    <row r="138" spans="2:14" x14ac:dyDescent="0.15">
      <c r="C138" s="16">
        <v>100</v>
      </c>
      <c r="D138" s="59" t="str">
        <f t="array" ref="D138:H138">SSRAllele(C138)</f>
        <v>100</v>
      </c>
      <c r="E138" s="59" t="str">
        <v>#N/A</v>
      </c>
      <c r="F138" s="59" t="e">
        <v>#N/A</v>
      </c>
      <c r="G138" s="59" t="e">
        <v>#N/A</v>
      </c>
      <c r="H138" s="59" t="e">
        <v>#N/A</v>
      </c>
      <c r="I138" s="14"/>
      <c r="J138" s="17" t="s">
        <v>384</v>
      </c>
      <c r="K138" s="17" t="str">
        <f t="array" ref="K138:L138">SNPAllele(J138)</f>
        <v>C</v>
      </c>
      <c r="L138" s="17" t="str">
        <v>T</v>
      </c>
      <c r="M138" s="131"/>
      <c r="N138" s="262"/>
    </row>
    <row r="139" spans="2:14" x14ac:dyDescent="0.15">
      <c r="C139" s="16" t="s">
        <v>387</v>
      </c>
      <c r="D139" s="61" t="str">
        <f t="array" ref="D139:H139">SSRAllele(C139)</f>
        <v>110</v>
      </c>
      <c r="E139" s="61" t="str">
        <v>120</v>
      </c>
      <c r="F139" s="61" t="e">
        <v>#N/A</v>
      </c>
      <c r="G139" s="61" t="e">
        <v>#N/A</v>
      </c>
      <c r="H139" s="61" t="e">
        <v>#N/A</v>
      </c>
      <c r="I139" s="14"/>
      <c r="J139" s="17" t="s">
        <v>366</v>
      </c>
      <c r="K139" s="17" t="str">
        <f t="array" ref="K139:L139">SNPAllele(J139)</f>
        <v>A</v>
      </c>
      <c r="L139" s="17" t="str">
        <v>C</v>
      </c>
      <c r="M139" s="131"/>
      <c r="N139" s="262"/>
    </row>
    <row r="140" spans="2:14" x14ac:dyDescent="0.15">
      <c r="C140" s="16" t="s">
        <v>375</v>
      </c>
      <c r="D140" s="61" t="str">
        <f t="array" ref="D140:H140">SSRAllele(C140)</f>
        <v>100</v>
      </c>
      <c r="E140" s="61" t="str">
        <v>110</v>
      </c>
      <c r="F140" s="61" t="str">
        <v>120</v>
      </c>
      <c r="G140" s="61" t="e">
        <v>#N/A</v>
      </c>
      <c r="H140" s="61" t="e">
        <v>#N/A</v>
      </c>
      <c r="I140" s="14"/>
      <c r="J140" s="17" t="s">
        <v>383</v>
      </c>
      <c r="K140" s="17" t="str">
        <f t="array" ref="K140:L140">SNPAllele(J140)</f>
        <v>G</v>
      </c>
      <c r="L140" s="17" t="str">
        <v>A</v>
      </c>
      <c r="M140" s="131"/>
      <c r="N140" s="262"/>
    </row>
    <row r="141" spans="2:14" x14ac:dyDescent="0.15">
      <c r="C141" s="16" t="s">
        <v>376</v>
      </c>
      <c r="D141" s="61" t="str">
        <f t="array" ref="D141:H141">SSRAllele(C141)</f>
        <v>100</v>
      </c>
      <c r="E141" s="61" t="str">
        <v>110</v>
      </c>
      <c r="F141" s="61" t="str">
        <v>120</v>
      </c>
      <c r="G141" s="61" t="str">
        <v>130</v>
      </c>
      <c r="H141" s="61" t="e">
        <v>#N/A</v>
      </c>
      <c r="I141" s="14"/>
      <c r="J141" s="17" t="s">
        <v>44</v>
      </c>
      <c r="K141" s="17" t="str">
        <f t="array" ref="K141:L141">SNPAllele(J141)</f>
        <v>A</v>
      </c>
      <c r="L141" s="17" t="str">
        <v>C</v>
      </c>
      <c r="M141" s="131"/>
      <c r="N141" s="262"/>
    </row>
    <row r="142" spans="2:14" x14ac:dyDescent="0.15">
      <c r="C142" s="16" t="s">
        <v>379</v>
      </c>
      <c r="D142" s="61" t="str">
        <f t="array" ref="D142:H142">SSRAllele(C142)</f>
        <v>100</v>
      </c>
      <c r="E142" s="61" t="str">
        <v>110</v>
      </c>
      <c r="F142" s="61" t="str">
        <v/>
      </c>
      <c r="G142" s="61" t="str">
        <v>120</v>
      </c>
      <c r="H142" s="61" t="str">
        <v>130</v>
      </c>
      <c r="I142" s="14"/>
      <c r="J142" s="17" t="s">
        <v>389</v>
      </c>
      <c r="K142" s="17" t="str">
        <f t="array" ref="K142:N142">SNPAllele(J142)</f>
        <v>A</v>
      </c>
      <c r="L142" s="17" t="str">
        <v>G</v>
      </c>
      <c r="M142" s="17" t="str">
        <v>#N/A</v>
      </c>
      <c r="N142" s="17" t="e">
        <v>#N/A</v>
      </c>
    </row>
    <row r="143" spans="2:14" x14ac:dyDescent="0.15">
      <c r="C143" s="123" t="s">
        <v>377</v>
      </c>
      <c r="D143" s="63" t="str">
        <f t="array" ref="D143:H143">SSRAllele(C143)</f>
        <v>100</v>
      </c>
      <c r="E143" s="63" t="str">
        <v>110</v>
      </c>
      <c r="F143" s="63" t="str">
        <v>120</v>
      </c>
      <c r="G143" s="63" t="str">
        <v>130</v>
      </c>
      <c r="H143" s="63" t="str">
        <v>140</v>
      </c>
      <c r="I143" s="14"/>
      <c r="J143" s="63" t="s">
        <v>385</v>
      </c>
      <c r="K143" s="63" t="str">
        <f t="array" ref="K143:N143">SNPAllele(J143)</f>
        <v>A</v>
      </c>
      <c r="L143" s="63" t="str">
        <v>C</v>
      </c>
      <c r="M143" s="63" t="str">
        <v>G</v>
      </c>
      <c r="N143" s="63" t="str">
        <v>T</v>
      </c>
    </row>
    <row r="144" spans="2:14" x14ac:dyDescent="0.15">
      <c r="D144" s="17"/>
      <c r="E144" s="17"/>
      <c r="G144" s="17"/>
      <c r="I144" s="14"/>
    </row>
    <row r="146" spans="1:17" x14ac:dyDescent="0.15">
      <c r="A146" s="66" t="s">
        <v>452</v>
      </c>
      <c r="B146" s="67" t="s">
        <v>1160</v>
      </c>
      <c r="C146" s="67"/>
      <c r="D146" s="67"/>
      <c r="E146" s="67"/>
      <c r="F146" s="68"/>
      <c r="G146" s="67"/>
      <c r="H146" s="67"/>
      <c r="I146" s="68"/>
      <c r="J146" s="67"/>
      <c r="K146" s="68"/>
      <c r="L146" s="67"/>
      <c r="M146" s="68"/>
      <c r="N146" s="67"/>
      <c r="O146" s="67"/>
      <c r="P146" s="67"/>
      <c r="Q146" s="67"/>
    </row>
    <row r="147" spans="1:17" x14ac:dyDescent="0.15">
      <c r="B147" s="14" t="s">
        <v>672</v>
      </c>
    </row>
    <row r="148" spans="1:17" x14ac:dyDescent="0.15">
      <c r="B148" s="14" t="s">
        <v>673</v>
      </c>
    </row>
    <row r="149" spans="1:17" x14ac:dyDescent="0.15">
      <c r="B149" s="14" t="s">
        <v>674</v>
      </c>
    </row>
    <row r="151" spans="1:17" x14ac:dyDescent="0.15">
      <c r="C151" s="69" t="s">
        <v>879</v>
      </c>
      <c r="D151" s="70" t="s">
        <v>1491</v>
      </c>
      <c r="E151" s="59"/>
      <c r="F151" s="58"/>
      <c r="G151" s="71"/>
      <c r="J151" s="69" t="s">
        <v>879</v>
      </c>
      <c r="K151" s="70" t="s">
        <v>1610</v>
      </c>
      <c r="L151" s="59"/>
      <c r="M151" s="58"/>
      <c r="N151" s="71"/>
    </row>
    <row r="152" spans="1:17" x14ac:dyDescent="0.15">
      <c r="C152" s="72" t="s">
        <v>1042</v>
      </c>
      <c r="D152" s="32" t="s">
        <v>1492</v>
      </c>
      <c r="E152" s="61"/>
      <c r="F152" s="32"/>
      <c r="G152" s="73"/>
      <c r="J152" s="72" t="s">
        <v>1042</v>
      </c>
      <c r="K152" s="32" t="s">
        <v>1493</v>
      </c>
      <c r="L152" s="61"/>
      <c r="M152" s="32"/>
      <c r="N152" s="73"/>
    </row>
    <row r="153" spans="1:17" x14ac:dyDescent="0.15">
      <c r="C153" s="74" t="s">
        <v>887</v>
      </c>
      <c r="D153" s="62" t="s">
        <v>1050</v>
      </c>
      <c r="E153" s="63"/>
      <c r="F153" s="62"/>
      <c r="G153" s="75"/>
      <c r="J153" s="74" t="s">
        <v>887</v>
      </c>
      <c r="K153" s="62" t="s">
        <v>1050</v>
      </c>
      <c r="L153" s="63"/>
      <c r="M153" s="62"/>
      <c r="N153" s="75"/>
    </row>
    <row r="155" spans="1:17" x14ac:dyDescent="0.15">
      <c r="C155" s="112" t="s">
        <v>55</v>
      </c>
      <c r="D155" s="112" t="s">
        <v>55</v>
      </c>
      <c r="E155" s="190" t="s">
        <v>1047</v>
      </c>
      <c r="F155" s="14"/>
      <c r="H155" s="17"/>
      <c r="J155" s="112" t="s">
        <v>64</v>
      </c>
      <c r="K155" s="112" t="s">
        <v>65</v>
      </c>
      <c r="L155" s="190" t="s">
        <v>1048</v>
      </c>
      <c r="M155" s="14"/>
    </row>
    <row r="156" spans="1:17" x14ac:dyDescent="0.15">
      <c r="C156" s="17" t="s">
        <v>7</v>
      </c>
      <c r="D156" s="61" t="s">
        <v>52</v>
      </c>
      <c r="E156" s="191" t="str">
        <f>SSRSharedAllele(C156,D156)</f>
        <v/>
      </c>
      <c r="F156" s="14"/>
      <c r="H156" s="17"/>
      <c r="J156" s="17" t="s">
        <v>96</v>
      </c>
      <c r="K156" s="17" t="s">
        <v>97</v>
      </c>
      <c r="L156" s="192" t="str">
        <f>SNPSharedAllele(J156,K156)</f>
        <v>A</v>
      </c>
      <c r="M156" s="14"/>
    </row>
    <row r="157" spans="1:17" x14ac:dyDescent="0.15">
      <c r="C157" s="17" t="s">
        <v>6</v>
      </c>
      <c r="D157" s="17" t="s">
        <v>7</v>
      </c>
      <c r="E157" s="191" t="str">
        <f t="shared" ref="E157:E162" si="1">SSRSharedAllele(C157,D157)</f>
        <v>100</v>
      </c>
      <c r="F157" s="14"/>
      <c r="H157" s="17"/>
      <c r="J157" s="17" t="s">
        <v>95</v>
      </c>
      <c r="K157" s="17" t="s">
        <v>98</v>
      </c>
      <c r="L157" s="193" t="str">
        <f>SNPSharedAllele(J157,K157)</f>
        <v/>
      </c>
      <c r="M157" s="14"/>
    </row>
    <row r="158" spans="1:17" x14ac:dyDescent="0.15">
      <c r="C158" s="17" t="s">
        <v>50</v>
      </c>
      <c r="D158" s="17" t="s">
        <v>7</v>
      </c>
      <c r="E158" s="191" t="str">
        <f t="shared" si="1"/>
        <v/>
      </c>
      <c r="F158" s="14"/>
      <c r="H158" s="17"/>
      <c r="J158" s="17" t="s">
        <v>8</v>
      </c>
      <c r="K158" s="17" t="s">
        <v>63</v>
      </c>
      <c r="L158" s="193" t="str">
        <f>SNPSharedAllele(J158,K158)</f>
        <v>B</v>
      </c>
      <c r="M158" s="14"/>
    </row>
    <row r="159" spans="1:17" x14ac:dyDescent="0.15">
      <c r="C159" s="17" t="s">
        <v>52</v>
      </c>
      <c r="D159" s="17" t="s">
        <v>50</v>
      </c>
      <c r="E159" s="191" t="str">
        <f t="shared" si="1"/>
        <v>110</v>
      </c>
      <c r="F159" s="14"/>
      <c r="H159" s="17"/>
      <c r="J159" s="17" t="s">
        <v>63</v>
      </c>
      <c r="K159" s="17" t="s">
        <v>8</v>
      </c>
      <c r="L159" s="193" t="str">
        <f>SNPSharedAllele(J159,K159)</f>
        <v>B</v>
      </c>
      <c r="M159" s="14"/>
    </row>
    <row r="160" spans="1:17" x14ac:dyDescent="0.15">
      <c r="C160" s="17" t="s">
        <v>52</v>
      </c>
      <c r="D160" s="17" t="s">
        <v>52</v>
      </c>
      <c r="E160" s="191" t="str">
        <f t="shared" si="1"/>
        <v>110</v>
      </c>
      <c r="F160" s="14"/>
      <c r="H160" s="17"/>
      <c r="J160" s="63" t="s">
        <v>99</v>
      </c>
      <c r="K160" s="63" t="s">
        <v>166</v>
      </c>
      <c r="L160" s="194" t="str">
        <f>SNPSharedAllele(J160,K160)</f>
        <v/>
      </c>
      <c r="M160" s="14"/>
    </row>
    <row r="161" spans="3:13" x14ac:dyDescent="0.15">
      <c r="C161" s="17" t="s">
        <v>52</v>
      </c>
      <c r="D161" s="17" t="s">
        <v>100</v>
      </c>
      <c r="E161" s="191" t="str">
        <f t="shared" si="1"/>
        <v/>
      </c>
      <c r="F161" s="14"/>
      <c r="H161" s="17"/>
      <c r="I161" s="14"/>
      <c r="J161" s="17"/>
      <c r="K161" s="14"/>
      <c r="L161" s="17"/>
      <c r="M161" s="14"/>
    </row>
    <row r="162" spans="3:13" x14ac:dyDescent="0.15">
      <c r="C162" s="63" t="s">
        <v>52</v>
      </c>
      <c r="D162" s="63" t="s">
        <v>52</v>
      </c>
      <c r="E162" s="194" t="str">
        <f t="shared" si="1"/>
        <v>110</v>
      </c>
      <c r="F162" s="14"/>
      <c r="H162" s="17"/>
      <c r="I162" s="14"/>
      <c r="J162" s="17"/>
      <c r="K162" s="14"/>
      <c r="L162" s="17"/>
      <c r="M162" s="14"/>
    </row>
  </sheetData>
  <mergeCells count="12">
    <mergeCell ref="D97:G97"/>
    <mergeCell ref="J97:L97"/>
    <mergeCell ref="D55:E55"/>
    <mergeCell ref="J55:K55"/>
    <mergeCell ref="J76:L76"/>
    <mergeCell ref="D76:G76"/>
    <mergeCell ref="B67:L67"/>
    <mergeCell ref="B5:J5"/>
    <mergeCell ref="D17:E17"/>
    <mergeCell ref="J17:K17"/>
    <mergeCell ref="D36:E36"/>
    <mergeCell ref="J36:K36"/>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182"/>
  <sheetViews>
    <sheetView workbookViewId="0">
      <selection activeCell="G129" sqref="G129"/>
    </sheetView>
  </sheetViews>
  <sheetFormatPr defaultColWidth="9" defaultRowHeight="15.75" x14ac:dyDescent="0.15"/>
  <cols>
    <col min="1" max="1" width="9" style="16" customWidth="1"/>
    <col min="2" max="5" width="9" style="144"/>
    <col min="6" max="6" width="9" style="17"/>
    <col min="7" max="7" width="11.75" style="144" customWidth="1"/>
    <col min="8" max="8" width="11.375" style="144" customWidth="1"/>
    <col min="9" max="9" width="9" style="17"/>
    <col min="10" max="10" width="9" style="144"/>
    <col min="11" max="11" width="9" style="17"/>
    <col min="12" max="12" width="9" style="144"/>
    <col min="13" max="13" width="9" style="17"/>
    <col min="14" max="14" width="12.625" style="144" customWidth="1"/>
    <col min="15" max="16384" width="9" style="144"/>
  </cols>
  <sheetData>
    <row r="1" spans="1:17" ht="21" x14ac:dyDescent="0.15">
      <c r="A1" s="254" t="s">
        <v>129</v>
      </c>
      <c r="I1" s="17" t="s">
        <v>130</v>
      </c>
      <c r="J1" s="144" t="str">
        <f>GUGS()</f>
        <v>GUGS: ver. 1.01</v>
      </c>
      <c r="K1" s="144"/>
    </row>
    <row r="3" spans="1:17" x14ac:dyDescent="0.15">
      <c r="A3" s="47" t="s">
        <v>1220</v>
      </c>
      <c r="B3" s="145"/>
      <c r="C3" s="145"/>
      <c r="D3" s="145"/>
      <c r="E3" s="145"/>
      <c r="F3" s="49"/>
      <c r="G3" s="145"/>
      <c r="H3" s="145"/>
      <c r="I3" s="49"/>
      <c r="J3" s="145"/>
      <c r="K3" s="49"/>
      <c r="L3" s="145"/>
      <c r="M3" s="49"/>
      <c r="N3" s="145"/>
      <c r="O3" s="145"/>
      <c r="P3" s="145"/>
      <c r="Q3" s="145"/>
    </row>
    <row r="5" spans="1:17" ht="54.75" customHeight="1" x14ac:dyDescent="0.15">
      <c r="B5" s="298" t="s">
        <v>1557</v>
      </c>
      <c r="C5" s="298"/>
      <c r="D5" s="298"/>
      <c r="E5" s="298"/>
      <c r="F5" s="298"/>
      <c r="G5" s="298"/>
      <c r="H5" s="298"/>
      <c r="I5" s="298"/>
      <c r="J5" s="298"/>
      <c r="K5" s="146"/>
    </row>
    <row r="7" spans="1:17" x14ac:dyDescent="0.15">
      <c r="A7" s="144"/>
      <c r="B7" s="144" t="s">
        <v>373</v>
      </c>
      <c r="F7" s="144"/>
      <c r="I7" s="144"/>
      <c r="K7" s="144"/>
      <c r="M7" s="144"/>
    </row>
    <row r="8" spans="1:17" x14ac:dyDescent="0.15">
      <c r="A8" s="66" t="s">
        <v>395</v>
      </c>
      <c r="B8" s="177" t="s">
        <v>1558</v>
      </c>
      <c r="C8" s="177"/>
      <c r="D8" s="177"/>
      <c r="E8" s="177"/>
      <c r="F8" s="68"/>
      <c r="G8" s="177"/>
      <c r="H8" s="177"/>
      <c r="I8" s="68"/>
      <c r="J8" s="177"/>
      <c r="K8" s="68"/>
      <c r="L8" s="177"/>
      <c r="M8" s="68"/>
      <c r="N8" s="177"/>
      <c r="O8" s="177"/>
      <c r="P8" s="177"/>
      <c r="Q8" s="177"/>
    </row>
    <row r="9" spans="1:17" x14ac:dyDescent="0.15">
      <c r="B9" s="144" t="s">
        <v>1177</v>
      </c>
    </row>
    <row r="11" spans="1:17" x14ac:dyDescent="0.15">
      <c r="B11" s="147" t="s">
        <v>879</v>
      </c>
      <c r="C11" s="148"/>
      <c r="D11" s="149" t="s">
        <v>1439</v>
      </c>
      <c r="E11" s="148"/>
      <c r="F11" s="148"/>
      <c r="G11" s="148"/>
      <c r="H11" s="148"/>
      <c r="I11" s="150"/>
    </row>
    <row r="12" spans="1:17" x14ac:dyDescent="0.15">
      <c r="B12" s="151" t="s">
        <v>1042</v>
      </c>
      <c r="C12" s="152"/>
      <c r="D12" s="152" t="s">
        <v>1440</v>
      </c>
      <c r="E12" s="152"/>
      <c r="F12" s="152"/>
      <c r="G12" s="152"/>
      <c r="H12" s="152"/>
      <c r="I12" s="153"/>
    </row>
    <row r="13" spans="1:17" x14ac:dyDescent="0.15">
      <c r="B13" s="154" t="s">
        <v>887</v>
      </c>
      <c r="C13" s="155"/>
      <c r="D13" s="155" t="s">
        <v>1163</v>
      </c>
      <c r="E13" s="155"/>
      <c r="F13" s="155"/>
      <c r="G13" s="155"/>
      <c r="H13" s="155"/>
      <c r="I13" s="156"/>
    </row>
    <row r="14" spans="1:17" x14ac:dyDescent="0.15">
      <c r="I14" s="144"/>
    </row>
    <row r="15" spans="1:17" x14ac:dyDescent="0.15">
      <c r="B15" s="147" t="s">
        <v>879</v>
      </c>
      <c r="C15" s="148"/>
      <c r="D15" s="149" t="s">
        <v>1441</v>
      </c>
      <c r="E15" s="148"/>
      <c r="F15" s="148"/>
      <c r="G15" s="148"/>
      <c r="H15" s="148"/>
      <c r="I15" s="150"/>
    </row>
    <row r="16" spans="1:17" x14ac:dyDescent="0.15">
      <c r="B16" s="151" t="s">
        <v>1042</v>
      </c>
      <c r="C16" s="152"/>
      <c r="D16" s="152" t="s">
        <v>1442</v>
      </c>
      <c r="E16" s="152"/>
      <c r="F16" s="152"/>
      <c r="G16" s="152"/>
      <c r="H16" s="152"/>
      <c r="I16" s="153"/>
    </row>
    <row r="17" spans="1:17" x14ac:dyDescent="0.15">
      <c r="B17" s="154" t="s">
        <v>887</v>
      </c>
      <c r="C17" s="155"/>
      <c r="D17" s="155" t="s">
        <v>1164</v>
      </c>
      <c r="E17" s="155"/>
      <c r="F17" s="155"/>
      <c r="G17" s="155"/>
      <c r="H17" s="155"/>
      <c r="I17" s="156"/>
    </row>
    <row r="18" spans="1:17" x14ac:dyDescent="0.15">
      <c r="D18" s="157"/>
    </row>
    <row r="19" spans="1:17" x14ac:dyDescent="0.15">
      <c r="E19" s="17"/>
      <c r="F19" s="144"/>
      <c r="H19" s="17"/>
      <c r="I19" s="144"/>
      <c r="J19" s="17"/>
    </row>
    <row r="20" spans="1:17" x14ac:dyDescent="0.15">
      <c r="A20" s="66" t="s">
        <v>396</v>
      </c>
      <c r="B20" s="177" t="s">
        <v>1567</v>
      </c>
      <c r="C20" s="177"/>
      <c r="D20" s="177"/>
      <c r="E20" s="68"/>
      <c r="F20" s="177"/>
      <c r="G20" s="177"/>
      <c r="H20" s="68"/>
      <c r="I20" s="177"/>
      <c r="J20" s="68"/>
      <c r="K20" s="68"/>
      <c r="L20" s="177"/>
      <c r="M20" s="68"/>
      <c r="N20" s="177"/>
      <c r="O20" s="177"/>
      <c r="P20" s="177"/>
      <c r="Q20" s="177"/>
    </row>
    <row r="21" spans="1:17" x14ac:dyDescent="0.15">
      <c r="B21" s="144" t="s">
        <v>675</v>
      </c>
      <c r="E21" s="17"/>
      <c r="F21" s="144"/>
      <c r="H21" s="17"/>
      <c r="I21" s="144"/>
      <c r="J21" s="17"/>
    </row>
    <row r="22" spans="1:17" x14ac:dyDescent="0.15">
      <c r="E22" s="17"/>
      <c r="F22" s="144"/>
      <c r="H22" s="17"/>
      <c r="I22" s="144"/>
      <c r="J22" s="17"/>
    </row>
    <row r="23" spans="1:17" x14ac:dyDescent="0.15">
      <c r="B23" s="147" t="s">
        <v>879</v>
      </c>
      <c r="C23" s="148"/>
      <c r="D23" s="149" t="s">
        <v>1443</v>
      </c>
      <c r="E23" s="148"/>
      <c r="F23" s="148"/>
      <c r="G23" s="148"/>
      <c r="H23" s="148"/>
      <c r="I23" s="150"/>
      <c r="J23" s="17"/>
    </row>
    <row r="24" spans="1:17" x14ac:dyDescent="0.15">
      <c r="B24" s="151" t="s">
        <v>1042</v>
      </c>
      <c r="C24" s="152"/>
      <c r="D24" s="152" t="s">
        <v>1444</v>
      </c>
      <c r="E24" s="152"/>
      <c r="F24" s="152"/>
      <c r="G24" s="152"/>
      <c r="H24" s="152"/>
      <c r="I24" s="153"/>
      <c r="J24" s="17"/>
    </row>
    <row r="25" spans="1:17" x14ac:dyDescent="0.15">
      <c r="B25" s="151"/>
      <c r="C25" s="152"/>
      <c r="D25" s="152" t="s">
        <v>1445</v>
      </c>
      <c r="E25" s="152"/>
      <c r="F25" s="61"/>
      <c r="G25" s="152"/>
      <c r="H25" s="152"/>
      <c r="I25" s="153"/>
    </row>
    <row r="26" spans="1:17" x14ac:dyDescent="0.15">
      <c r="B26" s="151"/>
      <c r="C26" s="152"/>
      <c r="D26" s="152" t="s">
        <v>1446</v>
      </c>
      <c r="E26" s="152"/>
      <c r="F26" s="61"/>
      <c r="G26" s="152"/>
      <c r="H26" s="152"/>
      <c r="I26" s="153"/>
    </row>
    <row r="27" spans="1:17" x14ac:dyDescent="0.15">
      <c r="B27" s="154" t="s">
        <v>887</v>
      </c>
      <c r="C27" s="155"/>
      <c r="D27" s="155" t="s">
        <v>1051</v>
      </c>
      <c r="E27" s="155"/>
      <c r="F27" s="155"/>
      <c r="G27" s="155"/>
      <c r="H27" s="155"/>
      <c r="I27" s="156"/>
      <c r="J27" s="17"/>
    </row>
    <row r="28" spans="1:17" x14ac:dyDescent="0.15">
      <c r="I28" s="144"/>
      <c r="J28" s="17"/>
    </row>
    <row r="29" spans="1:17" x14ac:dyDescent="0.15">
      <c r="B29" s="147" t="s">
        <v>879</v>
      </c>
      <c r="C29" s="148"/>
      <c r="D29" s="149" t="s">
        <v>1447</v>
      </c>
      <c r="E29" s="148"/>
      <c r="F29" s="148"/>
      <c r="G29" s="148"/>
      <c r="H29" s="148"/>
      <c r="I29" s="150"/>
      <c r="J29" s="17"/>
    </row>
    <row r="30" spans="1:17" x14ac:dyDescent="0.15">
      <c r="B30" s="151" t="s">
        <v>1042</v>
      </c>
      <c r="C30" s="152"/>
      <c r="D30" s="152" t="s">
        <v>1448</v>
      </c>
      <c r="E30" s="152"/>
      <c r="F30" s="152"/>
      <c r="G30" s="152"/>
      <c r="H30" s="152"/>
      <c r="I30" s="153"/>
      <c r="J30" s="17"/>
    </row>
    <row r="31" spans="1:17" x14ac:dyDescent="0.15">
      <c r="B31" s="151"/>
      <c r="C31" s="152"/>
      <c r="D31" s="152" t="s">
        <v>1445</v>
      </c>
      <c r="E31" s="152"/>
      <c r="F31" s="61"/>
      <c r="G31" s="152"/>
      <c r="H31" s="152"/>
      <c r="I31" s="153"/>
    </row>
    <row r="32" spans="1:17" x14ac:dyDescent="0.15">
      <c r="B32" s="151"/>
      <c r="C32" s="152"/>
      <c r="D32" s="152" t="s">
        <v>1449</v>
      </c>
      <c r="E32" s="61"/>
      <c r="F32" s="152"/>
      <c r="G32" s="152"/>
      <c r="H32" s="61"/>
      <c r="I32" s="158"/>
      <c r="J32" s="17"/>
    </row>
    <row r="33" spans="1:17" x14ac:dyDescent="0.15">
      <c r="B33" s="154" t="s">
        <v>887</v>
      </c>
      <c r="C33" s="155"/>
      <c r="D33" s="155" t="s">
        <v>1052</v>
      </c>
      <c r="E33" s="155"/>
      <c r="F33" s="155"/>
      <c r="G33" s="155"/>
      <c r="H33" s="155"/>
      <c r="I33" s="156"/>
      <c r="J33" s="17"/>
    </row>
    <row r="34" spans="1:17" x14ac:dyDescent="0.15">
      <c r="E34" s="17"/>
      <c r="F34" s="144"/>
      <c r="H34" s="17"/>
      <c r="I34" s="144"/>
      <c r="J34" s="17"/>
    </row>
    <row r="35" spans="1:17" x14ac:dyDescent="0.15">
      <c r="E35" s="17"/>
      <c r="F35" s="144"/>
      <c r="H35" s="17"/>
      <c r="I35" s="144"/>
      <c r="J35" s="17"/>
    </row>
    <row r="36" spans="1:17" x14ac:dyDescent="0.15">
      <c r="A36" s="66" t="s">
        <v>397</v>
      </c>
      <c r="B36" s="177" t="s">
        <v>1559</v>
      </c>
      <c r="C36" s="177"/>
      <c r="D36" s="177"/>
      <c r="E36" s="68"/>
      <c r="F36" s="177"/>
      <c r="G36" s="177"/>
      <c r="H36" s="68"/>
      <c r="I36" s="177"/>
      <c r="J36" s="68"/>
      <c r="K36" s="68"/>
      <c r="L36" s="177"/>
      <c r="M36" s="68"/>
      <c r="N36" s="177"/>
      <c r="O36" s="177"/>
      <c r="P36" s="177"/>
      <c r="Q36" s="177"/>
    </row>
    <row r="37" spans="1:17" x14ac:dyDescent="0.15">
      <c r="B37" s="144" t="s">
        <v>1166</v>
      </c>
      <c r="E37" s="17"/>
      <c r="F37" s="144"/>
      <c r="H37" s="17"/>
      <c r="I37" s="144"/>
      <c r="J37" s="17"/>
    </row>
    <row r="38" spans="1:17" x14ac:dyDescent="0.15">
      <c r="E38" s="17"/>
      <c r="F38" s="144"/>
      <c r="H38" s="17"/>
      <c r="I38" s="144"/>
      <c r="J38" s="17"/>
    </row>
    <row r="39" spans="1:17" x14ac:dyDescent="0.15">
      <c r="B39" s="147" t="s">
        <v>879</v>
      </c>
      <c r="C39" s="148"/>
      <c r="D39" s="149" t="s">
        <v>1450</v>
      </c>
      <c r="E39" s="148"/>
      <c r="F39" s="148"/>
      <c r="G39" s="148"/>
      <c r="H39" s="148"/>
      <c r="I39" s="150"/>
      <c r="J39" s="17"/>
    </row>
    <row r="40" spans="1:17" x14ac:dyDescent="0.15">
      <c r="B40" s="151" t="s">
        <v>1042</v>
      </c>
      <c r="C40" s="152"/>
      <c r="D40" s="152" t="s">
        <v>1444</v>
      </c>
      <c r="E40" s="152"/>
      <c r="F40" s="152"/>
      <c r="G40" s="152"/>
      <c r="H40" s="152"/>
      <c r="I40" s="153"/>
      <c r="J40" s="17"/>
    </row>
    <row r="41" spans="1:17" x14ac:dyDescent="0.15">
      <c r="B41" s="154" t="s">
        <v>887</v>
      </c>
      <c r="C41" s="155"/>
      <c r="D41" s="155" t="s">
        <v>1165</v>
      </c>
      <c r="E41" s="155"/>
      <c r="F41" s="155"/>
      <c r="G41" s="155"/>
      <c r="H41" s="155"/>
      <c r="I41" s="156"/>
      <c r="J41" s="17"/>
    </row>
    <row r="42" spans="1:17" x14ac:dyDescent="0.15">
      <c r="I42" s="144"/>
      <c r="J42" s="17"/>
    </row>
    <row r="43" spans="1:17" x14ac:dyDescent="0.15">
      <c r="B43" s="147" t="s">
        <v>879</v>
      </c>
      <c r="C43" s="148"/>
      <c r="D43" s="149" t="s">
        <v>1451</v>
      </c>
      <c r="E43" s="148"/>
      <c r="F43" s="148"/>
      <c r="G43" s="148"/>
      <c r="H43" s="148"/>
      <c r="I43" s="150"/>
      <c r="J43" s="17"/>
    </row>
    <row r="44" spans="1:17" x14ac:dyDescent="0.15">
      <c r="B44" s="151" t="s">
        <v>1042</v>
      </c>
      <c r="C44" s="152"/>
      <c r="D44" s="152" t="s">
        <v>1442</v>
      </c>
      <c r="E44" s="152"/>
      <c r="F44" s="152"/>
      <c r="G44" s="152"/>
      <c r="H44" s="152"/>
      <c r="I44" s="153"/>
      <c r="J44" s="17"/>
    </row>
    <row r="45" spans="1:17" x14ac:dyDescent="0.15">
      <c r="B45" s="154" t="s">
        <v>887</v>
      </c>
      <c r="C45" s="155"/>
      <c r="D45" s="155" t="s">
        <v>1167</v>
      </c>
      <c r="E45" s="155"/>
      <c r="F45" s="155"/>
      <c r="G45" s="155"/>
      <c r="H45" s="155"/>
      <c r="I45" s="156"/>
      <c r="J45" s="17"/>
    </row>
    <row r="46" spans="1:17" x14ac:dyDescent="0.15">
      <c r="E46" s="17"/>
      <c r="F46" s="144"/>
      <c r="H46" s="17"/>
      <c r="I46" s="144"/>
      <c r="J46" s="17"/>
    </row>
    <row r="47" spans="1:17" x14ac:dyDescent="0.15">
      <c r="E47" s="17"/>
      <c r="F47" s="144"/>
      <c r="H47" s="17"/>
      <c r="I47" s="144"/>
      <c r="J47" s="17"/>
    </row>
    <row r="48" spans="1:17" x14ac:dyDescent="0.15">
      <c r="A48" s="66" t="s">
        <v>398</v>
      </c>
      <c r="B48" s="177" t="s">
        <v>1565</v>
      </c>
      <c r="C48" s="177"/>
      <c r="D48" s="177"/>
      <c r="E48" s="68"/>
      <c r="F48" s="177"/>
      <c r="G48" s="177"/>
      <c r="H48" s="68"/>
      <c r="I48" s="177"/>
      <c r="J48" s="68"/>
      <c r="K48" s="68"/>
      <c r="L48" s="177"/>
      <c r="M48" s="68"/>
      <c r="N48" s="177"/>
      <c r="O48" s="177"/>
      <c r="P48" s="177"/>
      <c r="Q48" s="177"/>
    </row>
    <row r="49" spans="1:17" x14ac:dyDescent="0.15">
      <c r="B49" s="144" t="s">
        <v>676</v>
      </c>
      <c r="E49" s="17"/>
      <c r="F49" s="144"/>
      <c r="H49" s="17"/>
      <c r="I49" s="144"/>
      <c r="J49" s="17"/>
    </row>
    <row r="50" spans="1:17" x14ac:dyDescent="0.15">
      <c r="E50" s="17"/>
      <c r="F50" s="144"/>
      <c r="H50" s="17"/>
      <c r="I50" s="144"/>
      <c r="J50" s="17"/>
    </row>
    <row r="51" spans="1:17" x14ac:dyDescent="0.15">
      <c r="B51" s="147" t="s">
        <v>879</v>
      </c>
      <c r="C51" s="148"/>
      <c r="D51" s="149" t="s">
        <v>1452</v>
      </c>
      <c r="E51" s="148"/>
      <c r="F51" s="148"/>
      <c r="G51" s="148"/>
      <c r="H51" s="148"/>
      <c r="I51" s="150"/>
      <c r="K51" s="144"/>
      <c r="M51" s="144"/>
    </row>
    <row r="52" spans="1:17" x14ac:dyDescent="0.15">
      <c r="B52" s="151" t="s">
        <v>1042</v>
      </c>
      <c r="C52" s="152"/>
      <c r="D52" s="152" t="s">
        <v>1444</v>
      </c>
      <c r="E52" s="152"/>
      <c r="F52" s="152"/>
      <c r="G52" s="152"/>
      <c r="H52" s="152"/>
      <c r="I52" s="153"/>
      <c r="K52" s="144"/>
      <c r="M52" s="144"/>
    </row>
    <row r="53" spans="1:17" x14ac:dyDescent="0.15">
      <c r="B53" s="151"/>
      <c r="C53" s="152"/>
      <c r="D53" s="152" t="s">
        <v>1446</v>
      </c>
      <c r="E53" s="152"/>
      <c r="F53" s="61"/>
      <c r="G53" s="152"/>
      <c r="H53" s="152"/>
      <c r="I53" s="153"/>
      <c r="K53" s="144"/>
      <c r="M53" s="144"/>
    </row>
    <row r="54" spans="1:17" x14ac:dyDescent="0.15">
      <c r="B54" s="154" t="s">
        <v>887</v>
      </c>
      <c r="C54" s="155"/>
      <c r="D54" s="155" t="s">
        <v>1053</v>
      </c>
      <c r="E54" s="155"/>
      <c r="F54" s="155"/>
      <c r="G54" s="155"/>
      <c r="H54" s="155"/>
      <c r="I54" s="156"/>
      <c r="K54" s="144"/>
      <c r="M54" s="144"/>
    </row>
    <row r="55" spans="1:17" x14ac:dyDescent="0.15">
      <c r="I55" s="144"/>
      <c r="K55" s="144"/>
      <c r="M55" s="144"/>
    </row>
    <row r="56" spans="1:17" x14ac:dyDescent="0.15">
      <c r="B56" s="147" t="s">
        <v>879</v>
      </c>
      <c r="C56" s="148"/>
      <c r="D56" s="149" t="s">
        <v>1453</v>
      </c>
      <c r="E56" s="148"/>
      <c r="F56" s="148"/>
      <c r="G56" s="148"/>
      <c r="H56" s="148"/>
      <c r="I56" s="150"/>
      <c r="K56" s="144"/>
      <c r="M56" s="144"/>
    </row>
    <row r="57" spans="1:17" x14ac:dyDescent="0.15">
      <c r="B57" s="151" t="s">
        <v>1042</v>
      </c>
      <c r="C57" s="152"/>
      <c r="D57" s="152" t="s">
        <v>1448</v>
      </c>
      <c r="E57" s="152"/>
      <c r="F57" s="152"/>
      <c r="G57" s="152"/>
      <c r="H57" s="152"/>
      <c r="I57" s="153"/>
      <c r="K57" s="144"/>
      <c r="M57" s="144"/>
    </row>
    <row r="58" spans="1:17" x14ac:dyDescent="0.15">
      <c r="B58" s="151"/>
      <c r="C58" s="152"/>
      <c r="D58" s="152" t="s">
        <v>1454</v>
      </c>
      <c r="E58" s="61"/>
      <c r="F58" s="152"/>
      <c r="G58" s="152"/>
      <c r="H58" s="61"/>
      <c r="I58" s="158"/>
      <c r="K58" s="144"/>
      <c r="M58" s="144"/>
    </row>
    <row r="59" spans="1:17" x14ac:dyDescent="0.15">
      <c r="B59" s="154" t="s">
        <v>887</v>
      </c>
      <c r="C59" s="155"/>
      <c r="D59" s="155" t="s">
        <v>1054</v>
      </c>
      <c r="E59" s="155"/>
      <c r="F59" s="155"/>
      <c r="G59" s="155"/>
      <c r="H59" s="155"/>
      <c r="I59" s="156"/>
      <c r="K59" s="144"/>
      <c r="M59" s="144"/>
    </row>
    <row r="60" spans="1:17" x14ac:dyDescent="0.15">
      <c r="D60" s="159"/>
      <c r="E60" s="17"/>
      <c r="F60" s="144"/>
      <c r="H60" s="17"/>
      <c r="I60" s="144"/>
      <c r="K60" s="144"/>
      <c r="M60" s="144"/>
    </row>
    <row r="61" spans="1:17" x14ac:dyDescent="0.15">
      <c r="D61" s="159"/>
      <c r="E61" s="17"/>
      <c r="F61" s="144"/>
      <c r="H61" s="17"/>
      <c r="I61" s="144"/>
      <c r="K61" s="144"/>
      <c r="M61" s="144"/>
    </row>
    <row r="62" spans="1:17" x14ac:dyDescent="0.15">
      <c r="A62" s="66" t="s">
        <v>399</v>
      </c>
      <c r="B62" s="177" t="s">
        <v>1566</v>
      </c>
      <c r="C62" s="177"/>
      <c r="D62" s="177"/>
      <c r="E62" s="68"/>
      <c r="F62" s="177"/>
      <c r="G62" s="177"/>
      <c r="H62" s="68"/>
      <c r="I62" s="177"/>
      <c r="J62" s="68"/>
      <c r="K62" s="68"/>
      <c r="L62" s="177"/>
      <c r="M62" s="68"/>
      <c r="N62" s="177"/>
      <c r="O62" s="177"/>
      <c r="P62" s="177"/>
      <c r="Q62" s="177"/>
    </row>
    <row r="63" spans="1:17" x14ac:dyDescent="0.15">
      <c r="B63" s="144" t="s">
        <v>677</v>
      </c>
      <c r="E63" s="17"/>
      <c r="F63" s="144"/>
      <c r="H63" s="17"/>
      <c r="I63" s="144"/>
      <c r="J63" s="17"/>
    </row>
    <row r="64" spans="1:17" x14ac:dyDescent="0.15">
      <c r="E64" s="17"/>
      <c r="F64" s="144"/>
      <c r="H64" s="17"/>
      <c r="I64" s="144"/>
      <c r="J64" s="17"/>
    </row>
    <row r="65" spans="1:17" x14ac:dyDescent="0.15">
      <c r="B65" s="147" t="s">
        <v>879</v>
      </c>
      <c r="C65" s="148"/>
      <c r="D65" s="149" t="s">
        <v>1455</v>
      </c>
      <c r="E65" s="148"/>
      <c r="F65" s="148"/>
      <c r="G65" s="148"/>
      <c r="H65" s="148"/>
      <c r="I65" s="150"/>
      <c r="J65" s="17"/>
    </row>
    <row r="66" spans="1:17" x14ac:dyDescent="0.15">
      <c r="B66" s="151" t="s">
        <v>1042</v>
      </c>
      <c r="C66" s="152"/>
      <c r="D66" s="152" t="s">
        <v>1444</v>
      </c>
      <c r="E66" s="152"/>
      <c r="F66" s="152"/>
      <c r="G66" s="152"/>
      <c r="H66" s="152"/>
      <c r="I66" s="153"/>
      <c r="J66" s="17"/>
    </row>
    <row r="67" spans="1:17" x14ac:dyDescent="0.15">
      <c r="B67" s="151"/>
      <c r="C67" s="152"/>
      <c r="D67" s="152" t="s">
        <v>1446</v>
      </c>
      <c r="E67" s="152"/>
      <c r="F67" s="61"/>
      <c r="G67" s="152"/>
      <c r="H67" s="152"/>
      <c r="I67" s="153"/>
      <c r="J67" s="17"/>
    </row>
    <row r="68" spans="1:17" x14ac:dyDescent="0.15">
      <c r="B68" s="154" t="s">
        <v>887</v>
      </c>
      <c r="C68" s="155"/>
      <c r="D68" s="155" t="s">
        <v>1055</v>
      </c>
      <c r="E68" s="155"/>
      <c r="F68" s="155"/>
      <c r="G68" s="155"/>
      <c r="H68" s="155"/>
      <c r="I68" s="156"/>
      <c r="J68" s="17"/>
    </row>
    <row r="69" spans="1:17" x14ac:dyDescent="0.15">
      <c r="I69" s="144"/>
      <c r="J69" s="17"/>
    </row>
    <row r="70" spans="1:17" x14ac:dyDescent="0.15">
      <c r="B70" s="147" t="s">
        <v>879</v>
      </c>
      <c r="C70" s="148"/>
      <c r="D70" s="149" t="s">
        <v>1456</v>
      </c>
      <c r="E70" s="148"/>
      <c r="F70" s="148"/>
      <c r="G70" s="148"/>
      <c r="H70" s="148"/>
      <c r="I70" s="150"/>
      <c r="J70" s="17"/>
    </row>
    <row r="71" spans="1:17" x14ac:dyDescent="0.15">
      <c r="B71" s="151" t="s">
        <v>1042</v>
      </c>
      <c r="C71" s="152"/>
      <c r="D71" s="152" t="s">
        <v>1442</v>
      </c>
      <c r="E71" s="152"/>
      <c r="F71" s="152"/>
      <c r="G71" s="152"/>
      <c r="H71" s="152"/>
      <c r="I71" s="153"/>
      <c r="J71" s="17"/>
    </row>
    <row r="72" spans="1:17" x14ac:dyDescent="0.15">
      <c r="B72" s="151"/>
      <c r="C72" s="152"/>
      <c r="D72" s="152" t="s">
        <v>1454</v>
      </c>
      <c r="E72" s="61"/>
      <c r="F72" s="152"/>
      <c r="G72" s="152"/>
      <c r="H72" s="61"/>
      <c r="I72" s="158"/>
      <c r="J72" s="17"/>
    </row>
    <row r="73" spans="1:17" x14ac:dyDescent="0.15">
      <c r="B73" s="154" t="s">
        <v>887</v>
      </c>
      <c r="C73" s="155"/>
      <c r="D73" s="155" t="s">
        <v>1055</v>
      </c>
      <c r="E73" s="155"/>
      <c r="F73" s="155"/>
      <c r="G73" s="155"/>
      <c r="H73" s="155"/>
      <c r="I73" s="156"/>
      <c r="J73" s="17"/>
    </row>
    <row r="74" spans="1:17" x14ac:dyDescent="0.15">
      <c r="E74" s="17"/>
      <c r="F74" s="144"/>
      <c r="H74" s="17"/>
      <c r="I74" s="144"/>
      <c r="J74" s="17"/>
    </row>
    <row r="75" spans="1:17" x14ac:dyDescent="0.15">
      <c r="D75" s="159"/>
      <c r="E75" s="17"/>
      <c r="F75" s="144"/>
      <c r="H75" s="17"/>
      <c r="I75" s="144"/>
      <c r="J75" s="17"/>
    </row>
    <row r="76" spans="1:17" x14ac:dyDescent="0.15">
      <c r="A76" s="66" t="s">
        <v>541</v>
      </c>
      <c r="B76" s="177" t="s">
        <v>1560</v>
      </c>
      <c r="C76" s="177"/>
      <c r="D76" s="177"/>
      <c r="E76" s="68"/>
      <c r="F76" s="177"/>
      <c r="G76" s="177"/>
      <c r="H76" s="68"/>
      <c r="I76" s="177"/>
      <c r="J76" s="68"/>
      <c r="K76" s="68"/>
      <c r="L76" s="177"/>
      <c r="M76" s="68"/>
      <c r="N76" s="177"/>
      <c r="O76" s="177"/>
      <c r="P76" s="177"/>
      <c r="Q76" s="177"/>
    </row>
    <row r="77" spans="1:17" x14ac:dyDescent="0.15">
      <c r="B77" s="144" t="s">
        <v>678</v>
      </c>
      <c r="E77" s="17"/>
      <c r="F77" s="144"/>
      <c r="H77" s="17"/>
      <c r="I77" s="144"/>
      <c r="J77" s="17"/>
    </row>
    <row r="78" spans="1:17" x14ac:dyDescent="0.15">
      <c r="E78" s="17"/>
      <c r="F78" s="144"/>
      <c r="H78" s="17"/>
      <c r="I78" s="144"/>
      <c r="J78" s="17"/>
    </row>
    <row r="79" spans="1:17" x14ac:dyDescent="0.15">
      <c r="B79" s="147" t="s">
        <v>879</v>
      </c>
      <c r="C79" s="148"/>
      <c r="D79" s="149" t="s">
        <v>1457</v>
      </c>
      <c r="E79" s="148"/>
      <c r="F79" s="148"/>
      <c r="G79" s="148"/>
      <c r="H79" s="148"/>
      <c r="I79" s="150"/>
      <c r="J79" s="17"/>
    </row>
    <row r="80" spans="1:17" x14ac:dyDescent="0.15">
      <c r="B80" s="151" t="s">
        <v>1042</v>
      </c>
      <c r="C80" s="152"/>
      <c r="D80" s="152" t="s">
        <v>1458</v>
      </c>
      <c r="E80" s="152"/>
      <c r="F80" s="152"/>
      <c r="G80" s="152"/>
      <c r="H80" s="152"/>
      <c r="I80" s="153"/>
      <c r="J80" s="17"/>
    </row>
    <row r="81" spans="1:17" x14ac:dyDescent="0.15">
      <c r="B81" s="154" t="s">
        <v>887</v>
      </c>
      <c r="C81" s="155"/>
      <c r="D81" s="160" t="s">
        <v>1151</v>
      </c>
      <c r="E81" s="155"/>
      <c r="F81" s="155"/>
      <c r="G81" s="155"/>
      <c r="H81" s="155"/>
      <c r="I81" s="156"/>
      <c r="J81" s="17"/>
    </row>
    <row r="82" spans="1:17" x14ac:dyDescent="0.15">
      <c r="E82" s="17"/>
      <c r="F82" s="144"/>
      <c r="H82" s="17"/>
      <c r="I82" s="144"/>
      <c r="J82" s="17"/>
    </row>
    <row r="83" spans="1:17" x14ac:dyDescent="0.15">
      <c r="E83" s="17"/>
      <c r="F83" s="144"/>
      <c r="H83" s="17"/>
      <c r="I83" s="144"/>
      <c r="J83" s="17"/>
    </row>
    <row r="84" spans="1:17" x14ac:dyDescent="0.15">
      <c r="A84" s="66" t="s">
        <v>394</v>
      </c>
      <c r="B84" s="177" t="s">
        <v>1561</v>
      </c>
      <c r="C84" s="177"/>
      <c r="D84" s="177"/>
      <c r="E84" s="68"/>
      <c r="F84" s="177"/>
      <c r="G84" s="177"/>
      <c r="H84" s="68"/>
      <c r="I84" s="177"/>
      <c r="J84" s="68"/>
      <c r="K84" s="68"/>
      <c r="L84" s="177"/>
      <c r="M84" s="68"/>
      <c r="N84" s="177"/>
      <c r="O84" s="177"/>
      <c r="P84" s="177"/>
      <c r="Q84" s="177"/>
    </row>
    <row r="85" spans="1:17" x14ac:dyDescent="0.15">
      <c r="B85" s="144" t="s">
        <v>679</v>
      </c>
      <c r="E85" s="17"/>
      <c r="F85" s="144"/>
      <c r="H85" s="17"/>
      <c r="I85" s="144"/>
      <c r="J85" s="17"/>
    </row>
    <row r="86" spans="1:17" x14ac:dyDescent="0.15">
      <c r="E86" s="17"/>
      <c r="F86" s="144"/>
      <c r="H86" s="17"/>
      <c r="I86" s="144"/>
      <c r="J86" s="17"/>
    </row>
    <row r="87" spans="1:17" x14ac:dyDescent="0.15">
      <c r="B87" s="147" t="s">
        <v>879</v>
      </c>
      <c r="C87" s="148"/>
      <c r="D87" s="161" t="s">
        <v>1459</v>
      </c>
      <c r="E87" s="148"/>
      <c r="F87" s="148"/>
      <c r="G87" s="148"/>
      <c r="H87" s="148"/>
      <c r="I87" s="150"/>
      <c r="J87" s="17"/>
    </row>
    <row r="88" spans="1:17" x14ac:dyDescent="0.15">
      <c r="B88" s="151" t="s">
        <v>1042</v>
      </c>
      <c r="C88" s="152"/>
      <c r="D88" s="152" t="s">
        <v>1460</v>
      </c>
      <c r="E88" s="152"/>
      <c r="F88" s="152"/>
      <c r="G88" s="152"/>
      <c r="H88" s="152"/>
      <c r="I88" s="153"/>
      <c r="J88" s="17"/>
    </row>
    <row r="89" spans="1:17" x14ac:dyDescent="0.15">
      <c r="A89" s="144"/>
      <c r="B89" s="154" t="s">
        <v>887</v>
      </c>
      <c r="C89" s="155"/>
      <c r="D89" s="160" t="s">
        <v>1162</v>
      </c>
      <c r="E89" s="155"/>
      <c r="F89" s="155"/>
      <c r="G89" s="155"/>
      <c r="H89" s="155"/>
      <c r="I89" s="156"/>
      <c r="K89" s="144"/>
    </row>
    <row r="90" spans="1:17" x14ac:dyDescent="0.15">
      <c r="A90" s="144"/>
      <c r="F90" s="144"/>
      <c r="I90" s="144"/>
      <c r="K90" s="144"/>
    </row>
    <row r="91" spans="1:17" x14ac:dyDescent="0.15">
      <c r="D91" s="159"/>
      <c r="E91" s="17"/>
      <c r="F91" s="144"/>
      <c r="H91" s="17"/>
      <c r="I91" s="144"/>
      <c r="J91" s="17"/>
    </row>
    <row r="92" spans="1:17" x14ac:dyDescent="0.15">
      <c r="D92" s="159"/>
      <c r="E92" s="17"/>
      <c r="F92" s="144"/>
      <c r="H92" s="17"/>
      <c r="I92" s="144"/>
      <c r="J92" s="17"/>
    </row>
    <row r="93" spans="1:17" x14ac:dyDescent="0.15">
      <c r="A93" s="162" t="s">
        <v>1562</v>
      </c>
      <c r="B93" s="163"/>
      <c r="C93" s="163"/>
      <c r="D93" s="164"/>
      <c r="E93" s="165"/>
      <c r="F93" s="164"/>
      <c r="G93" s="164"/>
      <c r="H93" s="166"/>
      <c r="I93" s="163"/>
      <c r="J93" s="166"/>
      <c r="K93" s="166"/>
      <c r="L93" s="163"/>
      <c r="M93" s="166"/>
      <c r="N93" s="163"/>
      <c r="O93" s="163"/>
      <c r="P93" s="163"/>
      <c r="Q93" s="163"/>
    </row>
    <row r="94" spans="1:17" x14ac:dyDescent="0.15">
      <c r="A94" s="16" t="s">
        <v>524</v>
      </c>
      <c r="B94" s="144" t="s">
        <v>1461</v>
      </c>
    </row>
    <row r="95" spans="1:17" x14ac:dyDescent="0.15">
      <c r="A95" s="16" t="s">
        <v>525</v>
      </c>
      <c r="B95" s="144" t="s">
        <v>1462</v>
      </c>
    </row>
    <row r="97" spans="1:17" x14ac:dyDescent="0.15">
      <c r="C97" s="16" t="s">
        <v>1169</v>
      </c>
      <c r="D97" s="157" t="s">
        <v>1463</v>
      </c>
      <c r="F97" s="144"/>
      <c r="J97" s="16" t="s">
        <v>1169</v>
      </c>
      <c r="K97" s="157" t="s">
        <v>1464</v>
      </c>
    </row>
    <row r="98" spans="1:17" x14ac:dyDescent="0.15">
      <c r="C98" s="16" t="s">
        <v>725</v>
      </c>
      <c r="D98" s="159" t="s">
        <v>1170</v>
      </c>
      <c r="F98" s="144"/>
      <c r="J98" s="16" t="s">
        <v>127</v>
      </c>
      <c r="K98" s="159" t="s">
        <v>1171</v>
      </c>
    </row>
    <row r="99" spans="1:17" x14ac:dyDescent="0.15">
      <c r="C99" s="112" t="s">
        <v>681</v>
      </c>
      <c r="D99" s="112" t="s">
        <v>682</v>
      </c>
      <c r="E99" s="112" t="s">
        <v>680</v>
      </c>
      <c r="F99" s="78" t="s">
        <v>1168</v>
      </c>
      <c r="G99" s="167" t="s">
        <v>127</v>
      </c>
      <c r="J99" s="112" t="s">
        <v>681</v>
      </c>
      <c r="K99" s="112" t="s">
        <v>682</v>
      </c>
      <c r="L99" s="112" t="s">
        <v>680</v>
      </c>
      <c r="M99" s="78" t="s">
        <v>128</v>
      </c>
      <c r="N99" s="167" t="s">
        <v>127</v>
      </c>
    </row>
    <row r="100" spans="1:17" x14ac:dyDescent="0.15">
      <c r="C100" s="17" t="s">
        <v>106</v>
      </c>
      <c r="D100" s="17" t="s">
        <v>106</v>
      </c>
      <c r="E100" s="17" t="s">
        <v>7</v>
      </c>
      <c r="F100" s="82" t="str">
        <f>SSR2CPType(C100,D100)</f>
        <v>&lt;hkxhk&gt;</v>
      </c>
      <c r="G100" s="168" t="str">
        <f>SSR2CPGT(C100,D100,F100,E100)</f>
        <v>hh</v>
      </c>
      <c r="J100" s="17" t="s">
        <v>46</v>
      </c>
      <c r="K100" s="17" t="s">
        <v>46</v>
      </c>
      <c r="L100" s="17" t="s">
        <v>62</v>
      </c>
      <c r="M100" s="82" t="str">
        <f>SNP2CPType(J100,K100)</f>
        <v>&lt;hkxhk&gt;</v>
      </c>
      <c r="N100" s="168" t="str">
        <f>SNP2CPGT(J100,K100,M100,L100)</f>
        <v>hh</v>
      </c>
    </row>
    <row r="101" spans="1:17" x14ac:dyDescent="0.15">
      <c r="C101" s="17" t="s">
        <v>107</v>
      </c>
      <c r="D101" s="17" t="s">
        <v>108</v>
      </c>
      <c r="E101" s="17" t="s">
        <v>119</v>
      </c>
      <c r="F101" s="83" t="str">
        <f t="shared" ref="F101:F108" si="0">SSR2CPType(C101,D101)</f>
        <v>&lt;nnxnp&gt;</v>
      </c>
      <c r="G101" s="169" t="str">
        <f t="shared" ref="G101:G107" si="1">SSR2CPGT(C101,D101,F101,E101)</f>
        <v>np</v>
      </c>
      <c r="J101" s="17" t="s">
        <v>46</v>
      </c>
      <c r="K101" s="17" t="s">
        <v>46</v>
      </c>
      <c r="L101" s="17" t="s">
        <v>46</v>
      </c>
      <c r="M101" s="83" t="str">
        <f t="shared" ref="M101:M108" si="2">SNP2CPType(J101,K101)</f>
        <v>&lt;hkxhk&gt;</v>
      </c>
      <c r="N101" s="169" t="str">
        <f t="shared" ref="N101:N108" si="3">SNP2CPGT(J101,K101,M101,L101)</f>
        <v>hk</v>
      </c>
    </row>
    <row r="102" spans="1:17" x14ac:dyDescent="0.15">
      <c r="C102" s="17" t="s">
        <v>53</v>
      </c>
      <c r="D102" s="17" t="s">
        <v>53</v>
      </c>
      <c r="E102" s="17" t="s">
        <v>67</v>
      </c>
      <c r="F102" s="83" t="str">
        <f t="shared" si="0"/>
        <v>&lt;hkxhk&gt;</v>
      </c>
      <c r="G102" s="169" t="str">
        <f t="shared" si="1"/>
        <v>hk</v>
      </c>
      <c r="J102" s="17" t="s">
        <v>726</v>
      </c>
      <c r="K102" s="17" t="s">
        <v>47</v>
      </c>
      <c r="L102" s="17" t="s">
        <v>10</v>
      </c>
      <c r="M102" s="83" t="str">
        <f t="shared" si="2"/>
        <v>&lt;nnxnp&gt;</v>
      </c>
      <c r="N102" s="169" t="str">
        <f t="shared" si="3"/>
        <v>np</v>
      </c>
    </row>
    <row r="103" spans="1:17" x14ac:dyDescent="0.15">
      <c r="C103" s="17" t="s">
        <v>536</v>
      </c>
      <c r="D103" s="17" t="s">
        <v>537</v>
      </c>
      <c r="E103" s="17" t="s">
        <v>535</v>
      </c>
      <c r="F103" s="83" t="str">
        <f t="shared" si="0"/>
        <v>&lt;lmxll&gt;</v>
      </c>
      <c r="G103" s="169" t="str">
        <f>SSR2CPGT(C103,D103,F103,E103)</f>
        <v>lm</v>
      </c>
      <c r="J103" s="17" t="s">
        <v>62</v>
      </c>
      <c r="K103" s="17" t="s">
        <v>46</v>
      </c>
      <c r="L103" s="17" t="s">
        <v>728</v>
      </c>
      <c r="M103" s="83" t="str">
        <f t="shared" si="2"/>
        <v>&lt;nnxnp&gt;</v>
      </c>
      <c r="N103" s="169" t="str">
        <f>SNP2CPGT(J103,K103,M103,L103)</f>
        <v>nn</v>
      </c>
    </row>
    <row r="104" spans="1:17" x14ac:dyDescent="0.15">
      <c r="C104" s="17" t="s">
        <v>107</v>
      </c>
      <c r="D104" s="17" t="s">
        <v>50</v>
      </c>
      <c r="E104" s="17" t="s">
        <v>109</v>
      </c>
      <c r="F104" s="83" t="str">
        <f t="shared" si="0"/>
        <v>F1</v>
      </c>
      <c r="G104" s="169" t="str">
        <f t="shared" si="1"/>
        <v>-/-</v>
      </c>
      <c r="J104" s="17" t="s">
        <v>46</v>
      </c>
      <c r="K104" s="17" t="s">
        <v>46</v>
      </c>
      <c r="L104" s="17" t="s">
        <v>62</v>
      </c>
      <c r="M104" s="83" t="str">
        <f t="shared" si="2"/>
        <v>&lt;hkxhk&gt;</v>
      </c>
      <c r="N104" s="169" t="str">
        <f t="shared" si="3"/>
        <v>hh</v>
      </c>
    </row>
    <row r="105" spans="1:17" x14ac:dyDescent="0.15">
      <c r="C105" s="170" t="s">
        <v>727</v>
      </c>
      <c r="D105" s="170" t="s">
        <v>534</v>
      </c>
      <c r="E105" s="170" t="s">
        <v>535</v>
      </c>
      <c r="F105" s="171" t="str">
        <f>SSR2CPType(C105,D105)</f>
        <v>&lt;lmxll&gt;</v>
      </c>
      <c r="G105" s="172" t="str">
        <f>SSR2CPGT(C105,D105,F105,E105)</f>
        <v>lm</v>
      </c>
      <c r="J105" s="17" t="s">
        <v>47</v>
      </c>
      <c r="K105" s="17" t="s">
        <v>726</v>
      </c>
      <c r="L105" s="17" t="s">
        <v>729</v>
      </c>
      <c r="M105" s="83" t="str">
        <f t="shared" si="2"/>
        <v>&lt;lmxll&gt;</v>
      </c>
      <c r="N105" s="169" t="str">
        <f>SNP2CPGT(J105,K105,M105,L105)</f>
        <v>lm</v>
      </c>
    </row>
    <row r="106" spans="1:17" x14ac:dyDescent="0.15">
      <c r="C106" s="17" t="s">
        <v>110</v>
      </c>
      <c r="D106" s="17" t="s">
        <v>111</v>
      </c>
      <c r="E106" s="17" t="s">
        <v>112</v>
      </c>
      <c r="F106" s="83" t="str">
        <f t="shared" si="0"/>
        <v>&lt;abxcd&gt;</v>
      </c>
      <c r="G106" s="169" t="str">
        <f t="shared" si="1"/>
        <v>ad</v>
      </c>
      <c r="J106" s="17" t="s">
        <v>46</v>
      </c>
      <c r="K106" s="17" t="s">
        <v>46</v>
      </c>
      <c r="L106" s="17" t="s">
        <v>120</v>
      </c>
      <c r="M106" s="83" t="str">
        <f t="shared" si="2"/>
        <v>&lt;hkxhk&gt;</v>
      </c>
      <c r="N106" s="169" t="str">
        <f t="shared" si="3"/>
        <v>kk</v>
      </c>
    </row>
    <row r="107" spans="1:17" x14ac:dyDescent="0.15">
      <c r="C107" s="17" t="s">
        <v>110</v>
      </c>
      <c r="D107" s="17" t="s">
        <v>112</v>
      </c>
      <c r="E107" s="17" t="s">
        <v>119</v>
      </c>
      <c r="F107" s="83" t="str">
        <f t="shared" si="0"/>
        <v>&lt;efxeg&gt;</v>
      </c>
      <c r="G107" s="169" t="str">
        <f t="shared" si="1"/>
        <v>fg</v>
      </c>
      <c r="J107" s="17" t="s">
        <v>121</v>
      </c>
      <c r="K107" s="17" t="s">
        <v>121</v>
      </c>
      <c r="L107" s="17" t="s">
        <v>121</v>
      </c>
      <c r="M107" s="83" t="str">
        <f t="shared" si="2"/>
        <v>NP</v>
      </c>
      <c r="N107" s="169" t="str">
        <f t="shared" si="3"/>
        <v>--</v>
      </c>
    </row>
    <row r="108" spans="1:17" x14ac:dyDescent="0.15">
      <c r="C108" s="63" t="s">
        <v>538</v>
      </c>
      <c r="D108" s="63" t="s">
        <v>539</v>
      </c>
      <c r="E108" s="63" t="s">
        <v>540</v>
      </c>
      <c r="F108" s="84" t="str">
        <f t="shared" si="0"/>
        <v>&lt;nnxnp&gt;</v>
      </c>
      <c r="G108" s="173" t="str">
        <f>SSR2CPGT(C108,D108,F108,E108)</f>
        <v>?/?</v>
      </c>
      <c r="J108" s="63" t="s">
        <v>730</v>
      </c>
      <c r="K108" s="63" t="s">
        <v>46</v>
      </c>
      <c r="L108" s="63" t="s">
        <v>120</v>
      </c>
      <c r="M108" s="84" t="str">
        <f t="shared" si="2"/>
        <v>&lt;nnxnp&gt;</v>
      </c>
      <c r="N108" s="173" t="str">
        <f t="shared" si="3"/>
        <v>nn</v>
      </c>
    </row>
    <row r="109" spans="1:17" x14ac:dyDescent="0.15">
      <c r="F109" s="144"/>
    </row>
    <row r="111" spans="1:17" x14ac:dyDescent="0.15">
      <c r="A111" s="162" t="s">
        <v>1563</v>
      </c>
      <c r="B111" s="163"/>
      <c r="C111" s="163"/>
      <c r="D111" s="164"/>
      <c r="E111" s="165"/>
      <c r="F111" s="164"/>
      <c r="G111" s="164"/>
      <c r="H111" s="166"/>
      <c r="I111" s="163"/>
      <c r="J111" s="166"/>
      <c r="K111" s="166"/>
      <c r="L111" s="163"/>
      <c r="M111" s="166"/>
      <c r="N111" s="163"/>
      <c r="O111" s="163"/>
      <c r="P111" s="163"/>
      <c r="Q111" s="163"/>
    </row>
    <row r="112" spans="1:17" x14ac:dyDescent="0.15">
      <c r="A112" s="16" t="s">
        <v>684</v>
      </c>
      <c r="B112" s="144" t="s">
        <v>1172</v>
      </c>
    </row>
    <row r="113" spans="1:11" x14ac:dyDescent="0.15">
      <c r="A113" s="16" t="s">
        <v>683</v>
      </c>
      <c r="B113" s="144" t="s">
        <v>1465</v>
      </c>
    </row>
    <row r="114" spans="1:11" x14ac:dyDescent="0.15">
      <c r="A114" s="16" t="s">
        <v>529</v>
      </c>
      <c r="B114" s="144" t="s">
        <v>1466</v>
      </c>
    </row>
    <row r="116" spans="1:11" x14ac:dyDescent="0.15">
      <c r="B116" s="17" t="s">
        <v>2</v>
      </c>
      <c r="C116" s="112" t="s">
        <v>681</v>
      </c>
      <c r="D116" s="112" t="s">
        <v>682</v>
      </c>
      <c r="E116" s="112" t="s">
        <v>680</v>
      </c>
      <c r="F116" s="78" t="s">
        <v>124</v>
      </c>
      <c r="G116" s="174" t="s">
        <v>122</v>
      </c>
      <c r="H116" s="174" t="s">
        <v>123</v>
      </c>
      <c r="I116" s="175"/>
      <c r="J116" s="17"/>
      <c r="K116" s="144"/>
    </row>
    <row r="117" spans="1:11" x14ac:dyDescent="0.15">
      <c r="C117" s="17" t="s">
        <v>106</v>
      </c>
      <c r="D117" s="17" t="s">
        <v>106</v>
      </c>
      <c r="E117" s="17" t="s">
        <v>7</v>
      </c>
      <c r="F117" s="81" t="str">
        <f>SSR2SegType(C117,D117)</f>
        <v>F2</v>
      </c>
      <c r="G117" s="176" t="str">
        <f>SSR2BC1GT(C117,D117,E117)</f>
        <v>-</v>
      </c>
      <c r="H117" s="176" t="str">
        <f>SSR2F2GT(C117,D117,E117)</f>
        <v>a</v>
      </c>
      <c r="I117" s="144"/>
      <c r="J117" s="17"/>
      <c r="K117" s="144"/>
    </row>
    <row r="118" spans="1:11" x14ac:dyDescent="0.15">
      <c r="C118" s="17" t="s">
        <v>107</v>
      </c>
      <c r="D118" s="17" t="s">
        <v>108</v>
      </c>
      <c r="E118" s="17" t="s">
        <v>109</v>
      </c>
      <c r="F118" s="81" t="str">
        <f t="shared" ref="F118:F141" si="4">SSR2SegType(C118,D118)</f>
        <v>BC1A</v>
      </c>
      <c r="G118" s="176" t="str">
        <f t="shared" ref="G118:G141" si="5">SSR2BC1GT(C118,D118,E118)</f>
        <v>h</v>
      </c>
      <c r="H118" s="176" t="str">
        <f>SSR2F2GT(C118,D118,E118)</f>
        <v>-</v>
      </c>
      <c r="I118" s="144" t="s">
        <v>526</v>
      </c>
      <c r="J118" s="17"/>
      <c r="K118" s="144"/>
    </row>
    <row r="119" spans="1:11" x14ac:dyDescent="0.15">
      <c r="C119" s="17" t="s">
        <v>53</v>
      </c>
      <c r="D119" s="17" t="s">
        <v>53</v>
      </c>
      <c r="E119" s="17" t="s">
        <v>51</v>
      </c>
      <c r="F119" s="81" t="str">
        <f t="shared" si="4"/>
        <v>F2</v>
      </c>
      <c r="G119" s="176" t="str">
        <f t="shared" si="5"/>
        <v>-</v>
      </c>
      <c r="H119" s="176" t="str">
        <f>SSR2F2GT(C119,D119,E119)</f>
        <v>b</v>
      </c>
      <c r="I119" s="144"/>
      <c r="J119" s="17"/>
      <c r="K119" s="144"/>
    </row>
    <row r="120" spans="1:11" x14ac:dyDescent="0.15">
      <c r="C120" s="17" t="s">
        <v>106</v>
      </c>
      <c r="D120" s="17" t="s">
        <v>106</v>
      </c>
      <c r="E120" s="17" t="s">
        <v>7</v>
      </c>
      <c r="F120" s="81" t="str">
        <f t="shared" si="4"/>
        <v>F2</v>
      </c>
      <c r="G120" s="176" t="str">
        <f t="shared" si="5"/>
        <v>-</v>
      </c>
      <c r="H120" s="176" t="str">
        <f t="shared" ref="H120:H141" si="6">SSR2F2GT(C120,D120,E120)</f>
        <v>a</v>
      </c>
      <c r="I120" s="144"/>
      <c r="J120" s="17"/>
      <c r="K120" s="144"/>
    </row>
    <row r="121" spans="1:11" x14ac:dyDescent="0.15">
      <c r="C121" s="17" t="s">
        <v>107</v>
      </c>
      <c r="D121" s="17" t="s">
        <v>50</v>
      </c>
      <c r="E121" s="17" t="s">
        <v>109</v>
      </c>
      <c r="F121" s="81" t="str">
        <f t="shared" si="4"/>
        <v>-</v>
      </c>
      <c r="G121" s="176" t="str">
        <f t="shared" si="5"/>
        <v>-</v>
      </c>
      <c r="H121" s="176" t="str">
        <f t="shared" si="6"/>
        <v>-</v>
      </c>
      <c r="I121" s="144" t="s">
        <v>527</v>
      </c>
      <c r="J121" s="17"/>
      <c r="K121" s="144"/>
    </row>
    <row r="122" spans="1:11" x14ac:dyDescent="0.15">
      <c r="C122" s="17" t="s">
        <v>53</v>
      </c>
      <c r="D122" s="17" t="s">
        <v>51</v>
      </c>
      <c r="E122" s="17" t="s">
        <v>51</v>
      </c>
      <c r="F122" s="81" t="str">
        <f t="shared" si="4"/>
        <v>BC1B</v>
      </c>
      <c r="G122" s="176" t="str">
        <f t="shared" si="5"/>
        <v>b</v>
      </c>
      <c r="H122" s="176" t="str">
        <f t="shared" si="6"/>
        <v>-</v>
      </c>
      <c r="I122" s="144" t="s">
        <v>528</v>
      </c>
      <c r="J122" s="17"/>
      <c r="K122" s="144"/>
    </row>
    <row r="123" spans="1:11" x14ac:dyDescent="0.15">
      <c r="C123" s="17" t="s">
        <v>110</v>
      </c>
      <c r="D123" s="17" t="s">
        <v>111</v>
      </c>
      <c r="E123" s="17" t="s">
        <v>112</v>
      </c>
      <c r="F123" s="81" t="str">
        <f t="shared" si="4"/>
        <v>F2D</v>
      </c>
      <c r="G123" s="176" t="str">
        <f t="shared" si="5"/>
        <v>-</v>
      </c>
      <c r="H123" s="176" t="str">
        <f>SSR2F2GT(C123,D123,E123)</f>
        <v>-</v>
      </c>
      <c r="I123" s="144" t="s">
        <v>530</v>
      </c>
      <c r="J123" s="17"/>
      <c r="K123" s="144"/>
    </row>
    <row r="124" spans="1:11" x14ac:dyDescent="0.15">
      <c r="C124" s="17" t="s">
        <v>110</v>
      </c>
      <c r="D124" s="17" t="s">
        <v>112</v>
      </c>
      <c r="E124" s="17" t="s">
        <v>119</v>
      </c>
      <c r="F124" s="81" t="str">
        <f t="shared" si="4"/>
        <v>F2D</v>
      </c>
      <c r="G124" s="176" t="str">
        <f t="shared" si="5"/>
        <v>-</v>
      </c>
      <c r="H124" s="176" t="str">
        <f>SSR2F2GT(C124,D124,E124)</f>
        <v>-</v>
      </c>
      <c r="I124" s="144" t="s">
        <v>530</v>
      </c>
      <c r="J124" s="17"/>
      <c r="K124" s="144"/>
    </row>
    <row r="125" spans="1:11" x14ac:dyDescent="0.15">
      <c r="C125" s="63" t="s">
        <v>113</v>
      </c>
      <c r="D125" s="63" t="s">
        <v>114</v>
      </c>
      <c r="E125" s="63" t="s">
        <v>113</v>
      </c>
      <c r="F125" s="84" t="str">
        <f t="shared" si="4"/>
        <v>BC1A</v>
      </c>
      <c r="G125" s="173" t="str">
        <f t="shared" si="5"/>
        <v>a</v>
      </c>
      <c r="H125" s="173" t="str">
        <f t="shared" si="6"/>
        <v>-</v>
      </c>
      <c r="I125" s="144" t="s">
        <v>526</v>
      </c>
      <c r="J125" s="17"/>
      <c r="K125" s="144"/>
    </row>
    <row r="126" spans="1:11" x14ac:dyDescent="0.15">
      <c r="C126" s="61" t="s">
        <v>131</v>
      </c>
      <c r="D126" s="61" t="s">
        <v>132</v>
      </c>
      <c r="E126" s="61" t="s">
        <v>131</v>
      </c>
      <c r="F126" s="81" t="str">
        <f t="shared" si="4"/>
        <v>BC1A</v>
      </c>
      <c r="G126" s="176" t="str">
        <f t="shared" si="5"/>
        <v>a</v>
      </c>
      <c r="H126" s="176" t="str">
        <f t="shared" si="6"/>
        <v>-</v>
      </c>
      <c r="I126" s="152"/>
      <c r="J126" s="17"/>
      <c r="K126" s="144"/>
    </row>
    <row r="127" spans="1:11" x14ac:dyDescent="0.15">
      <c r="C127" s="61" t="s">
        <v>131</v>
      </c>
      <c r="D127" s="61" t="s">
        <v>132</v>
      </c>
      <c r="E127" s="61" t="s">
        <v>132</v>
      </c>
      <c r="F127" s="81" t="str">
        <f t="shared" si="4"/>
        <v>BC1A</v>
      </c>
      <c r="G127" s="176" t="str">
        <f t="shared" si="5"/>
        <v>h</v>
      </c>
      <c r="H127" s="176" t="str">
        <f t="shared" si="6"/>
        <v>-</v>
      </c>
      <c r="I127" s="152"/>
      <c r="J127" s="17"/>
      <c r="K127" s="144"/>
    </row>
    <row r="128" spans="1:11" x14ac:dyDescent="0.15">
      <c r="C128" s="61" t="s">
        <v>131</v>
      </c>
      <c r="D128" s="61" t="s">
        <v>132</v>
      </c>
      <c r="E128" s="61" t="s">
        <v>133</v>
      </c>
      <c r="F128" s="81" t="str">
        <f t="shared" si="4"/>
        <v>BC1A</v>
      </c>
      <c r="G128" s="176" t="str">
        <f t="shared" si="5"/>
        <v>-</v>
      </c>
      <c r="H128" s="176" t="str">
        <f t="shared" si="6"/>
        <v>X</v>
      </c>
      <c r="I128" s="152"/>
      <c r="J128" s="17"/>
      <c r="K128" s="144"/>
    </row>
    <row r="129" spans="3:11" x14ac:dyDescent="0.15">
      <c r="C129" s="63" t="s">
        <v>131</v>
      </c>
      <c r="D129" s="63" t="s">
        <v>132</v>
      </c>
      <c r="E129" s="63" t="s">
        <v>134</v>
      </c>
      <c r="F129" s="84" t="str">
        <f t="shared" si="4"/>
        <v>BC1A</v>
      </c>
      <c r="G129" s="173" t="str">
        <f t="shared" si="5"/>
        <v>X</v>
      </c>
      <c r="H129" s="173" t="str">
        <f t="shared" si="6"/>
        <v>X</v>
      </c>
      <c r="I129" s="155"/>
      <c r="J129" s="17"/>
      <c r="K129" s="144"/>
    </row>
    <row r="130" spans="3:11" x14ac:dyDescent="0.15">
      <c r="C130" s="61" t="s">
        <v>132</v>
      </c>
      <c r="D130" s="61" t="s">
        <v>131</v>
      </c>
      <c r="E130" s="61" t="s">
        <v>131</v>
      </c>
      <c r="F130" s="81" t="str">
        <f t="shared" si="4"/>
        <v>BC1B</v>
      </c>
      <c r="G130" s="176" t="str">
        <f t="shared" si="5"/>
        <v>b</v>
      </c>
      <c r="H130" s="176" t="str">
        <f>SSR2F2GT(C130,D130,E130)</f>
        <v>-</v>
      </c>
      <c r="I130" s="152"/>
      <c r="J130" s="17"/>
      <c r="K130" s="144"/>
    </row>
    <row r="131" spans="3:11" x14ac:dyDescent="0.15">
      <c r="C131" s="61" t="s">
        <v>132</v>
      </c>
      <c r="D131" s="61" t="s">
        <v>131</v>
      </c>
      <c r="E131" s="61" t="s">
        <v>132</v>
      </c>
      <c r="F131" s="81" t="str">
        <f t="shared" si="4"/>
        <v>BC1B</v>
      </c>
      <c r="G131" s="176" t="str">
        <f t="shared" si="5"/>
        <v>h</v>
      </c>
      <c r="H131" s="176" t="str">
        <f t="shared" si="6"/>
        <v>-</v>
      </c>
      <c r="I131" s="152"/>
      <c r="J131" s="17"/>
      <c r="K131" s="144"/>
    </row>
    <row r="132" spans="3:11" x14ac:dyDescent="0.15">
      <c r="C132" s="61" t="s">
        <v>132</v>
      </c>
      <c r="D132" s="61" t="s">
        <v>131</v>
      </c>
      <c r="E132" s="61" t="s">
        <v>133</v>
      </c>
      <c r="F132" s="83" t="str">
        <f t="shared" si="4"/>
        <v>BC1B</v>
      </c>
      <c r="G132" s="176" t="str">
        <f t="shared" si="5"/>
        <v>-</v>
      </c>
      <c r="H132" s="176" t="str">
        <f t="shared" si="6"/>
        <v>X</v>
      </c>
      <c r="I132" s="152"/>
      <c r="J132" s="17"/>
      <c r="K132" s="144"/>
    </row>
    <row r="133" spans="3:11" x14ac:dyDescent="0.15">
      <c r="C133" s="63" t="s">
        <v>132</v>
      </c>
      <c r="D133" s="63" t="s">
        <v>131</v>
      </c>
      <c r="E133" s="63" t="s">
        <v>134</v>
      </c>
      <c r="F133" s="84" t="str">
        <f t="shared" si="4"/>
        <v>BC1B</v>
      </c>
      <c r="G133" s="173" t="str">
        <f t="shared" si="5"/>
        <v>X</v>
      </c>
      <c r="H133" s="173" t="str">
        <f t="shared" si="6"/>
        <v>X</v>
      </c>
      <c r="I133" s="155"/>
      <c r="J133" s="17"/>
      <c r="K133" s="144"/>
    </row>
    <row r="134" spans="3:11" x14ac:dyDescent="0.15">
      <c r="C134" s="61" t="s">
        <v>132</v>
      </c>
      <c r="D134" s="61" t="s">
        <v>137</v>
      </c>
      <c r="E134" s="61" t="s">
        <v>131</v>
      </c>
      <c r="F134" s="81" t="str">
        <f>SSR2SegType(C134,D134)</f>
        <v>F2</v>
      </c>
      <c r="G134" s="176" t="str">
        <f>SSR2BC1GT(C134,D134,E134)</f>
        <v>-</v>
      </c>
      <c r="H134" s="176" t="str">
        <f>SSR2F2GT(C134,D134,E134)</f>
        <v>a</v>
      </c>
      <c r="I134" s="152"/>
      <c r="J134" s="17"/>
      <c r="K134" s="144"/>
    </row>
    <row r="135" spans="3:11" x14ac:dyDescent="0.15">
      <c r="C135" s="61" t="s">
        <v>132</v>
      </c>
      <c r="D135" s="61" t="s">
        <v>137</v>
      </c>
      <c r="E135" s="61" t="s">
        <v>132</v>
      </c>
      <c r="F135" s="81" t="str">
        <f t="shared" si="4"/>
        <v>F2</v>
      </c>
      <c r="G135" s="176" t="str">
        <f t="shared" si="5"/>
        <v>-</v>
      </c>
      <c r="H135" s="176" t="str">
        <f t="shared" si="6"/>
        <v>h</v>
      </c>
      <c r="I135" s="152"/>
      <c r="J135" s="17"/>
      <c r="K135" s="144"/>
    </row>
    <row r="136" spans="3:11" x14ac:dyDescent="0.15">
      <c r="C136" s="61" t="s">
        <v>132</v>
      </c>
      <c r="D136" s="61" t="s">
        <v>137</v>
      </c>
      <c r="E136" s="61" t="s">
        <v>136</v>
      </c>
      <c r="F136" s="81" t="str">
        <f t="shared" si="4"/>
        <v>F2</v>
      </c>
      <c r="G136" s="176" t="str">
        <f t="shared" si="5"/>
        <v>-</v>
      </c>
      <c r="H136" s="176" t="str">
        <f t="shared" si="6"/>
        <v>b</v>
      </c>
      <c r="I136" s="152"/>
      <c r="J136" s="17"/>
      <c r="K136" s="144"/>
    </row>
    <row r="137" spans="3:11" x14ac:dyDescent="0.15">
      <c r="C137" s="63" t="s">
        <v>132</v>
      </c>
      <c r="D137" s="63" t="s">
        <v>137</v>
      </c>
      <c r="E137" s="63" t="s">
        <v>135</v>
      </c>
      <c r="F137" s="84" t="str">
        <f t="shared" si="4"/>
        <v>F2</v>
      </c>
      <c r="G137" s="173" t="str">
        <f t="shared" si="5"/>
        <v>-</v>
      </c>
      <c r="H137" s="173" t="str">
        <f t="shared" si="6"/>
        <v>X</v>
      </c>
      <c r="I137" s="155"/>
      <c r="J137" s="17"/>
      <c r="K137" s="144"/>
    </row>
    <row r="138" spans="3:11" x14ac:dyDescent="0.15">
      <c r="C138" s="61" t="s">
        <v>135</v>
      </c>
      <c r="D138" s="61" t="s">
        <v>132</v>
      </c>
      <c r="E138" s="61" t="s">
        <v>131</v>
      </c>
      <c r="F138" s="81" t="str">
        <f t="shared" si="4"/>
        <v>F2D</v>
      </c>
      <c r="G138" s="176" t="str">
        <f t="shared" si="5"/>
        <v>-</v>
      </c>
      <c r="H138" s="176" t="str">
        <f t="shared" si="6"/>
        <v>-</v>
      </c>
      <c r="I138" s="152"/>
      <c r="J138" s="17"/>
      <c r="K138" s="144"/>
    </row>
    <row r="139" spans="3:11" x14ac:dyDescent="0.15">
      <c r="C139" s="61" t="s">
        <v>135</v>
      </c>
      <c r="D139" s="61" t="s">
        <v>132</v>
      </c>
      <c r="E139" s="61" t="s">
        <v>132</v>
      </c>
      <c r="F139" s="81" t="str">
        <f t="shared" si="4"/>
        <v>F2D</v>
      </c>
      <c r="G139" s="176" t="str">
        <f t="shared" si="5"/>
        <v>-</v>
      </c>
      <c r="H139" s="176" t="str">
        <f t="shared" si="6"/>
        <v>-</v>
      </c>
      <c r="I139" s="152"/>
      <c r="J139" s="17"/>
      <c r="K139" s="144"/>
    </row>
    <row r="140" spans="3:11" x14ac:dyDescent="0.15">
      <c r="C140" s="61" t="s">
        <v>135</v>
      </c>
      <c r="D140" s="61" t="s">
        <v>132</v>
      </c>
      <c r="E140" s="61" t="s">
        <v>136</v>
      </c>
      <c r="F140" s="81" t="str">
        <f t="shared" si="4"/>
        <v>F2D</v>
      </c>
      <c r="G140" s="176" t="str">
        <f t="shared" si="5"/>
        <v>-</v>
      </c>
      <c r="H140" s="176" t="str">
        <f t="shared" si="6"/>
        <v>X</v>
      </c>
      <c r="I140" s="152"/>
      <c r="J140" s="17"/>
      <c r="K140" s="144"/>
    </row>
    <row r="141" spans="3:11" x14ac:dyDescent="0.15">
      <c r="C141" s="63" t="s">
        <v>135</v>
      </c>
      <c r="D141" s="63" t="s">
        <v>132</v>
      </c>
      <c r="E141" s="63" t="s">
        <v>6</v>
      </c>
      <c r="F141" s="84" t="str">
        <f t="shared" si="4"/>
        <v>F2D</v>
      </c>
      <c r="G141" s="173" t="str">
        <f t="shared" si="5"/>
        <v>-</v>
      </c>
      <c r="H141" s="173" t="str">
        <f t="shared" si="6"/>
        <v>X</v>
      </c>
      <c r="I141" s="155"/>
      <c r="J141" s="17"/>
      <c r="K141" s="144"/>
    </row>
    <row r="142" spans="3:11" x14ac:dyDescent="0.15">
      <c r="C142" s="61"/>
      <c r="D142" s="61"/>
      <c r="E142" s="61"/>
      <c r="F142" s="61"/>
      <c r="G142" s="61"/>
      <c r="H142" s="61"/>
      <c r="I142" s="152"/>
      <c r="J142" s="17"/>
      <c r="K142" s="144"/>
    </row>
    <row r="143" spans="3:11" x14ac:dyDescent="0.15">
      <c r="E143" s="17"/>
      <c r="F143" s="144"/>
      <c r="H143" s="17"/>
      <c r="I143" s="144"/>
      <c r="J143" s="17"/>
      <c r="K143" s="144"/>
    </row>
    <row r="144" spans="3:11" x14ac:dyDescent="0.15">
      <c r="E144" s="17"/>
      <c r="F144" s="144"/>
      <c r="H144" s="17"/>
      <c r="I144" s="144"/>
      <c r="J144" s="17"/>
      <c r="K144" s="144"/>
    </row>
    <row r="145" spans="1:17" x14ac:dyDescent="0.15">
      <c r="B145" s="17" t="s">
        <v>3</v>
      </c>
      <c r="C145" s="112" t="s">
        <v>681</v>
      </c>
      <c r="D145" s="112" t="s">
        <v>682</v>
      </c>
      <c r="E145" s="112" t="s">
        <v>680</v>
      </c>
      <c r="F145" s="78" t="s">
        <v>124</v>
      </c>
      <c r="G145" s="174" t="s">
        <v>122</v>
      </c>
      <c r="H145" s="174" t="s">
        <v>123</v>
      </c>
      <c r="I145" s="175"/>
      <c r="J145" s="17"/>
      <c r="K145" s="144"/>
    </row>
    <row r="146" spans="1:17" x14ac:dyDescent="0.15">
      <c r="C146" s="17" t="s">
        <v>62</v>
      </c>
      <c r="D146" s="17" t="s">
        <v>46</v>
      </c>
      <c r="E146" s="17" t="s">
        <v>62</v>
      </c>
      <c r="F146" s="82" t="str">
        <f>SNP2SegType(C146,D146)</f>
        <v>BC1A</v>
      </c>
      <c r="G146" s="168" t="str">
        <f>SNP2BC1GT(C146,D146,E146)</f>
        <v>a</v>
      </c>
      <c r="H146" s="168" t="str">
        <f>SNP2F2GT(C146,D146,E146)</f>
        <v>-</v>
      </c>
      <c r="I146" s="148"/>
      <c r="J146" s="17"/>
      <c r="K146" s="144"/>
    </row>
    <row r="147" spans="1:17" x14ac:dyDescent="0.15">
      <c r="C147" s="17" t="s">
        <v>62</v>
      </c>
      <c r="D147" s="17" t="s">
        <v>46</v>
      </c>
      <c r="E147" s="17" t="s">
        <v>47</v>
      </c>
      <c r="F147" s="83" t="str">
        <f t="shared" ref="F147:F154" si="7">SNP2SegType(C147,D147)</f>
        <v>BC1A</v>
      </c>
      <c r="G147" s="169" t="str">
        <f t="shared" ref="G147:G154" si="8">SNP2BC1GT(C147,D147,E147)</f>
        <v>h</v>
      </c>
      <c r="H147" s="169" t="str">
        <f>SNP2F2GT(C147,D147,E147)</f>
        <v>-</v>
      </c>
      <c r="I147" s="152"/>
      <c r="J147" s="17"/>
      <c r="K147" s="144"/>
    </row>
    <row r="148" spans="1:17" x14ac:dyDescent="0.15">
      <c r="C148" s="17" t="s">
        <v>47</v>
      </c>
      <c r="D148" s="17" t="s">
        <v>120</v>
      </c>
      <c r="E148" s="17" t="s">
        <v>120</v>
      </c>
      <c r="F148" s="83" t="str">
        <f t="shared" si="7"/>
        <v>BC1B</v>
      </c>
      <c r="G148" s="169" t="str">
        <f t="shared" si="8"/>
        <v>b</v>
      </c>
      <c r="H148" s="169" t="str">
        <f t="shared" ref="H148:H154" si="9">SNP2F2GT(C148,D148,E148)</f>
        <v>-</v>
      </c>
      <c r="I148" s="144" t="s">
        <v>528</v>
      </c>
      <c r="J148" s="17"/>
      <c r="K148" s="144"/>
    </row>
    <row r="149" spans="1:17" x14ac:dyDescent="0.15">
      <c r="C149" s="17" t="s">
        <v>47</v>
      </c>
      <c r="D149" s="17" t="s">
        <v>120</v>
      </c>
      <c r="E149" s="17" t="s">
        <v>47</v>
      </c>
      <c r="F149" s="83" t="str">
        <f t="shared" si="7"/>
        <v>BC1B</v>
      </c>
      <c r="G149" s="169" t="str">
        <f t="shared" si="8"/>
        <v>h</v>
      </c>
      <c r="H149" s="169" t="str">
        <f t="shared" si="9"/>
        <v>-</v>
      </c>
      <c r="I149" s="144" t="s">
        <v>528</v>
      </c>
      <c r="J149" s="17"/>
      <c r="K149" s="144"/>
    </row>
    <row r="150" spans="1:17" x14ac:dyDescent="0.15">
      <c r="C150" s="17" t="s">
        <v>46</v>
      </c>
      <c r="D150" s="17" t="s">
        <v>46</v>
      </c>
      <c r="E150" s="17" t="s">
        <v>62</v>
      </c>
      <c r="F150" s="83" t="str">
        <f t="shared" si="7"/>
        <v>F2</v>
      </c>
      <c r="G150" s="169" t="str">
        <f t="shared" si="8"/>
        <v>-</v>
      </c>
      <c r="H150" s="169" t="str">
        <f t="shared" si="9"/>
        <v>a</v>
      </c>
      <c r="I150" s="152"/>
      <c r="J150" s="17"/>
      <c r="K150" s="144"/>
    </row>
    <row r="151" spans="1:17" x14ac:dyDescent="0.15">
      <c r="C151" s="17" t="s">
        <v>47</v>
      </c>
      <c r="D151" s="17" t="s">
        <v>116</v>
      </c>
      <c r="E151" s="17" t="s">
        <v>116</v>
      </c>
      <c r="F151" s="83" t="str">
        <f t="shared" si="7"/>
        <v>BC1B</v>
      </c>
      <c r="G151" s="169" t="str">
        <f t="shared" si="8"/>
        <v>b</v>
      </c>
      <c r="H151" s="169" t="str">
        <f t="shared" si="9"/>
        <v>-</v>
      </c>
      <c r="I151" s="144" t="s">
        <v>526</v>
      </c>
      <c r="J151" s="17"/>
      <c r="K151" s="144"/>
    </row>
    <row r="152" spans="1:17" x14ac:dyDescent="0.15">
      <c r="C152" s="17" t="s">
        <v>46</v>
      </c>
      <c r="D152" s="17" t="s">
        <v>46</v>
      </c>
      <c r="E152" s="17" t="s">
        <v>120</v>
      </c>
      <c r="F152" s="83" t="str">
        <f t="shared" si="7"/>
        <v>F2</v>
      </c>
      <c r="G152" s="169" t="str">
        <f t="shared" si="8"/>
        <v>-</v>
      </c>
      <c r="H152" s="169" t="str">
        <f t="shared" si="9"/>
        <v>b</v>
      </c>
      <c r="I152" s="152"/>
      <c r="J152" s="17"/>
      <c r="K152" s="144"/>
    </row>
    <row r="153" spans="1:17" x14ac:dyDescent="0.15">
      <c r="C153" s="17" t="s">
        <v>121</v>
      </c>
      <c r="D153" s="17" t="s">
        <v>121</v>
      </c>
      <c r="E153" s="17" t="s">
        <v>121</v>
      </c>
      <c r="F153" s="83" t="str">
        <f t="shared" si="7"/>
        <v>-</v>
      </c>
      <c r="G153" s="169" t="str">
        <f t="shared" si="8"/>
        <v>-</v>
      </c>
      <c r="H153" s="169" t="str">
        <f t="shared" si="9"/>
        <v>-</v>
      </c>
      <c r="I153" s="152" t="s">
        <v>527</v>
      </c>
      <c r="J153" s="17"/>
      <c r="K153" s="144"/>
    </row>
    <row r="154" spans="1:17" x14ac:dyDescent="0.15">
      <c r="C154" s="63" t="s">
        <v>46</v>
      </c>
      <c r="D154" s="63" t="s">
        <v>46</v>
      </c>
      <c r="E154" s="63" t="s">
        <v>47</v>
      </c>
      <c r="F154" s="84" t="str">
        <f t="shared" si="7"/>
        <v>F2</v>
      </c>
      <c r="G154" s="173" t="str">
        <f t="shared" si="8"/>
        <v>-</v>
      </c>
      <c r="H154" s="173" t="str">
        <f t="shared" si="9"/>
        <v>h</v>
      </c>
      <c r="I154" s="155"/>
      <c r="J154" s="17"/>
      <c r="K154" s="144"/>
    </row>
    <row r="157" spans="1:17" x14ac:dyDescent="0.15">
      <c r="A157" s="177" t="s">
        <v>1564</v>
      </c>
      <c r="B157" s="177"/>
      <c r="C157" s="177"/>
      <c r="D157" s="177"/>
      <c r="E157" s="177"/>
      <c r="F157" s="68"/>
      <c r="G157" s="177"/>
      <c r="H157" s="177"/>
      <c r="I157" s="68"/>
      <c r="J157" s="177"/>
      <c r="K157" s="68"/>
      <c r="L157" s="177"/>
      <c r="M157" s="68"/>
      <c r="N157" s="177"/>
      <c r="O157" s="177"/>
      <c r="P157" s="177"/>
      <c r="Q157" s="177"/>
    </row>
    <row r="159" spans="1:17" x14ac:dyDescent="0.15">
      <c r="A159" s="16" t="s">
        <v>684</v>
      </c>
      <c r="B159" s="144" t="s">
        <v>686</v>
      </c>
    </row>
    <row r="160" spans="1:17" x14ac:dyDescent="0.15">
      <c r="C160" s="159" t="s">
        <v>400</v>
      </c>
    </row>
    <row r="161" spans="1:11" x14ac:dyDescent="0.15">
      <c r="C161" s="159"/>
    </row>
    <row r="162" spans="1:11" x14ac:dyDescent="0.15">
      <c r="A162" s="16" t="s">
        <v>683</v>
      </c>
      <c r="B162" s="144" t="s">
        <v>685</v>
      </c>
    </row>
    <row r="163" spans="1:11" x14ac:dyDescent="0.15">
      <c r="C163" s="159" t="s">
        <v>401</v>
      </c>
    </row>
    <row r="165" spans="1:11" x14ac:dyDescent="0.15">
      <c r="B165" s="17" t="s">
        <v>4</v>
      </c>
      <c r="C165" s="112" t="s">
        <v>164</v>
      </c>
      <c r="D165" s="112" t="s">
        <v>165</v>
      </c>
      <c r="E165" s="112" t="s">
        <v>118</v>
      </c>
      <c r="F165" s="178" t="s">
        <v>125</v>
      </c>
      <c r="G165" s="175"/>
      <c r="H165" s="175" t="s">
        <v>126</v>
      </c>
      <c r="I165" s="175"/>
      <c r="J165" s="17"/>
      <c r="K165" s="144"/>
    </row>
    <row r="166" spans="1:11" x14ac:dyDescent="0.15">
      <c r="C166" s="17" t="s">
        <v>11</v>
      </c>
      <c r="D166" s="17" t="s">
        <v>11</v>
      </c>
      <c r="E166" s="17" t="s">
        <v>11</v>
      </c>
      <c r="F166" s="179" t="b">
        <f>MWillSegregate(C166,D166)</f>
        <v>0</v>
      </c>
      <c r="H166" s="17" t="str">
        <f>MSegregateType(C166,D166)</f>
        <v>-</v>
      </c>
      <c r="I166" s="144"/>
      <c r="J166" s="17"/>
      <c r="K166" s="144"/>
    </row>
    <row r="167" spans="1:11" x14ac:dyDescent="0.15">
      <c r="C167" s="17" t="s">
        <v>11</v>
      </c>
      <c r="D167" s="17" t="s">
        <v>11</v>
      </c>
      <c r="E167" s="17" t="s">
        <v>12</v>
      </c>
      <c r="F167" s="179" t="b">
        <f t="shared" ref="F167:F181" si="10">MWillSegregate(C167,D167)</f>
        <v>0</v>
      </c>
      <c r="H167" s="17" t="str">
        <f t="shared" ref="H167:H181" si="11">MSegregateType(C167,D167)</f>
        <v>-</v>
      </c>
      <c r="I167" s="144"/>
      <c r="J167" s="17"/>
      <c r="K167" s="144"/>
    </row>
    <row r="168" spans="1:11" x14ac:dyDescent="0.15">
      <c r="C168" s="17" t="s">
        <v>11</v>
      </c>
      <c r="D168" s="17" t="s">
        <v>11</v>
      </c>
      <c r="E168" s="17" t="s">
        <v>13</v>
      </c>
      <c r="F168" s="179" t="b">
        <f t="shared" si="10"/>
        <v>0</v>
      </c>
      <c r="H168" s="17" t="str">
        <f t="shared" si="11"/>
        <v>-</v>
      </c>
      <c r="I168" s="144"/>
      <c r="J168" s="17"/>
      <c r="K168" s="144"/>
    </row>
    <row r="169" spans="1:11" x14ac:dyDescent="0.15">
      <c r="C169" s="17" t="s">
        <v>12</v>
      </c>
      <c r="D169" s="17" t="s">
        <v>12</v>
      </c>
      <c r="E169" s="17" t="s">
        <v>12</v>
      </c>
      <c r="F169" s="179" t="b">
        <f t="shared" si="10"/>
        <v>0</v>
      </c>
      <c r="H169" s="17" t="str">
        <f t="shared" si="11"/>
        <v>-</v>
      </c>
      <c r="I169" s="144"/>
      <c r="J169" s="17"/>
      <c r="K169" s="144"/>
    </row>
    <row r="170" spans="1:11" x14ac:dyDescent="0.15">
      <c r="C170" s="17" t="s">
        <v>12</v>
      </c>
      <c r="D170" s="17" t="s">
        <v>11</v>
      </c>
      <c r="E170" s="17" t="s">
        <v>13</v>
      </c>
      <c r="F170" s="179" t="b">
        <f t="shared" si="10"/>
        <v>0</v>
      </c>
      <c r="H170" s="17" t="str">
        <f t="shared" si="11"/>
        <v>F1</v>
      </c>
      <c r="I170" s="144" t="s">
        <v>531</v>
      </c>
      <c r="J170" s="17"/>
      <c r="K170" s="144"/>
    </row>
    <row r="171" spans="1:11" x14ac:dyDescent="0.15">
      <c r="C171" s="17" t="s">
        <v>11</v>
      </c>
      <c r="D171" s="17" t="s">
        <v>12</v>
      </c>
      <c r="E171" s="17" t="s">
        <v>13</v>
      </c>
      <c r="F171" s="179" t="b">
        <f t="shared" si="10"/>
        <v>0</v>
      </c>
      <c r="H171" s="17" t="str">
        <f>MSegregateType(C171,D171)</f>
        <v>F1</v>
      </c>
      <c r="I171" s="144" t="s">
        <v>532</v>
      </c>
      <c r="J171" s="17"/>
      <c r="K171" s="144"/>
    </row>
    <row r="172" spans="1:11" x14ac:dyDescent="0.15">
      <c r="C172" s="17" t="s">
        <v>11</v>
      </c>
      <c r="D172" s="17" t="s">
        <v>12</v>
      </c>
      <c r="E172" s="17" t="s">
        <v>11</v>
      </c>
      <c r="F172" s="179" t="b">
        <f t="shared" si="10"/>
        <v>0</v>
      </c>
      <c r="H172" s="17" t="str">
        <f>MSegregateType(C172,D172)</f>
        <v>F1</v>
      </c>
      <c r="I172" s="144" t="s">
        <v>533</v>
      </c>
      <c r="J172" s="17"/>
      <c r="K172" s="144"/>
    </row>
    <row r="173" spans="1:11" x14ac:dyDescent="0.15">
      <c r="C173" s="17" t="s">
        <v>11</v>
      </c>
      <c r="D173" s="17" t="s">
        <v>13</v>
      </c>
      <c r="E173" s="17" t="s">
        <v>11</v>
      </c>
      <c r="F173" s="179" t="b">
        <f t="shared" si="10"/>
        <v>1</v>
      </c>
      <c r="H173" s="17" t="str">
        <f t="shared" si="11"/>
        <v>BC1B</v>
      </c>
      <c r="I173" s="144" t="s">
        <v>528</v>
      </c>
      <c r="J173" s="17"/>
      <c r="K173" s="144"/>
    </row>
    <row r="174" spans="1:11" x14ac:dyDescent="0.15">
      <c r="C174" s="17" t="s">
        <v>11</v>
      </c>
      <c r="D174" s="17" t="s">
        <v>13</v>
      </c>
      <c r="E174" s="17" t="s">
        <v>12</v>
      </c>
      <c r="F174" s="179" t="b">
        <f t="shared" si="10"/>
        <v>1</v>
      </c>
      <c r="H174" s="17" t="str">
        <f t="shared" si="11"/>
        <v>BC1B</v>
      </c>
      <c r="I174" s="144" t="s">
        <v>528</v>
      </c>
      <c r="J174" s="17"/>
      <c r="K174" s="144"/>
    </row>
    <row r="175" spans="1:11" x14ac:dyDescent="0.15">
      <c r="C175" s="17" t="s">
        <v>12</v>
      </c>
      <c r="D175" s="17" t="s">
        <v>13</v>
      </c>
      <c r="E175" s="17" t="s">
        <v>13</v>
      </c>
      <c r="F175" s="179" t="b">
        <f t="shared" si="10"/>
        <v>1</v>
      </c>
      <c r="H175" s="17" t="str">
        <f t="shared" si="11"/>
        <v>BC1A</v>
      </c>
      <c r="I175" s="144" t="s">
        <v>526</v>
      </c>
      <c r="J175" s="17"/>
      <c r="K175" s="144"/>
    </row>
    <row r="176" spans="1:11" x14ac:dyDescent="0.15">
      <c r="C176" s="17" t="s">
        <v>13</v>
      </c>
      <c r="D176" s="17" t="s">
        <v>12</v>
      </c>
      <c r="E176" s="17" t="s">
        <v>11</v>
      </c>
      <c r="F176" s="179" t="b">
        <f t="shared" si="10"/>
        <v>1</v>
      </c>
      <c r="H176" s="17" t="str">
        <f t="shared" si="11"/>
        <v>BC1A</v>
      </c>
      <c r="I176" s="144" t="s">
        <v>526</v>
      </c>
      <c r="J176" s="17"/>
      <c r="K176" s="144"/>
    </row>
    <row r="177" spans="3:11" x14ac:dyDescent="0.15">
      <c r="C177" s="17" t="s">
        <v>13</v>
      </c>
      <c r="D177" s="17" t="s">
        <v>11</v>
      </c>
      <c r="E177" s="17" t="s">
        <v>13</v>
      </c>
      <c r="F177" s="179" t="b">
        <f t="shared" si="10"/>
        <v>1</v>
      </c>
      <c r="H177" s="17" t="str">
        <f t="shared" si="11"/>
        <v>BC1B</v>
      </c>
      <c r="I177" s="144" t="s">
        <v>528</v>
      </c>
      <c r="J177" s="17"/>
      <c r="K177" s="144"/>
    </row>
    <row r="178" spans="3:11" x14ac:dyDescent="0.15">
      <c r="C178" s="17" t="s">
        <v>13</v>
      </c>
      <c r="D178" s="17" t="s">
        <v>13</v>
      </c>
      <c r="E178" s="17" t="s">
        <v>11</v>
      </c>
      <c r="F178" s="179" t="b">
        <f t="shared" si="10"/>
        <v>1</v>
      </c>
      <c r="H178" s="17" t="str">
        <f t="shared" si="11"/>
        <v>F2</v>
      </c>
      <c r="I178" s="144"/>
      <c r="J178" s="17"/>
      <c r="K178" s="144"/>
    </row>
    <row r="179" spans="3:11" x14ac:dyDescent="0.15">
      <c r="C179" s="17" t="s">
        <v>13</v>
      </c>
      <c r="D179" s="17" t="s">
        <v>13</v>
      </c>
      <c r="E179" s="17" t="s">
        <v>12</v>
      </c>
      <c r="F179" s="179" t="b">
        <f t="shared" si="10"/>
        <v>1</v>
      </c>
      <c r="H179" s="17" t="str">
        <f t="shared" si="11"/>
        <v>F2</v>
      </c>
      <c r="I179" s="144"/>
      <c r="J179" s="17"/>
      <c r="K179" s="144"/>
    </row>
    <row r="180" spans="3:11" x14ac:dyDescent="0.15">
      <c r="C180" s="61" t="s">
        <v>13</v>
      </c>
      <c r="D180" s="61" t="s">
        <v>13</v>
      </c>
      <c r="E180" s="61" t="s">
        <v>13</v>
      </c>
      <c r="F180" s="180" t="b">
        <f t="shared" si="10"/>
        <v>1</v>
      </c>
      <c r="G180" s="152"/>
      <c r="H180" s="61" t="str">
        <f t="shared" si="11"/>
        <v>F2</v>
      </c>
      <c r="I180" s="144"/>
      <c r="J180" s="17"/>
      <c r="K180" s="144"/>
    </row>
    <row r="181" spans="3:11" x14ac:dyDescent="0.15">
      <c r="C181" s="63" t="s">
        <v>13</v>
      </c>
      <c r="D181" s="63" t="s">
        <v>117</v>
      </c>
      <c r="E181" s="63" t="s">
        <v>11</v>
      </c>
      <c r="F181" s="181" t="b">
        <f t="shared" si="10"/>
        <v>1</v>
      </c>
      <c r="G181" s="155"/>
      <c r="H181" s="63" t="str">
        <f t="shared" si="11"/>
        <v>-</v>
      </c>
      <c r="I181" s="155"/>
      <c r="J181" s="17"/>
      <c r="K181" s="144"/>
    </row>
    <row r="182" spans="3:11" x14ac:dyDescent="0.15">
      <c r="E182" s="17"/>
      <c r="F182" s="144"/>
      <c r="H182" s="17"/>
      <c r="I182" s="144"/>
      <c r="J182" s="17"/>
      <c r="K182" s="144"/>
    </row>
  </sheetData>
  <mergeCells count="1">
    <mergeCell ref="B5:J5"/>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45"/>
  <sheetViews>
    <sheetView topLeftCell="A181" workbookViewId="0">
      <selection activeCell="N97" sqref="N97"/>
    </sheetView>
  </sheetViews>
  <sheetFormatPr defaultColWidth="9" defaultRowHeight="15.75" x14ac:dyDescent="0.15"/>
  <cols>
    <col min="1" max="1" width="9" style="14" customWidth="1"/>
    <col min="2" max="2" width="15.75" style="14" customWidth="1"/>
    <col min="3" max="3" width="9.5" style="14" bestFit="1" customWidth="1"/>
    <col min="4" max="10" width="9" style="14"/>
    <col min="11" max="11" width="16.125" style="14" customWidth="1"/>
    <col min="12" max="16384" width="9" style="14"/>
  </cols>
  <sheetData>
    <row r="1" spans="1:17" ht="21" x14ac:dyDescent="0.15">
      <c r="A1" s="254" t="s">
        <v>129</v>
      </c>
      <c r="F1" s="17"/>
      <c r="I1" s="17" t="s">
        <v>130</v>
      </c>
      <c r="J1" s="14" t="str">
        <f>GUGS()</f>
        <v>GUGS: ver. 1.01</v>
      </c>
      <c r="M1" s="17"/>
    </row>
    <row r="3" spans="1:17" x14ac:dyDescent="0.15">
      <c r="A3" s="47" t="s">
        <v>1255</v>
      </c>
      <c r="B3" s="48"/>
      <c r="C3" s="48"/>
      <c r="D3" s="48"/>
      <c r="E3" s="48"/>
      <c r="F3" s="49"/>
      <c r="G3" s="48"/>
      <c r="H3" s="48"/>
      <c r="I3" s="49"/>
      <c r="J3" s="48"/>
      <c r="K3" s="49"/>
      <c r="L3" s="48"/>
      <c r="M3" s="49"/>
      <c r="N3" s="48"/>
      <c r="O3" s="48"/>
      <c r="P3" s="48"/>
      <c r="Q3" s="48"/>
    </row>
    <row r="4" spans="1:17" s="53" customFormat="1" x14ac:dyDescent="0.15">
      <c r="A4" s="50"/>
      <c r="B4" s="51"/>
      <c r="C4" s="51"/>
      <c r="D4" s="51"/>
      <c r="E4" s="51"/>
      <c r="F4" s="52"/>
      <c r="G4" s="51"/>
      <c r="H4" s="51"/>
      <c r="I4" s="52"/>
      <c r="J4" s="51"/>
      <c r="K4" s="52"/>
      <c r="L4" s="51"/>
      <c r="M4" s="52"/>
      <c r="N4" s="51"/>
      <c r="O4" s="51"/>
      <c r="P4" s="51"/>
      <c r="Q4" s="51"/>
    </row>
    <row r="5" spans="1:17" s="53" customFormat="1" ht="59.25" customHeight="1" x14ac:dyDescent="0.15">
      <c r="A5" s="50"/>
      <c r="B5" s="298" t="s">
        <v>1568</v>
      </c>
      <c r="C5" s="298"/>
      <c r="D5" s="298"/>
      <c r="E5" s="298"/>
      <c r="F5" s="298"/>
      <c r="G5" s="298"/>
      <c r="H5" s="298"/>
      <c r="I5" s="298"/>
      <c r="J5" s="298"/>
      <c r="K5" s="54"/>
      <c r="L5" s="54"/>
      <c r="M5" s="52"/>
      <c r="N5" s="51"/>
      <c r="O5" s="51"/>
      <c r="P5" s="51"/>
      <c r="Q5" s="51"/>
    </row>
    <row r="6" spans="1:17" s="53" customFormat="1" x14ac:dyDescent="0.15">
      <c r="A6" s="50"/>
      <c r="B6" s="51"/>
      <c r="C6" s="51"/>
      <c r="D6" s="51"/>
      <c r="E6" s="51"/>
      <c r="F6" s="52"/>
      <c r="G6" s="51"/>
      <c r="H6" s="51"/>
      <c r="I6" s="52"/>
      <c r="J6" s="51"/>
      <c r="K6" s="52"/>
      <c r="L6" s="51"/>
      <c r="M6" s="52"/>
      <c r="N6" s="51"/>
      <c r="O6" s="51"/>
      <c r="P6" s="51"/>
      <c r="Q6" s="51"/>
    </row>
    <row r="7" spans="1:17" x14ac:dyDescent="0.15">
      <c r="B7" s="55" t="s">
        <v>1286</v>
      </c>
      <c r="C7" s="56"/>
      <c r="D7" s="56"/>
      <c r="E7" s="56"/>
      <c r="K7" s="55" t="s">
        <v>1287</v>
      </c>
      <c r="L7" s="56"/>
      <c r="M7" s="56"/>
      <c r="N7" s="56"/>
      <c r="O7" s="56"/>
      <c r="P7" s="56"/>
    </row>
    <row r="9" spans="1:17" x14ac:dyDescent="0.15">
      <c r="B9" s="13" t="s">
        <v>687</v>
      </c>
      <c r="C9" s="57" t="s">
        <v>188</v>
      </c>
      <c r="D9" s="57" t="s">
        <v>189</v>
      </c>
      <c r="E9" s="57" t="s">
        <v>190</v>
      </c>
      <c r="K9" s="13" t="s">
        <v>687</v>
      </c>
      <c r="L9" s="57" t="s">
        <v>188</v>
      </c>
      <c r="M9" s="57" t="s">
        <v>189</v>
      </c>
      <c r="N9" s="57" t="s">
        <v>190</v>
      </c>
      <c r="O9" s="57" t="s">
        <v>210</v>
      </c>
      <c r="P9" s="57" t="s">
        <v>211</v>
      </c>
    </row>
    <row r="10" spans="1:17" x14ac:dyDescent="0.25">
      <c r="B10" s="58" t="s">
        <v>191</v>
      </c>
      <c r="C10" s="59" t="s">
        <v>543</v>
      </c>
      <c r="D10" s="59" t="s">
        <v>174</v>
      </c>
      <c r="E10" s="59" t="s">
        <v>6</v>
      </c>
      <c r="K10" s="58" t="s">
        <v>191</v>
      </c>
      <c r="L10" s="60" t="s">
        <v>116</v>
      </c>
      <c r="M10" s="60" t="s">
        <v>204</v>
      </c>
      <c r="N10" s="60" t="s">
        <v>121</v>
      </c>
      <c r="O10" s="60" t="s">
        <v>62</v>
      </c>
      <c r="P10" s="60" t="s">
        <v>206</v>
      </c>
    </row>
    <row r="11" spans="1:17" x14ac:dyDescent="0.25">
      <c r="B11" s="32" t="s">
        <v>192</v>
      </c>
      <c r="C11" s="61" t="s">
        <v>175</v>
      </c>
      <c r="D11" s="61" t="s">
        <v>176</v>
      </c>
      <c r="E11" s="61" t="s">
        <v>7</v>
      </c>
      <c r="K11" s="32" t="s">
        <v>192</v>
      </c>
      <c r="L11" s="60" t="s">
        <v>46</v>
      </c>
      <c r="M11" s="60" t="s">
        <v>207</v>
      </c>
      <c r="N11" s="60" t="s">
        <v>116</v>
      </c>
      <c r="O11" s="60" t="s">
        <v>62</v>
      </c>
      <c r="P11" s="60" t="s">
        <v>116</v>
      </c>
    </row>
    <row r="12" spans="1:17" x14ac:dyDescent="0.25">
      <c r="B12" s="32" t="s">
        <v>193</v>
      </c>
      <c r="C12" s="61" t="s">
        <v>177</v>
      </c>
      <c r="D12" s="61" t="s">
        <v>178</v>
      </c>
      <c r="E12" s="61" t="s">
        <v>7</v>
      </c>
      <c r="K12" s="32" t="s">
        <v>193</v>
      </c>
      <c r="L12" s="60" t="s">
        <v>46</v>
      </c>
      <c r="M12" s="60" t="s">
        <v>207</v>
      </c>
      <c r="N12" s="60" t="s">
        <v>46</v>
      </c>
      <c r="O12" s="60" t="s">
        <v>62</v>
      </c>
      <c r="P12" s="60" t="s">
        <v>116</v>
      </c>
    </row>
    <row r="13" spans="1:17" x14ac:dyDescent="0.25">
      <c r="B13" s="32" t="s">
        <v>194</v>
      </c>
      <c r="C13" s="61" t="s">
        <v>179</v>
      </c>
      <c r="D13" s="61" t="s">
        <v>180</v>
      </c>
      <c r="E13" s="61" t="s">
        <v>7</v>
      </c>
      <c r="K13" s="32" t="s">
        <v>194</v>
      </c>
      <c r="L13" s="60" t="s">
        <v>46</v>
      </c>
      <c r="M13" s="60" t="s">
        <v>204</v>
      </c>
      <c r="N13" s="60" t="s">
        <v>46</v>
      </c>
      <c r="O13" s="60" t="s">
        <v>62</v>
      </c>
      <c r="P13" s="60" t="s">
        <v>206</v>
      </c>
    </row>
    <row r="14" spans="1:17" x14ac:dyDescent="0.25">
      <c r="B14" s="32" t="s">
        <v>195</v>
      </c>
      <c r="C14" s="61" t="s">
        <v>174</v>
      </c>
      <c r="D14" s="61" t="s">
        <v>181</v>
      </c>
      <c r="E14" s="61" t="s">
        <v>7</v>
      </c>
      <c r="K14" s="32" t="s">
        <v>195</v>
      </c>
      <c r="L14" s="60" t="s">
        <v>120</v>
      </c>
      <c r="M14" s="60" t="s">
        <v>208</v>
      </c>
      <c r="N14" s="60" t="s">
        <v>116</v>
      </c>
      <c r="O14" s="60" t="s">
        <v>62</v>
      </c>
      <c r="P14" s="60" t="s">
        <v>10</v>
      </c>
    </row>
    <row r="15" spans="1:17" x14ac:dyDescent="0.25">
      <c r="B15" s="32" t="s">
        <v>196</v>
      </c>
      <c r="C15" s="61" t="s">
        <v>176</v>
      </c>
      <c r="D15" s="61" t="s">
        <v>182</v>
      </c>
      <c r="E15" s="61" t="s">
        <v>418</v>
      </c>
      <c r="K15" s="32" t="s">
        <v>196</v>
      </c>
      <c r="L15" s="60" t="s">
        <v>46</v>
      </c>
      <c r="M15" s="60" t="s">
        <v>204</v>
      </c>
      <c r="N15" s="60" t="s">
        <v>209</v>
      </c>
      <c r="O15" s="60" t="s">
        <v>62</v>
      </c>
      <c r="P15" s="60" t="s">
        <v>116</v>
      </c>
    </row>
    <row r="16" spans="1:17" x14ac:dyDescent="0.25">
      <c r="B16" s="32" t="s">
        <v>197</v>
      </c>
      <c r="C16" s="61" t="s">
        <v>544</v>
      </c>
      <c r="D16" s="61" t="s">
        <v>183</v>
      </c>
      <c r="E16" s="61" t="s">
        <v>6</v>
      </c>
      <c r="K16" s="32" t="s">
        <v>197</v>
      </c>
      <c r="L16" s="60" t="s">
        <v>46</v>
      </c>
      <c r="M16" s="60" t="s">
        <v>204</v>
      </c>
      <c r="N16" s="60" t="s">
        <v>116</v>
      </c>
      <c r="O16" s="60" t="s">
        <v>62</v>
      </c>
      <c r="P16" s="60" t="s">
        <v>116</v>
      </c>
    </row>
    <row r="17" spans="2:16" x14ac:dyDescent="0.25">
      <c r="B17" s="32" t="s">
        <v>198</v>
      </c>
      <c r="C17" s="61" t="s">
        <v>184</v>
      </c>
      <c r="D17" s="61" t="s">
        <v>185</v>
      </c>
      <c r="E17" s="61" t="s">
        <v>50</v>
      </c>
      <c r="K17" s="32" t="s">
        <v>198</v>
      </c>
      <c r="L17" s="60" t="s">
        <v>46</v>
      </c>
      <c r="M17" s="60" t="s">
        <v>207</v>
      </c>
      <c r="N17" s="60" t="s">
        <v>46</v>
      </c>
      <c r="O17" s="60" t="s">
        <v>453</v>
      </c>
      <c r="P17" s="60" t="s">
        <v>116</v>
      </c>
    </row>
    <row r="18" spans="2:16" x14ac:dyDescent="0.25">
      <c r="B18" s="32" t="s">
        <v>199</v>
      </c>
      <c r="C18" s="61" t="s">
        <v>542</v>
      </c>
      <c r="D18" s="61" t="s">
        <v>178</v>
      </c>
      <c r="E18" s="61" t="s">
        <v>7</v>
      </c>
      <c r="K18" s="32" t="s">
        <v>199</v>
      </c>
      <c r="L18" s="60" t="s">
        <v>46</v>
      </c>
      <c r="M18" s="60" t="s">
        <v>204</v>
      </c>
      <c r="N18" s="60" t="s">
        <v>116</v>
      </c>
      <c r="O18" s="60" t="s">
        <v>62</v>
      </c>
      <c r="P18" s="60" t="s">
        <v>206</v>
      </c>
    </row>
    <row r="19" spans="2:16" x14ac:dyDescent="0.25">
      <c r="B19" s="32" t="s">
        <v>200</v>
      </c>
      <c r="C19" s="61" t="s">
        <v>182</v>
      </c>
      <c r="D19" s="61" t="s">
        <v>180</v>
      </c>
      <c r="E19" s="61" t="s">
        <v>7</v>
      </c>
      <c r="K19" s="32" t="s">
        <v>200</v>
      </c>
      <c r="L19" s="60" t="s">
        <v>46</v>
      </c>
      <c r="M19" s="60" t="s">
        <v>207</v>
      </c>
      <c r="N19" s="60" t="s">
        <v>116</v>
      </c>
      <c r="O19" s="60" t="s">
        <v>453</v>
      </c>
      <c r="P19" s="60" t="s">
        <v>206</v>
      </c>
    </row>
    <row r="20" spans="2:16" x14ac:dyDescent="0.25">
      <c r="B20" s="32" t="s">
        <v>201</v>
      </c>
      <c r="C20" s="61" t="s">
        <v>183</v>
      </c>
      <c r="D20" s="61" t="s">
        <v>186</v>
      </c>
      <c r="E20" s="61" t="s">
        <v>7</v>
      </c>
      <c r="K20" s="32" t="s">
        <v>201</v>
      </c>
      <c r="L20" s="60" t="s">
        <v>46</v>
      </c>
      <c r="M20" s="60" t="s">
        <v>208</v>
      </c>
      <c r="N20" s="60" t="s">
        <v>46</v>
      </c>
      <c r="O20" s="60" t="s">
        <v>454</v>
      </c>
      <c r="P20" s="60" t="s">
        <v>116</v>
      </c>
    </row>
    <row r="21" spans="2:16" x14ac:dyDescent="0.25">
      <c r="B21" s="62" t="s">
        <v>202</v>
      </c>
      <c r="C21" s="63" t="s">
        <v>185</v>
      </c>
      <c r="D21" s="63" t="s">
        <v>179</v>
      </c>
      <c r="E21" s="63" t="s">
        <v>187</v>
      </c>
      <c r="K21" s="62" t="s">
        <v>202</v>
      </c>
      <c r="L21" s="64" t="s">
        <v>121</v>
      </c>
      <c r="M21" s="64" t="s">
        <v>207</v>
      </c>
      <c r="N21" s="64" t="s">
        <v>116</v>
      </c>
      <c r="O21" s="64" t="s">
        <v>62</v>
      </c>
      <c r="P21" s="64" t="s">
        <v>116</v>
      </c>
    </row>
    <row r="22" spans="2:16" x14ac:dyDescent="0.25">
      <c r="B22" s="32"/>
      <c r="C22" s="61"/>
      <c r="D22" s="61"/>
      <c r="E22" s="61"/>
      <c r="K22" s="32"/>
      <c r="L22" s="65"/>
      <c r="M22" s="65"/>
      <c r="N22" s="65"/>
      <c r="O22" s="65"/>
      <c r="P22" s="65"/>
    </row>
    <row r="23" spans="2:16" x14ac:dyDescent="0.25">
      <c r="B23" s="55" t="s">
        <v>1288</v>
      </c>
      <c r="C23" s="56"/>
      <c r="D23" s="56"/>
      <c r="E23" s="56"/>
      <c r="K23" s="55" t="s">
        <v>1289</v>
      </c>
      <c r="L23" s="56"/>
      <c r="M23" s="56"/>
      <c r="N23" s="56"/>
      <c r="O23" s="65"/>
      <c r="P23" s="65"/>
    </row>
    <row r="24" spans="2:16" x14ac:dyDescent="0.25">
      <c r="O24" s="65"/>
      <c r="P24" s="65"/>
    </row>
    <row r="25" spans="2:16" x14ac:dyDescent="0.15">
      <c r="B25" s="13" t="s">
        <v>687</v>
      </c>
      <c r="C25" s="57" t="s">
        <v>188</v>
      </c>
      <c r="D25" s="57" t="s">
        <v>189</v>
      </c>
      <c r="E25" s="57" t="s">
        <v>190</v>
      </c>
      <c r="K25" s="13" t="s">
        <v>687</v>
      </c>
      <c r="L25" s="57" t="s">
        <v>188</v>
      </c>
      <c r="M25" s="57" t="s">
        <v>189</v>
      </c>
      <c r="N25" s="57" t="s">
        <v>190</v>
      </c>
      <c r="O25" s="57" t="s">
        <v>210</v>
      </c>
      <c r="P25" s="57" t="s">
        <v>211</v>
      </c>
    </row>
    <row r="26" spans="2:16" x14ac:dyDescent="0.25">
      <c r="B26" s="58" t="s">
        <v>191</v>
      </c>
      <c r="C26" s="17" t="s">
        <v>11</v>
      </c>
      <c r="D26" s="17" t="s">
        <v>11</v>
      </c>
      <c r="E26" s="61" t="s">
        <v>12</v>
      </c>
      <c r="K26" s="58" t="s">
        <v>191</v>
      </c>
      <c r="L26" s="59">
        <v>110</v>
      </c>
      <c r="M26" s="59">
        <v>151</v>
      </c>
      <c r="N26" s="59">
        <v>250</v>
      </c>
      <c r="O26" s="65">
        <v>327</v>
      </c>
      <c r="P26" s="65">
        <v>129</v>
      </c>
    </row>
    <row r="27" spans="2:16" x14ac:dyDescent="0.25">
      <c r="B27" s="32" t="s">
        <v>192</v>
      </c>
      <c r="C27" s="17" t="s">
        <v>11</v>
      </c>
      <c r="D27" s="17" t="s">
        <v>11</v>
      </c>
      <c r="E27" s="61" t="s">
        <v>12</v>
      </c>
      <c r="K27" s="32" t="s">
        <v>192</v>
      </c>
      <c r="L27" s="61">
        <v>98</v>
      </c>
      <c r="M27" s="61">
        <v>104</v>
      </c>
      <c r="N27" s="61">
        <v>239</v>
      </c>
      <c r="O27" s="65">
        <v>298</v>
      </c>
      <c r="P27" s="65">
        <v>127</v>
      </c>
    </row>
    <row r="28" spans="2:16" x14ac:dyDescent="0.25">
      <c r="B28" s="32" t="s">
        <v>193</v>
      </c>
      <c r="C28" s="17" t="s">
        <v>11</v>
      </c>
      <c r="D28" s="17" t="s">
        <v>11</v>
      </c>
      <c r="E28" s="61" t="s">
        <v>12</v>
      </c>
      <c r="K28" s="32" t="s">
        <v>193</v>
      </c>
      <c r="L28" s="61">
        <v>98</v>
      </c>
      <c r="M28" s="61">
        <v>134</v>
      </c>
      <c r="N28" s="61">
        <v>223</v>
      </c>
      <c r="O28" s="65">
        <v>260</v>
      </c>
      <c r="P28" s="65">
        <v>125</v>
      </c>
    </row>
    <row r="29" spans="2:16" x14ac:dyDescent="0.25">
      <c r="B29" s="32" t="s">
        <v>194</v>
      </c>
      <c r="C29" s="17" t="s">
        <v>12</v>
      </c>
      <c r="D29" s="17" t="s">
        <v>13</v>
      </c>
      <c r="E29" s="61" t="s">
        <v>12</v>
      </c>
      <c r="K29" s="32" t="s">
        <v>194</v>
      </c>
      <c r="L29" s="61">
        <v>116</v>
      </c>
      <c r="M29" s="61">
        <v>114</v>
      </c>
      <c r="N29" s="61">
        <v>239</v>
      </c>
      <c r="O29" s="65">
        <v>315</v>
      </c>
      <c r="P29" s="65">
        <v>122</v>
      </c>
    </row>
    <row r="30" spans="2:16" x14ac:dyDescent="0.25">
      <c r="B30" s="32" t="s">
        <v>195</v>
      </c>
      <c r="C30" s="17" t="s">
        <v>12</v>
      </c>
      <c r="D30" s="17" t="s">
        <v>11</v>
      </c>
      <c r="E30" s="61" t="s">
        <v>12</v>
      </c>
      <c r="K30" s="32" t="s">
        <v>195</v>
      </c>
      <c r="L30" s="61">
        <v>117</v>
      </c>
      <c r="M30" s="61">
        <v>114</v>
      </c>
      <c r="N30" s="61">
        <v>198</v>
      </c>
      <c r="O30" s="65">
        <v>340</v>
      </c>
      <c r="P30" s="65">
        <v>120</v>
      </c>
    </row>
    <row r="31" spans="2:16" x14ac:dyDescent="0.25">
      <c r="B31" s="32" t="s">
        <v>196</v>
      </c>
      <c r="C31" s="17" t="s">
        <v>11</v>
      </c>
      <c r="D31" s="17" t="s">
        <v>11</v>
      </c>
      <c r="E31" s="61" t="s">
        <v>12</v>
      </c>
      <c r="K31" s="32" t="s">
        <v>196</v>
      </c>
      <c r="L31" s="61">
        <v>117</v>
      </c>
      <c r="M31" s="61">
        <v>123</v>
      </c>
      <c r="N31" s="61">
        <v>251</v>
      </c>
      <c r="O31" s="65">
        <v>348</v>
      </c>
      <c r="P31" s="65">
        <v>128</v>
      </c>
    </row>
    <row r="32" spans="2:16" x14ac:dyDescent="0.25">
      <c r="B32" s="32" t="s">
        <v>197</v>
      </c>
      <c r="C32" s="17" t="s">
        <v>11</v>
      </c>
      <c r="D32" s="17" t="s">
        <v>1178</v>
      </c>
      <c r="E32" s="61" t="s">
        <v>12</v>
      </c>
      <c r="K32" s="32" t="s">
        <v>197</v>
      </c>
      <c r="L32" s="61">
        <v>113</v>
      </c>
      <c r="M32" s="61">
        <v>101</v>
      </c>
      <c r="N32" s="61">
        <v>239</v>
      </c>
      <c r="O32" s="65">
        <v>246</v>
      </c>
      <c r="P32" s="65">
        <v>126</v>
      </c>
    </row>
    <row r="33" spans="1:18" x14ac:dyDescent="0.25">
      <c r="B33" s="32" t="s">
        <v>198</v>
      </c>
      <c r="C33" s="17" t="s">
        <v>11</v>
      </c>
      <c r="D33" s="17" t="s">
        <v>13</v>
      </c>
      <c r="E33" s="61" t="s">
        <v>12</v>
      </c>
      <c r="K33" s="32" t="s">
        <v>198</v>
      </c>
      <c r="L33" s="61">
        <v>95</v>
      </c>
      <c r="M33" s="61">
        <v>124</v>
      </c>
      <c r="N33" s="61">
        <v>258</v>
      </c>
      <c r="O33" s="65">
        <v>293</v>
      </c>
      <c r="P33" s="65">
        <v>124</v>
      </c>
    </row>
    <row r="34" spans="1:18" x14ac:dyDescent="0.25">
      <c r="B34" s="32" t="s">
        <v>199</v>
      </c>
      <c r="C34" s="17" t="s">
        <v>11</v>
      </c>
      <c r="D34" s="17" t="s">
        <v>13</v>
      </c>
      <c r="E34" s="61" t="s">
        <v>12</v>
      </c>
      <c r="K34" s="32" t="s">
        <v>199</v>
      </c>
      <c r="L34" s="61">
        <v>106</v>
      </c>
      <c r="M34" s="61">
        <v>104</v>
      </c>
      <c r="N34" s="61">
        <v>250</v>
      </c>
      <c r="O34" s="65">
        <v>346</v>
      </c>
      <c r="P34" s="65">
        <v>122</v>
      </c>
    </row>
    <row r="35" spans="1:18" x14ac:dyDescent="0.25">
      <c r="B35" s="32" t="s">
        <v>200</v>
      </c>
      <c r="C35" s="17" t="s">
        <v>12</v>
      </c>
      <c r="D35" s="17" t="s">
        <v>13</v>
      </c>
      <c r="E35" s="61" t="s">
        <v>12</v>
      </c>
      <c r="K35" s="32" t="s">
        <v>200</v>
      </c>
      <c r="L35" s="61">
        <v>119</v>
      </c>
      <c r="M35" s="61">
        <v>125</v>
      </c>
      <c r="N35" s="61">
        <v>192</v>
      </c>
      <c r="O35" s="65">
        <v>260</v>
      </c>
      <c r="P35" s="65">
        <v>129</v>
      </c>
    </row>
    <row r="36" spans="1:18" x14ac:dyDescent="0.25">
      <c r="B36" s="32" t="s">
        <v>201</v>
      </c>
      <c r="C36" s="17" t="s">
        <v>13</v>
      </c>
      <c r="D36" s="17" t="s">
        <v>11</v>
      </c>
      <c r="E36" s="61" t="s">
        <v>12</v>
      </c>
      <c r="K36" s="32" t="s">
        <v>201</v>
      </c>
      <c r="L36" s="61">
        <v>96</v>
      </c>
      <c r="M36" s="61">
        <v>112</v>
      </c>
      <c r="N36" s="61">
        <v>211</v>
      </c>
      <c r="O36" s="65">
        <v>307</v>
      </c>
      <c r="P36" s="65">
        <v>125</v>
      </c>
    </row>
    <row r="37" spans="1:18" x14ac:dyDescent="0.25">
      <c r="B37" s="62" t="s">
        <v>202</v>
      </c>
      <c r="C37" s="63" t="s">
        <v>13</v>
      </c>
      <c r="D37" s="63" t="s">
        <v>11</v>
      </c>
      <c r="E37" s="63" t="s">
        <v>12</v>
      </c>
      <c r="K37" s="62" t="s">
        <v>202</v>
      </c>
      <c r="L37" s="63">
        <v>95</v>
      </c>
      <c r="M37" s="63">
        <v>146</v>
      </c>
      <c r="N37" s="63">
        <v>211</v>
      </c>
      <c r="O37" s="64">
        <v>260</v>
      </c>
      <c r="P37" s="64">
        <v>122</v>
      </c>
    </row>
    <row r="38" spans="1:18" x14ac:dyDescent="0.25">
      <c r="B38" s="32"/>
      <c r="C38" s="61"/>
      <c r="D38" s="61"/>
      <c r="E38" s="61"/>
      <c r="K38" s="32"/>
      <c r="L38" s="65"/>
      <c r="M38" s="65"/>
      <c r="N38" s="65"/>
      <c r="O38" s="65"/>
      <c r="P38" s="65"/>
    </row>
    <row r="39" spans="1:18" x14ac:dyDescent="0.25">
      <c r="B39" s="32"/>
      <c r="C39" s="61"/>
      <c r="D39" s="61"/>
      <c r="E39" s="61"/>
      <c r="K39" s="32"/>
      <c r="L39" s="65"/>
      <c r="M39" s="65"/>
      <c r="N39" s="65"/>
      <c r="O39" s="65"/>
      <c r="P39" s="65"/>
    </row>
    <row r="40" spans="1:18" x14ac:dyDescent="0.15">
      <c r="A40" s="66" t="s">
        <v>395</v>
      </c>
      <c r="B40" s="67" t="s">
        <v>1290</v>
      </c>
      <c r="C40" s="67"/>
      <c r="D40" s="67"/>
      <c r="E40" s="67"/>
      <c r="F40" s="68"/>
      <c r="G40" s="67"/>
      <c r="H40" s="67"/>
      <c r="I40" s="68"/>
      <c r="J40" s="67"/>
      <c r="K40" s="68"/>
      <c r="L40" s="67"/>
      <c r="M40" s="68"/>
      <c r="N40" s="67"/>
      <c r="O40" s="67"/>
      <c r="P40" s="67"/>
      <c r="Q40" s="67"/>
    </row>
    <row r="41" spans="1:18" x14ac:dyDescent="0.15">
      <c r="B41" s="14" t="s">
        <v>688</v>
      </c>
    </row>
    <row r="43" spans="1:18" x14ac:dyDescent="0.15">
      <c r="B43" s="69" t="s">
        <v>879</v>
      </c>
      <c r="C43" s="70" t="s">
        <v>1256</v>
      </c>
      <c r="D43" s="58"/>
      <c r="E43" s="59"/>
      <c r="F43" s="58"/>
      <c r="G43" s="58"/>
      <c r="H43" s="58"/>
      <c r="I43" s="71"/>
      <c r="K43" s="69" t="s">
        <v>879</v>
      </c>
      <c r="L43" s="70" t="s">
        <v>1257</v>
      </c>
      <c r="M43" s="58"/>
      <c r="N43" s="59"/>
      <c r="O43" s="58"/>
      <c r="P43" s="58"/>
      <c r="Q43" s="58"/>
      <c r="R43" s="71"/>
    </row>
    <row r="44" spans="1:18" x14ac:dyDescent="0.15">
      <c r="B44" s="72" t="s">
        <v>886</v>
      </c>
      <c r="C44" s="32" t="s">
        <v>1258</v>
      </c>
      <c r="D44" s="32"/>
      <c r="E44" s="61"/>
      <c r="F44" s="32"/>
      <c r="G44" s="32"/>
      <c r="H44" s="32"/>
      <c r="I44" s="73"/>
      <c r="K44" s="72" t="s">
        <v>886</v>
      </c>
      <c r="L44" s="32" t="s">
        <v>1259</v>
      </c>
      <c r="M44" s="32"/>
      <c r="N44" s="61"/>
      <c r="O44" s="32"/>
      <c r="P44" s="32"/>
      <c r="Q44" s="32"/>
      <c r="R44" s="73"/>
    </row>
    <row r="45" spans="1:18" x14ac:dyDescent="0.15">
      <c r="B45" s="74" t="s">
        <v>887</v>
      </c>
      <c r="C45" s="62" t="s">
        <v>1057</v>
      </c>
      <c r="D45" s="62"/>
      <c r="E45" s="63"/>
      <c r="F45" s="62"/>
      <c r="G45" s="62"/>
      <c r="H45" s="62"/>
      <c r="I45" s="75"/>
      <c r="K45" s="74" t="s">
        <v>887</v>
      </c>
      <c r="L45" s="62" t="s">
        <v>1056</v>
      </c>
      <c r="M45" s="62"/>
      <c r="N45" s="63"/>
      <c r="O45" s="62"/>
      <c r="P45" s="62"/>
      <c r="Q45" s="62"/>
      <c r="R45" s="75"/>
    </row>
    <row r="47" spans="1:18" x14ac:dyDescent="0.15">
      <c r="B47" s="76" t="s">
        <v>1291</v>
      </c>
      <c r="K47" s="76" t="s">
        <v>1292</v>
      </c>
    </row>
    <row r="49" spans="1:18" x14ac:dyDescent="0.15">
      <c r="B49" s="77" t="s">
        <v>416</v>
      </c>
      <c r="C49" s="78">
        <f>UniqSSRAlleles(C10:C21)</f>
        <v>13</v>
      </c>
      <c r="D49" s="78">
        <f>UniqSSRAlleles(D10:D21)</f>
        <v>8</v>
      </c>
      <c r="E49" s="78">
        <f>UniqSSRAlleles(E10:E21)</f>
        <v>3</v>
      </c>
      <c r="F49" s="79" t="s">
        <v>1182</v>
      </c>
      <c r="K49" s="77" t="s">
        <v>416</v>
      </c>
      <c r="L49" s="78">
        <f>UniqSNPAlleles(L10:L21)</f>
        <v>2</v>
      </c>
      <c r="M49" s="78">
        <f>UniqSNPAlleles(M10:M21)</f>
        <v>2</v>
      </c>
      <c r="N49" s="78">
        <f>UniqSNPAlleles(N10:N21)</f>
        <v>3</v>
      </c>
      <c r="O49" s="78">
        <f>UniqSNPAlleles(O10:O21)</f>
        <v>2</v>
      </c>
      <c r="P49" s="78">
        <f>UniqSNPAlleles(P10:P21)</f>
        <v>4</v>
      </c>
      <c r="Q49" s="79" t="s">
        <v>1183</v>
      </c>
    </row>
    <row r="52" spans="1:18" x14ac:dyDescent="0.15">
      <c r="B52" s="69" t="s">
        <v>879</v>
      </c>
      <c r="C52" s="70" t="s">
        <v>1260</v>
      </c>
      <c r="D52" s="58"/>
      <c r="E52" s="59"/>
      <c r="F52" s="58"/>
      <c r="G52" s="58"/>
      <c r="H52" s="58"/>
      <c r="I52" s="71"/>
      <c r="K52" s="69" t="s">
        <v>879</v>
      </c>
      <c r="L52" s="70" t="s">
        <v>1261</v>
      </c>
      <c r="M52" s="58"/>
      <c r="N52" s="59"/>
      <c r="O52" s="58"/>
      <c r="P52" s="58"/>
      <c r="Q52" s="58"/>
      <c r="R52" s="71"/>
    </row>
    <row r="53" spans="1:18" x14ac:dyDescent="0.15">
      <c r="B53" s="72" t="s">
        <v>886</v>
      </c>
      <c r="C53" s="32" t="s">
        <v>1262</v>
      </c>
      <c r="D53" s="32"/>
      <c r="E53" s="61"/>
      <c r="F53" s="32"/>
      <c r="G53" s="32"/>
      <c r="H53" s="32"/>
      <c r="I53" s="73"/>
      <c r="K53" s="72" t="s">
        <v>886</v>
      </c>
      <c r="L53" s="32" t="s">
        <v>1263</v>
      </c>
      <c r="M53" s="32"/>
      <c r="N53" s="61"/>
      <c r="O53" s="32"/>
      <c r="P53" s="32"/>
      <c r="Q53" s="32"/>
      <c r="R53" s="73"/>
    </row>
    <row r="54" spans="1:18" x14ac:dyDescent="0.15">
      <c r="B54" s="74" t="s">
        <v>887</v>
      </c>
      <c r="C54" s="62" t="s">
        <v>1179</v>
      </c>
      <c r="D54" s="62"/>
      <c r="E54" s="63"/>
      <c r="F54" s="62"/>
      <c r="G54" s="62"/>
      <c r="H54" s="62"/>
      <c r="I54" s="75"/>
      <c r="K54" s="74" t="s">
        <v>887</v>
      </c>
      <c r="L54" s="62" t="s">
        <v>1180</v>
      </c>
      <c r="M54" s="62"/>
      <c r="N54" s="63"/>
      <c r="O54" s="62"/>
      <c r="P54" s="62"/>
      <c r="Q54" s="62"/>
      <c r="R54" s="75"/>
    </row>
    <row r="56" spans="1:18" x14ac:dyDescent="0.15">
      <c r="B56" s="76" t="s">
        <v>1293</v>
      </c>
      <c r="K56" s="76" t="s">
        <v>1294</v>
      </c>
    </row>
    <row r="58" spans="1:18" x14ac:dyDescent="0.15">
      <c r="B58" s="77" t="s">
        <v>416</v>
      </c>
      <c r="C58" s="78">
        <f>UniqMAlleles(C26:C37)</f>
        <v>2</v>
      </c>
      <c r="D58" s="78">
        <f t="shared" ref="D58:E58" si="0">UniqMAlleles(D26:D37)</f>
        <v>2</v>
      </c>
      <c r="E58" s="78">
        <f t="shared" si="0"/>
        <v>1</v>
      </c>
      <c r="F58" s="79" t="s">
        <v>1181</v>
      </c>
      <c r="K58" s="77" t="s">
        <v>416</v>
      </c>
      <c r="L58" s="78">
        <f>UniqAlleles(L26:L37)</f>
        <v>9</v>
      </c>
      <c r="M58" s="78">
        <f t="shared" ref="M58:P58" si="1">UniqAlleles(M26:M37)</f>
        <v>10</v>
      </c>
      <c r="N58" s="78">
        <f t="shared" si="1"/>
        <v>8</v>
      </c>
      <c r="O58" s="78">
        <f t="shared" si="1"/>
        <v>10</v>
      </c>
      <c r="P58" s="78">
        <f t="shared" si="1"/>
        <v>8</v>
      </c>
      <c r="Q58" s="79" t="s">
        <v>1184</v>
      </c>
    </row>
    <row r="61" spans="1:18" x14ac:dyDescent="0.15">
      <c r="A61" s="66" t="s">
        <v>415</v>
      </c>
      <c r="B61" s="67" t="s">
        <v>1295</v>
      </c>
      <c r="C61" s="67"/>
      <c r="D61" s="67"/>
      <c r="E61" s="67"/>
      <c r="F61" s="68"/>
      <c r="G61" s="67"/>
      <c r="H61" s="67"/>
      <c r="I61" s="68"/>
      <c r="J61" s="67"/>
      <c r="K61" s="68"/>
      <c r="L61" s="67"/>
      <c r="M61" s="68"/>
      <c r="N61" s="67"/>
      <c r="O61" s="67"/>
      <c r="P61" s="67"/>
      <c r="Q61" s="67"/>
    </row>
    <row r="62" spans="1:18" x14ac:dyDescent="0.15">
      <c r="B62" s="14" t="s">
        <v>689</v>
      </c>
    </row>
    <row r="64" spans="1:18" x14ac:dyDescent="0.15">
      <c r="B64" s="69" t="s">
        <v>879</v>
      </c>
      <c r="C64" s="70" t="s">
        <v>1264</v>
      </c>
      <c r="D64" s="58"/>
      <c r="E64" s="59"/>
      <c r="F64" s="58"/>
      <c r="G64" s="58"/>
      <c r="H64" s="58"/>
      <c r="I64" s="71"/>
      <c r="K64" s="69" t="s">
        <v>879</v>
      </c>
      <c r="L64" s="70" t="s">
        <v>1265</v>
      </c>
      <c r="M64" s="58"/>
      <c r="N64" s="59"/>
      <c r="O64" s="58"/>
      <c r="P64" s="58"/>
      <c r="Q64" s="58"/>
      <c r="R64" s="71"/>
    </row>
    <row r="65" spans="2:18" x14ac:dyDescent="0.15">
      <c r="B65" s="72" t="s">
        <v>886</v>
      </c>
      <c r="C65" s="32" t="s">
        <v>1296</v>
      </c>
      <c r="D65" s="32"/>
      <c r="E65" s="61"/>
      <c r="F65" s="32"/>
      <c r="G65" s="32"/>
      <c r="H65" s="32"/>
      <c r="I65" s="73"/>
      <c r="K65" s="72" t="s">
        <v>886</v>
      </c>
      <c r="L65" s="32" t="s">
        <v>1297</v>
      </c>
      <c r="M65" s="32"/>
      <c r="N65" s="61"/>
      <c r="O65" s="32"/>
      <c r="P65" s="32"/>
      <c r="Q65" s="32"/>
      <c r="R65" s="73"/>
    </row>
    <row r="66" spans="2:18" x14ac:dyDescent="0.15">
      <c r="B66" s="74" t="s">
        <v>887</v>
      </c>
      <c r="C66" s="62" t="s">
        <v>1058</v>
      </c>
      <c r="D66" s="62"/>
      <c r="E66" s="63"/>
      <c r="F66" s="62"/>
      <c r="G66" s="62"/>
      <c r="H66" s="62"/>
      <c r="I66" s="75"/>
      <c r="K66" s="74" t="s">
        <v>887</v>
      </c>
      <c r="L66" s="62" t="s">
        <v>1059</v>
      </c>
      <c r="M66" s="62"/>
      <c r="N66" s="63"/>
      <c r="O66" s="62"/>
      <c r="P66" s="62"/>
      <c r="Q66" s="62"/>
      <c r="R66" s="75"/>
    </row>
    <row r="68" spans="2:18" x14ac:dyDescent="0.15">
      <c r="B68" s="76" t="s">
        <v>1291</v>
      </c>
      <c r="K68" s="76" t="s">
        <v>1292</v>
      </c>
    </row>
    <row r="70" spans="2:18" x14ac:dyDescent="0.15">
      <c r="B70" s="77" t="s">
        <v>417</v>
      </c>
      <c r="C70" s="78">
        <f>UniqSSRGTs(C10:C21)</f>
        <v>10</v>
      </c>
      <c r="D70" s="78">
        <f>UniqSSRGTs(D10:D21)</f>
        <v>10</v>
      </c>
      <c r="E70" s="78">
        <f>UniqSSRGTs(E10:E21)</f>
        <v>4</v>
      </c>
      <c r="F70" s="79" t="s">
        <v>203</v>
      </c>
      <c r="K70" s="77" t="s">
        <v>417</v>
      </c>
      <c r="L70" s="78">
        <f>UniqSNPGTs(L10:L21)</f>
        <v>3</v>
      </c>
      <c r="M70" s="78">
        <f>UniqSNPGTs(M10:M21)</f>
        <v>3</v>
      </c>
      <c r="N70" s="78">
        <f>UniqSNPGTs(N10:N21)</f>
        <v>4</v>
      </c>
      <c r="O70" s="78">
        <f>UniqSNPGTs(O10:O21)</f>
        <v>2</v>
      </c>
      <c r="P70" s="78">
        <f>UniqSNPGTs(P10:P21)</f>
        <v>3</v>
      </c>
      <c r="Q70" s="79" t="s">
        <v>212</v>
      </c>
    </row>
    <row r="73" spans="2:18" x14ac:dyDescent="0.15">
      <c r="B73" s="69" t="s">
        <v>879</v>
      </c>
      <c r="C73" s="70" t="s">
        <v>1266</v>
      </c>
      <c r="D73" s="58"/>
      <c r="E73" s="59"/>
      <c r="F73" s="58"/>
      <c r="G73" s="58"/>
      <c r="H73" s="58"/>
      <c r="I73" s="71"/>
    </row>
    <row r="74" spans="2:18" x14ac:dyDescent="0.15">
      <c r="B74" s="72" t="s">
        <v>886</v>
      </c>
      <c r="C74" s="32" t="s">
        <v>1298</v>
      </c>
      <c r="D74" s="32"/>
      <c r="E74" s="61"/>
      <c r="F74" s="32"/>
      <c r="G74" s="32"/>
      <c r="H74" s="32"/>
      <c r="I74" s="73"/>
    </row>
    <row r="75" spans="2:18" x14ac:dyDescent="0.15">
      <c r="B75" s="74" t="s">
        <v>887</v>
      </c>
      <c r="C75" s="62" t="s">
        <v>1185</v>
      </c>
      <c r="D75" s="62"/>
      <c r="E75" s="63"/>
      <c r="F75" s="62"/>
      <c r="G75" s="62"/>
      <c r="H75" s="62"/>
      <c r="I75" s="75"/>
    </row>
    <row r="77" spans="2:18" x14ac:dyDescent="0.15">
      <c r="B77" s="76" t="s">
        <v>1293</v>
      </c>
    </row>
    <row r="79" spans="2:18" x14ac:dyDescent="0.15">
      <c r="B79" s="77" t="s">
        <v>417</v>
      </c>
      <c r="C79" s="78">
        <f>UniqMGTs(C26:C37)</f>
        <v>3</v>
      </c>
      <c r="D79" s="78">
        <f t="shared" ref="D79:E79" si="2">UniqMGTs(D26:D37)</f>
        <v>2</v>
      </c>
      <c r="E79" s="78">
        <f t="shared" si="2"/>
        <v>1</v>
      </c>
      <c r="F79" s="79" t="s">
        <v>1186</v>
      </c>
    </row>
    <row r="83" spans="1:18" x14ac:dyDescent="0.15">
      <c r="A83" s="66" t="s">
        <v>413</v>
      </c>
      <c r="B83" s="67" t="s">
        <v>1299</v>
      </c>
      <c r="C83" s="67"/>
      <c r="D83" s="67"/>
      <c r="E83" s="67"/>
      <c r="F83" s="68"/>
      <c r="G83" s="67"/>
      <c r="H83" s="67"/>
      <c r="I83" s="68"/>
      <c r="J83" s="67"/>
      <c r="K83" s="68"/>
      <c r="L83" s="67"/>
      <c r="M83" s="68"/>
      <c r="N83" s="67"/>
      <c r="O83" s="67"/>
      <c r="P83" s="67"/>
      <c r="Q83" s="67"/>
    </row>
    <row r="84" spans="1:18" x14ac:dyDescent="0.15">
      <c r="B84" s="14" t="s">
        <v>1145</v>
      </c>
    </row>
    <row r="85" spans="1:18" x14ac:dyDescent="0.15">
      <c r="B85" s="14" t="s">
        <v>1142</v>
      </c>
    </row>
    <row r="86" spans="1:18" x14ac:dyDescent="0.15">
      <c r="B86" s="14" t="s">
        <v>690</v>
      </c>
    </row>
    <row r="88" spans="1:18" x14ac:dyDescent="0.15">
      <c r="B88" s="69" t="s">
        <v>879</v>
      </c>
      <c r="C88" s="70" t="s">
        <v>1267</v>
      </c>
      <c r="D88" s="58"/>
      <c r="E88" s="59"/>
      <c r="F88" s="58"/>
      <c r="G88" s="58"/>
      <c r="H88" s="58"/>
      <c r="I88" s="71"/>
      <c r="K88" s="69" t="s">
        <v>879</v>
      </c>
      <c r="L88" s="70" t="s">
        <v>1268</v>
      </c>
      <c r="M88" s="58"/>
      <c r="N88" s="59"/>
      <c r="O88" s="58"/>
      <c r="P88" s="58"/>
      <c r="Q88" s="58"/>
      <c r="R88" s="71"/>
    </row>
    <row r="89" spans="1:18" x14ac:dyDescent="0.15">
      <c r="B89" s="72" t="s">
        <v>1060</v>
      </c>
      <c r="C89" s="32" t="s">
        <v>1296</v>
      </c>
      <c r="D89" s="32"/>
      <c r="E89" s="61"/>
      <c r="F89" s="32"/>
      <c r="G89" s="32"/>
      <c r="H89" s="32"/>
      <c r="I89" s="73"/>
      <c r="K89" s="72" t="s">
        <v>1061</v>
      </c>
      <c r="L89" s="32" t="s">
        <v>1297</v>
      </c>
      <c r="M89" s="32"/>
      <c r="N89" s="61"/>
      <c r="O89" s="32"/>
      <c r="P89" s="32"/>
      <c r="Q89" s="32"/>
      <c r="R89" s="73"/>
    </row>
    <row r="90" spans="1:18" x14ac:dyDescent="0.15">
      <c r="B90" s="72"/>
      <c r="C90" s="32" t="s">
        <v>1269</v>
      </c>
      <c r="D90" s="32"/>
      <c r="E90" s="32"/>
      <c r="F90" s="32"/>
      <c r="G90" s="32"/>
      <c r="H90" s="32"/>
      <c r="I90" s="73"/>
      <c r="K90" s="72"/>
      <c r="L90" s="32" t="s">
        <v>1269</v>
      </c>
      <c r="M90" s="32"/>
      <c r="N90" s="32"/>
      <c r="O90" s="32"/>
      <c r="P90" s="32"/>
      <c r="Q90" s="32"/>
      <c r="R90" s="73"/>
    </row>
    <row r="91" spans="1:18" x14ac:dyDescent="0.15">
      <c r="B91" s="74" t="s">
        <v>887</v>
      </c>
      <c r="C91" s="62" t="s">
        <v>1141</v>
      </c>
      <c r="D91" s="62"/>
      <c r="E91" s="63"/>
      <c r="F91" s="62"/>
      <c r="G91" s="62"/>
      <c r="H91" s="62"/>
      <c r="I91" s="75"/>
      <c r="K91" s="74" t="s">
        <v>887</v>
      </c>
      <c r="L91" s="62" t="s">
        <v>1141</v>
      </c>
      <c r="M91" s="62"/>
      <c r="N91" s="63"/>
      <c r="O91" s="62"/>
      <c r="P91" s="62"/>
      <c r="Q91" s="62"/>
      <c r="R91" s="75"/>
    </row>
    <row r="93" spans="1:18" x14ac:dyDescent="0.15">
      <c r="B93" s="76" t="s">
        <v>1291</v>
      </c>
      <c r="K93" s="76" t="s">
        <v>1292</v>
      </c>
    </row>
    <row r="95" spans="1:18" x14ac:dyDescent="0.15">
      <c r="B95" s="80" t="s">
        <v>1147</v>
      </c>
      <c r="C95" s="13" t="s">
        <v>1148</v>
      </c>
      <c r="D95" s="13"/>
      <c r="E95" s="13"/>
      <c r="K95" s="80" t="s">
        <v>1147</v>
      </c>
      <c r="L95" s="13" t="s">
        <v>1148</v>
      </c>
      <c r="M95" s="13"/>
      <c r="N95" s="13"/>
      <c r="O95" s="13"/>
      <c r="P95" s="13"/>
    </row>
    <row r="96" spans="1:18" x14ac:dyDescent="0.15">
      <c r="B96" s="17">
        <v>1</v>
      </c>
      <c r="C96" s="81" t="str">
        <f>GetUniqSSRAllele(C$10:C$21,$B96)</f>
        <v>122</v>
      </c>
      <c r="D96" s="81" t="str">
        <f t="shared" ref="D96:E109" si="3">GetUniqSSRAllele(D$10:D$21,$B96)</f>
        <v>100</v>
      </c>
      <c r="E96" s="81" t="str">
        <f t="shared" si="3"/>
        <v>100</v>
      </c>
      <c r="F96" s="79" t="s">
        <v>1189</v>
      </c>
      <c r="K96" s="17">
        <v>1</v>
      </c>
      <c r="L96" s="82" t="str">
        <f>GetUniqSNPAllele(L$10:L$21,$K96)</f>
        <v>A</v>
      </c>
      <c r="M96" s="82" t="str">
        <f t="shared" ref="M96:P99" si="4">GetUniqSNPAllele(M$10:M$21,$K96)</f>
        <v>T</v>
      </c>
      <c r="N96" s="82" t="str">
        <f>GetUniqSNPAllele(N$10:N$21,$K96)</f>
        <v>G</v>
      </c>
      <c r="O96" s="82" t="str">
        <f t="shared" si="4"/>
        <v>A</v>
      </c>
      <c r="P96" s="82" t="str">
        <f t="shared" si="4"/>
        <v>T</v>
      </c>
      <c r="Q96" s="79" t="s">
        <v>1190</v>
      </c>
    </row>
    <row r="97" spans="2:18" x14ac:dyDescent="0.15">
      <c r="B97" s="17">
        <v>2</v>
      </c>
      <c r="C97" s="81" t="str">
        <f t="shared" ref="C97:C109" si="5">GetUniqSSRAllele(C$10:C$21,$B97)</f>
        <v>140</v>
      </c>
      <c r="D97" s="81" t="str">
        <f t="shared" si="3"/>
        <v>110</v>
      </c>
      <c r="E97" s="81" t="str">
        <f t="shared" si="3"/>
        <v>110</v>
      </c>
      <c r="K97" s="17">
        <v>2</v>
      </c>
      <c r="L97" s="83" t="str">
        <f>GetUniqSNPAllele(L$10:L$21,$K97)</f>
        <v>G</v>
      </c>
      <c r="M97" s="83" t="str">
        <f t="shared" si="4"/>
        <v>C</v>
      </c>
      <c r="N97" s="83" t="str">
        <f t="shared" si="4"/>
        <v>A</v>
      </c>
      <c r="O97" s="83" t="str">
        <f t="shared" si="4"/>
        <v>T</v>
      </c>
      <c r="P97" s="83" t="str">
        <f t="shared" si="4"/>
        <v>A</v>
      </c>
    </row>
    <row r="98" spans="2:18" x14ac:dyDescent="0.15">
      <c r="B98" s="17">
        <v>3</v>
      </c>
      <c r="C98" s="81" t="str">
        <f t="shared" si="5"/>
        <v>150</v>
      </c>
      <c r="D98" s="81" t="str">
        <f t="shared" si="3"/>
        <v>120</v>
      </c>
      <c r="E98" s="81" t="str">
        <f t="shared" si="3"/>
        <v>115</v>
      </c>
      <c r="K98" s="61">
        <v>3</v>
      </c>
      <c r="L98" s="83" t="str">
        <f>GetUniqSNPAllele(L$10:L$21,$K98)</f>
        <v/>
      </c>
      <c r="M98" s="83" t="str">
        <f t="shared" si="4"/>
        <v/>
      </c>
      <c r="N98" s="83" t="str">
        <f t="shared" si="4"/>
        <v>N</v>
      </c>
      <c r="O98" s="83" t="str">
        <f t="shared" si="4"/>
        <v/>
      </c>
      <c r="P98" s="83" t="str">
        <f t="shared" si="4"/>
        <v>C</v>
      </c>
    </row>
    <row r="99" spans="2:18" x14ac:dyDescent="0.15">
      <c r="B99" s="17">
        <v>4</v>
      </c>
      <c r="C99" s="81" t="str">
        <f t="shared" si="5"/>
        <v>160</v>
      </c>
      <c r="D99" s="81" t="str">
        <f t="shared" si="3"/>
        <v>130</v>
      </c>
      <c r="E99" s="81" t="str">
        <f t="shared" si="3"/>
        <v/>
      </c>
      <c r="K99" s="63">
        <v>4</v>
      </c>
      <c r="L99" s="84" t="str">
        <f>GetUniqSNPAllele(L$10:L$21,$K99)</f>
        <v/>
      </c>
      <c r="M99" s="84" t="str">
        <f t="shared" si="4"/>
        <v/>
      </c>
      <c r="N99" s="84" t="str">
        <f t="shared" si="4"/>
        <v/>
      </c>
      <c r="O99" s="84" t="str">
        <f t="shared" si="4"/>
        <v/>
      </c>
      <c r="P99" s="84" t="str">
        <f t="shared" si="4"/>
        <v>G</v>
      </c>
    </row>
    <row r="100" spans="2:18" x14ac:dyDescent="0.15">
      <c r="B100" s="17">
        <v>5</v>
      </c>
      <c r="C100" s="81" t="str">
        <f t="shared" si="5"/>
        <v>100</v>
      </c>
      <c r="D100" s="81" t="str">
        <f t="shared" si="3"/>
        <v>140</v>
      </c>
      <c r="E100" s="81" t="str">
        <f t="shared" si="3"/>
        <v/>
      </c>
      <c r="K100" s="17"/>
      <c r="L100" s="85"/>
      <c r="M100" s="85"/>
      <c r="N100" s="85"/>
      <c r="O100" s="53"/>
    </row>
    <row r="101" spans="2:18" x14ac:dyDescent="0.15">
      <c r="B101" s="17">
        <v>6</v>
      </c>
      <c r="C101" s="81" t="str">
        <f t="shared" si="5"/>
        <v>110</v>
      </c>
      <c r="D101" s="81" t="str">
        <f t="shared" si="3"/>
        <v>150</v>
      </c>
      <c r="E101" s="81" t="str">
        <f t="shared" si="3"/>
        <v/>
      </c>
      <c r="K101" s="17"/>
      <c r="L101" s="85"/>
      <c r="M101" s="85"/>
      <c r="N101" s="85"/>
      <c r="O101" s="53"/>
    </row>
    <row r="102" spans="2:18" x14ac:dyDescent="0.15">
      <c r="B102" s="17">
        <v>7</v>
      </c>
      <c r="C102" s="81" t="str">
        <f t="shared" si="5"/>
        <v>130</v>
      </c>
      <c r="D102" s="81" t="str">
        <f t="shared" si="3"/>
        <v>160</v>
      </c>
      <c r="E102" s="81" t="str">
        <f t="shared" si="3"/>
        <v/>
      </c>
      <c r="K102" s="17"/>
      <c r="L102" s="85"/>
      <c r="M102" s="85"/>
      <c r="N102" s="85"/>
      <c r="O102" s="53"/>
    </row>
    <row r="103" spans="2:18" x14ac:dyDescent="0.15">
      <c r="B103" s="17">
        <v>8</v>
      </c>
      <c r="C103" s="81" t="str">
        <f t="shared" si="5"/>
        <v>120</v>
      </c>
      <c r="D103" s="81" t="str">
        <f t="shared" si="3"/>
        <v>105</v>
      </c>
      <c r="E103" s="81" t="str">
        <f t="shared" si="3"/>
        <v/>
      </c>
      <c r="K103" s="17"/>
      <c r="L103" s="85"/>
      <c r="M103" s="85"/>
      <c r="N103" s="85"/>
      <c r="O103" s="53"/>
    </row>
    <row r="104" spans="2:18" x14ac:dyDescent="0.15">
      <c r="B104" s="17">
        <v>9</v>
      </c>
      <c r="C104" s="81" t="str">
        <f t="shared" si="5"/>
        <v>180</v>
      </c>
      <c r="D104" s="81" t="str">
        <f t="shared" si="3"/>
        <v/>
      </c>
      <c r="E104" s="81" t="str">
        <f t="shared" si="3"/>
        <v/>
      </c>
      <c r="K104" s="17"/>
      <c r="L104" s="85"/>
      <c r="M104" s="85"/>
      <c r="N104" s="85"/>
      <c r="O104" s="53"/>
    </row>
    <row r="105" spans="2:18" x14ac:dyDescent="0.15">
      <c r="B105" s="17">
        <v>10</v>
      </c>
      <c r="C105" s="81" t="str">
        <f t="shared" si="5"/>
        <v>182</v>
      </c>
      <c r="D105" s="81" t="str">
        <f t="shared" si="3"/>
        <v/>
      </c>
      <c r="E105" s="81" t="str">
        <f t="shared" si="3"/>
        <v/>
      </c>
      <c r="K105" s="17"/>
      <c r="L105" s="85"/>
      <c r="M105" s="85"/>
      <c r="N105" s="85"/>
      <c r="O105" s="53"/>
    </row>
    <row r="106" spans="2:18" x14ac:dyDescent="0.15">
      <c r="B106" s="17">
        <v>11</v>
      </c>
      <c r="C106" s="81" t="str">
        <f t="shared" si="5"/>
        <v>155</v>
      </c>
      <c r="D106" s="81" t="str">
        <f t="shared" si="3"/>
        <v/>
      </c>
      <c r="E106" s="81" t="str">
        <f t="shared" si="3"/>
        <v/>
      </c>
      <c r="K106" s="61"/>
      <c r="L106" s="52"/>
      <c r="M106" s="52"/>
      <c r="N106" s="52"/>
      <c r="O106" s="51"/>
    </row>
    <row r="107" spans="2:18" x14ac:dyDescent="0.15">
      <c r="B107" s="17">
        <v>12</v>
      </c>
      <c r="C107" s="81" t="str">
        <f t="shared" si="5"/>
        <v>112</v>
      </c>
      <c r="D107" s="81" t="str">
        <f t="shared" si="3"/>
        <v/>
      </c>
      <c r="E107" s="81" t="str">
        <f t="shared" si="3"/>
        <v/>
      </c>
      <c r="K107" s="61"/>
      <c r="L107" s="52"/>
      <c r="M107" s="52"/>
      <c r="N107" s="52"/>
      <c r="O107" s="51"/>
    </row>
    <row r="108" spans="2:18" x14ac:dyDescent="0.15">
      <c r="B108" s="17">
        <v>13</v>
      </c>
      <c r="C108" s="81" t="str">
        <f t="shared" si="5"/>
        <v>105</v>
      </c>
      <c r="D108" s="81" t="str">
        <f t="shared" si="3"/>
        <v/>
      </c>
      <c r="E108" s="81" t="str">
        <f t="shared" si="3"/>
        <v/>
      </c>
      <c r="K108" s="61"/>
      <c r="L108" s="52"/>
      <c r="M108" s="52"/>
      <c r="N108" s="52"/>
      <c r="O108" s="51"/>
    </row>
    <row r="109" spans="2:18" x14ac:dyDescent="0.15">
      <c r="B109" s="63">
        <v>14</v>
      </c>
      <c r="C109" s="84" t="str">
        <f t="shared" si="5"/>
        <v/>
      </c>
      <c r="D109" s="84" t="str">
        <f t="shared" si="3"/>
        <v/>
      </c>
      <c r="E109" s="84" t="str">
        <f t="shared" si="3"/>
        <v/>
      </c>
      <c r="K109" s="61"/>
      <c r="L109" s="52"/>
      <c r="M109" s="52"/>
      <c r="N109" s="52"/>
      <c r="O109" s="51"/>
    </row>
    <row r="110" spans="2:18" x14ac:dyDescent="0.15">
      <c r="K110" s="32"/>
      <c r="L110" s="32"/>
      <c r="M110" s="32"/>
      <c r="N110" s="32"/>
      <c r="O110" s="32"/>
    </row>
    <row r="111" spans="2:18" x14ac:dyDescent="0.15">
      <c r="K111" s="32"/>
      <c r="L111" s="32"/>
      <c r="M111" s="32"/>
      <c r="N111" s="32"/>
      <c r="O111" s="32"/>
    </row>
    <row r="112" spans="2:18" x14ac:dyDescent="0.15">
      <c r="B112" s="69" t="s">
        <v>879</v>
      </c>
      <c r="C112" s="70" t="s">
        <v>1270</v>
      </c>
      <c r="D112" s="58"/>
      <c r="E112" s="59"/>
      <c r="F112" s="58"/>
      <c r="G112" s="58"/>
      <c r="H112" s="58"/>
      <c r="I112" s="71"/>
      <c r="K112" s="69" t="s">
        <v>879</v>
      </c>
      <c r="L112" s="70" t="s">
        <v>1611</v>
      </c>
      <c r="M112" s="58"/>
      <c r="N112" s="59"/>
      <c r="O112" s="58"/>
      <c r="P112" s="58"/>
      <c r="Q112" s="58"/>
      <c r="R112" s="71"/>
    </row>
    <row r="113" spans="2:18" x14ac:dyDescent="0.15">
      <c r="B113" s="72" t="s">
        <v>1060</v>
      </c>
      <c r="C113" s="32" t="s">
        <v>1298</v>
      </c>
      <c r="D113" s="32"/>
      <c r="E113" s="61"/>
      <c r="F113" s="32"/>
      <c r="G113" s="32"/>
      <c r="H113" s="32"/>
      <c r="I113" s="73"/>
      <c r="K113" s="72" t="s">
        <v>1061</v>
      </c>
      <c r="L113" s="32" t="s">
        <v>1297</v>
      </c>
      <c r="M113" s="32"/>
      <c r="N113" s="61"/>
      <c r="O113" s="32"/>
      <c r="P113" s="32"/>
      <c r="Q113" s="32"/>
      <c r="R113" s="73"/>
    </row>
    <row r="114" spans="2:18" x14ac:dyDescent="0.15">
      <c r="B114" s="72"/>
      <c r="C114" s="32" t="s">
        <v>1269</v>
      </c>
      <c r="D114" s="32"/>
      <c r="E114" s="32"/>
      <c r="F114" s="32"/>
      <c r="G114" s="32"/>
      <c r="H114" s="32"/>
      <c r="I114" s="73"/>
      <c r="K114" s="72"/>
      <c r="L114" s="32" t="s">
        <v>1269</v>
      </c>
      <c r="M114" s="32"/>
      <c r="N114" s="32"/>
      <c r="O114" s="32"/>
      <c r="P114" s="32"/>
      <c r="Q114" s="32"/>
      <c r="R114" s="73"/>
    </row>
    <row r="115" spans="2:18" x14ac:dyDescent="0.15">
      <c r="B115" s="74" t="s">
        <v>887</v>
      </c>
      <c r="C115" s="62" t="s">
        <v>1141</v>
      </c>
      <c r="D115" s="62"/>
      <c r="E115" s="63"/>
      <c r="F115" s="62"/>
      <c r="G115" s="62"/>
      <c r="H115" s="62"/>
      <c r="I115" s="75"/>
      <c r="K115" s="74" t="s">
        <v>887</v>
      </c>
      <c r="L115" s="62" t="s">
        <v>1141</v>
      </c>
      <c r="M115" s="62"/>
      <c r="N115" s="63"/>
      <c r="O115" s="62"/>
      <c r="P115" s="62"/>
      <c r="Q115" s="62"/>
      <c r="R115" s="75"/>
    </row>
    <row r="117" spans="2:18" x14ac:dyDescent="0.15">
      <c r="B117" s="76" t="s">
        <v>1293</v>
      </c>
      <c r="K117" s="76" t="s">
        <v>1292</v>
      </c>
    </row>
    <row r="119" spans="2:18" x14ac:dyDescent="0.15">
      <c r="B119" s="80" t="s">
        <v>1147</v>
      </c>
      <c r="C119" s="13" t="s">
        <v>1148</v>
      </c>
      <c r="D119" s="13"/>
      <c r="E119" s="13"/>
      <c r="K119" s="80" t="s">
        <v>1147</v>
      </c>
      <c r="L119" s="13" t="s">
        <v>1148</v>
      </c>
      <c r="M119" s="13"/>
      <c r="N119" s="13"/>
      <c r="O119" s="13"/>
      <c r="P119" s="13"/>
    </row>
    <row r="120" spans="2:18" x14ac:dyDescent="0.15">
      <c r="B120" s="59">
        <v>1</v>
      </c>
      <c r="C120" s="82" t="str">
        <f>GetUniqMAllele(C$26:C$37,$B120)</f>
        <v>A</v>
      </c>
      <c r="D120" s="82" t="str">
        <f t="shared" ref="D120:E121" si="6">GetUniqMAllele(D$26:D$37,$B120)</f>
        <v>A</v>
      </c>
      <c r="E120" s="82" t="str">
        <f t="shared" si="6"/>
        <v>B</v>
      </c>
      <c r="F120" s="79" t="s">
        <v>1188</v>
      </c>
      <c r="K120" s="17">
        <v>1</v>
      </c>
      <c r="L120" s="83" t="str">
        <f>GetUniqAllele(L$26:L$37,$K120)</f>
        <v>110</v>
      </c>
      <c r="M120" s="83" t="str">
        <f t="shared" ref="M120:P120" si="7">GetUniqAllele(M$26:M$37,$K120)</f>
        <v>151</v>
      </c>
      <c r="N120" s="83" t="str">
        <f t="shared" si="7"/>
        <v>250</v>
      </c>
      <c r="O120" s="83" t="str">
        <f t="shared" si="7"/>
        <v>327</v>
      </c>
      <c r="P120" s="83" t="str">
        <f t="shared" si="7"/>
        <v>129</v>
      </c>
      <c r="Q120" s="79" t="s">
        <v>1187</v>
      </c>
    </row>
    <row r="121" spans="2:18" x14ac:dyDescent="0.15">
      <c r="B121" s="63">
        <v>2</v>
      </c>
      <c r="C121" s="84" t="str">
        <f t="shared" ref="C121" si="8">GetUniqMAllele(C$26:C$37,$B121)</f>
        <v>B</v>
      </c>
      <c r="D121" s="84" t="str">
        <f t="shared" si="6"/>
        <v>B</v>
      </c>
      <c r="E121" s="84" t="str">
        <f t="shared" si="6"/>
        <v/>
      </c>
      <c r="K121" s="17">
        <v>2</v>
      </c>
      <c r="L121" s="83" t="str">
        <f t="shared" ref="L121:P130" si="9">GetUniqAllele(L$26:L$37,$K121)</f>
        <v>98</v>
      </c>
      <c r="M121" s="83" t="str">
        <f t="shared" si="9"/>
        <v>104</v>
      </c>
      <c r="N121" s="83" t="str">
        <f t="shared" si="9"/>
        <v>239</v>
      </c>
      <c r="O121" s="83" t="str">
        <f t="shared" si="9"/>
        <v>298</v>
      </c>
      <c r="P121" s="83" t="str">
        <f t="shared" si="9"/>
        <v>127</v>
      </c>
    </row>
    <row r="122" spans="2:18" x14ac:dyDescent="0.15">
      <c r="K122" s="61">
        <v>3</v>
      </c>
      <c r="L122" s="83" t="str">
        <f t="shared" si="9"/>
        <v>116</v>
      </c>
      <c r="M122" s="83" t="str">
        <f t="shared" si="9"/>
        <v>134</v>
      </c>
      <c r="N122" s="83" t="str">
        <f t="shared" si="9"/>
        <v>223</v>
      </c>
      <c r="O122" s="83" t="str">
        <f t="shared" si="9"/>
        <v>260</v>
      </c>
      <c r="P122" s="83" t="str">
        <f t="shared" si="9"/>
        <v>125</v>
      </c>
    </row>
    <row r="123" spans="2:18" x14ac:dyDescent="0.15">
      <c r="K123" s="61">
        <v>4</v>
      </c>
      <c r="L123" s="83" t="str">
        <f t="shared" si="9"/>
        <v>117</v>
      </c>
      <c r="M123" s="83" t="str">
        <f t="shared" si="9"/>
        <v>114</v>
      </c>
      <c r="N123" s="83" t="str">
        <f t="shared" si="9"/>
        <v>198</v>
      </c>
      <c r="O123" s="83" t="str">
        <f t="shared" si="9"/>
        <v>315</v>
      </c>
      <c r="P123" s="83" t="str">
        <f t="shared" si="9"/>
        <v>122</v>
      </c>
      <c r="Q123" s="32"/>
    </row>
    <row r="124" spans="2:18" x14ac:dyDescent="0.15">
      <c r="K124" s="61">
        <v>5</v>
      </c>
      <c r="L124" s="83" t="str">
        <f t="shared" si="9"/>
        <v>113</v>
      </c>
      <c r="M124" s="83" t="str">
        <f t="shared" si="9"/>
        <v>123</v>
      </c>
      <c r="N124" s="83" t="str">
        <f t="shared" si="9"/>
        <v>251</v>
      </c>
      <c r="O124" s="83" t="str">
        <f t="shared" si="9"/>
        <v>340</v>
      </c>
      <c r="P124" s="83" t="str">
        <f t="shared" si="9"/>
        <v>120</v>
      </c>
      <c r="Q124" s="32"/>
    </row>
    <row r="125" spans="2:18" x14ac:dyDescent="0.15">
      <c r="K125" s="17">
        <v>6</v>
      </c>
      <c r="L125" s="83" t="str">
        <f t="shared" si="9"/>
        <v>95</v>
      </c>
      <c r="M125" s="83" t="str">
        <f t="shared" si="9"/>
        <v>101</v>
      </c>
      <c r="N125" s="83" t="str">
        <f t="shared" si="9"/>
        <v>258</v>
      </c>
      <c r="O125" s="83" t="str">
        <f t="shared" si="9"/>
        <v>348</v>
      </c>
      <c r="P125" s="83" t="str">
        <f t="shared" si="9"/>
        <v>128</v>
      </c>
    </row>
    <row r="126" spans="2:18" x14ac:dyDescent="0.15">
      <c r="K126" s="17">
        <v>7</v>
      </c>
      <c r="L126" s="83" t="str">
        <f t="shared" si="9"/>
        <v>106</v>
      </c>
      <c r="M126" s="83" t="str">
        <f t="shared" si="9"/>
        <v>124</v>
      </c>
      <c r="N126" s="83" t="str">
        <f t="shared" si="9"/>
        <v>192</v>
      </c>
      <c r="O126" s="83" t="str">
        <f t="shared" si="9"/>
        <v>246</v>
      </c>
      <c r="P126" s="83" t="str">
        <f t="shared" si="9"/>
        <v>126</v>
      </c>
    </row>
    <row r="127" spans="2:18" x14ac:dyDescent="0.15">
      <c r="K127" s="17">
        <v>8</v>
      </c>
      <c r="L127" s="83" t="str">
        <f t="shared" si="9"/>
        <v>119</v>
      </c>
      <c r="M127" s="83" t="str">
        <f t="shared" si="9"/>
        <v>125</v>
      </c>
      <c r="N127" s="83" t="str">
        <f t="shared" si="9"/>
        <v>211</v>
      </c>
      <c r="O127" s="83" t="str">
        <f t="shared" si="9"/>
        <v>293</v>
      </c>
      <c r="P127" s="83" t="str">
        <f t="shared" si="9"/>
        <v>124</v>
      </c>
    </row>
    <row r="128" spans="2:18" x14ac:dyDescent="0.15">
      <c r="K128" s="17">
        <v>9</v>
      </c>
      <c r="L128" s="83" t="str">
        <f t="shared" si="9"/>
        <v>96</v>
      </c>
      <c r="M128" s="83" t="str">
        <f t="shared" si="9"/>
        <v>112</v>
      </c>
      <c r="N128" s="83" t="str">
        <f t="shared" si="9"/>
        <v/>
      </c>
      <c r="O128" s="83" t="str">
        <f t="shared" si="9"/>
        <v>346</v>
      </c>
      <c r="P128" s="83" t="str">
        <f t="shared" si="9"/>
        <v/>
      </c>
    </row>
    <row r="129" spans="1:18" x14ac:dyDescent="0.15">
      <c r="K129" s="61">
        <v>10</v>
      </c>
      <c r="L129" s="83" t="str">
        <f t="shared" si="9"/>
        <v/>
      </c>
      <c r="M129" s="83" t="str">
        <f t="shared" si="9"/>
        <v>146</v>
      </c>
      <c r="N129" s="83" t="str">
        <f t="shared" si="9"/>
        <v/>
      </c>
      <c r="O129" s="83" t="str">
        <f t="shared" si="9"/>
        <v>307</v>
      </c>
      <c r="P129" s="83" t="str">
        <f t="shared" si="9"/>
        <v/>
      </c>
    </row>
    <row r="130" spans="1:18" x14ac:dyDescent="0.15">
      <c r="K130" s="63">
        <v>11</v>
      </c>
      <c r="L130" s="84" t="str">
        <f t="shared" si="9"/>
        <v/>
      </c>
      <c r="M130" s="84" t="str">
        <f t="shared" si="9"/>
        <v/>
      </c>
      <c r="N130" s="84" t="str">
        <f t="shared" si="9"/>
        <v/>
      </c>
      <c r="O130" s="84" t="str">
        <f t="shared" si="9"/>
        <v/>
      </c>
      <c r="P130" s="84" t="str">
        <f t="shared" si="9"/>
        <v/>
      </c>
    </row>
    <row r="131" spans="1:18" x14ac:dyDescent="0.15">
      <c r="K131" s="52"/>
      <c r="L131" s="52"/>
      <c r="M131" s="52"/>
      <c r="N131" s="52"/>
      <c r="O131" s="52"/>
      <c r="P131" s="52"/>
    </row>
    <row r="132" spans="1:18" x14ac:dyDescent="0.15">
      <c r="K132" s="52"/>
      <c r="L132" s="52"/>
      <c r="M132" s="52"/>
      <c r="N132" s="52"/>
      <c r="O132" s="52"/>
      <c r="P132" s="52"/>
    </row>
    <row r="133" spans="1:18" x14ac:dyDescent="0.15">
      <c r="A133" s="66" t="s">
        <v>398</v>
      </c>
      <c r="B133" s="67" t="s">
        <v>1300</v>
      </c>
      <c r="C133" s="67"/>
      <c r="D133" s="67"/>
      <c r="E133" s="67"/>
      <c r="F133" s="68"/>
      <c r="G133" s="67"/>
      <c r="H133" s="67"/>
      <c r="I133" s="68"/>
      <c r="J133" s="67"/>
      <c r="K133" s="68"/>
      <c r="L133" s="67"/>
      <c r="M133" s="68"/>
      <c r="N133" s="67"/>
      <c r="O133" s="67"/>
      <c r="P133" s="67"/>
      <c r="Q133" s="67"/>
    </row>
    <row r="134" spans="1:18" x14ac:dyDescent="0.15">
      <c r="B134" s="86" t="s">
        <v>1144</v>
      </c>
    </row>
    <row r="135" spans="1:18" x14ac:dyDescent="0.15">
      <c r="B135" s="14" t="s">
        <v>1143</v>
      </c>
    </row>
    <row r="136" spans="1:18" x14ac:dyDescent="0.15">
      <c r="B136" s="86" t="s">
        <v>691</v>
      </c>
    </row>
    <row r="137" spans="1:18" x14ac:dyDescent="0.15">
      <c r="B137" s="86"/>
    </row>
    <row r="138" spans="1:18" x14ac:dyDescent="0.15">
      <c r="B138" s="69" t="s">
        <v>879</v>
      </c>
      <c r="C138" s="70" t="s">
        <v>1271</v>
      </c>
      <c r="D138" s="58"/>
      <c r="E138" s="59"/>
      <c r="F138" s="58"/>
      <c r="G138" s="58"/>
      <c r="H138" s="58"/>
      <c r="I138" s="71"/>
      <c r="K138" s="69" t="s">
        <v>879</v>
      </c>
      <c r="L138" s="70" t="s">
        <v>1272</v>
      </c>
      <c r="M138" s="58"/>
      <c r="N138" s="59"/>
      <c r="O138" s="58"/>
      <c r="P138" s="58"/>
      <c r="Q138" s="58"/>
      <c r="R138" s="71"/>
    </row>
    <row r="139" spans="1:18" x14ac:dyDescent="0.15">
      <c r="B139" s="72" t="s">
        <v>1060</v>
      </c>
      <c r="C139" s="32" t="s">
        <v>1296</v>
      </c>
      <c r="D139" s="32"/>
      <c r="E139" s="61"/>
      <c r="F139" s="32"/>
      <c r="G139" s="32"/>
      <c r="H139" s="32"/>
      <c r="I139" s="73"/>
      <c r="K139" s="72" t="s">
        <v>1061</v>
      </c>
      <c r="L139" s="32" t="s">
        <v>1297</v>
      </c>
      <c r="M139" s="32"/>
      <c r="N139" s="61"/>
      <c r="O139" s="32"/>
      <c r="P139" s="32"/>
      <c r="Q139" s="32"/>
      <c r="R139" s="73"/>
    </row>
    <row r="140" spans="1:18" x14ac:dyDescent="0.15">
      <c r="B140" s="72"/>
      <c r="C140" s="32" t="s">
        <v>1273</v>
      </c>
      <c r="D140" s="32"/>
      <c r="E140" s="32"/>
      <c r="F140" s="32"/>
      <c r="G140" s="32"/>
      <c r="H140" s="32"/>
      <c r="I140" s="73"/>
      <c r="K140" s="72"/>
      <c r="L140" s="32" t="s">
        <v>1273</v>
      </c>
      <c r="M140" s="32"/>
      <c r="N140" s="32"/>
      <c r="O140" s="32"/>
      <c r="P140" s="32"/>
      <c r="Q140" s="32"/>
      <c r="R140" s="73"/>
    </row>
    <row r="141" spans="1:18" x14ac:dyDescent="0.15">
      <c r="B141" s="74" t="s">
        <v>887</v>
      </c>
      <c r="C141" s="62" t="s">
        <v>1146</v>
      </c>
      <c r="D141" s="62"/>
      <c r="E141" s="63"/>
      <c r="F141" s="62"/>
      <c r="G141" s="62"/>
      <c r="H141" s="62"/>
      <c r="I141" s="75"/>
      <c r="K141" s="74" t="s">
        <v>887</v>
      </c>
      <c r="L141" s="62" t="s">
        <v>1146</v>
      </c>
      <c r="M141" s="62"/>
      <c r="N141" s="63"/>
      <c r="O141" s="62"/>
      <c r="P141" s="62"/>
      <c r="Q141" s="62"/>
      <c r="R141" s="75"/>
    </row>
    <row r="142" spans="1:18" x14ac:dyDescent="0.15">
      <c r="B142" s="86"/>
    </row>
    <row r="143" spans="1:18" x14ac:dyDescent="0.15">
      <c r="B143" s="76" t="s">
        <v>1291</v>
      </c>
      <c r="K143" s="76" t="s">
        <v>1292</v>
      </c>
    </row>
    <row r="145" spans="2:17" x14ac:dyDescent="0.15">
      <c r="B145" s="80" t="s">
        <v>1150</v>
      </c>
      <c r="C145" s="13" t="s">
        <v>1149</v>
      </c>
      <c r="D145" s="13"/>
      <c r="E145" s="13"/>
      <c r="K145" s="80" t="s">
        <v>1150</v>
      </c>
      <c r="L145" s="13" t="s">
        <v>1149</v>
      </c>
      <c r="M145" s="13"/>
      <c r="N145" s="13"/>
      <c r="O145" s="13"/>
      <c r="P145" s="13"/>
    </row>
    <row r="146" spans="2:17" x14ac:dyDescent="0.15">
      <c r="B146" s="17">
        <v>1</v>
      </c>
      <c r="C146" s="82" t="str">
        <f t="shared" ref="C146:E156" si="10">GetUniqSSRGT(C$10:C$21,$B146)</f>
        <v>122/180</v>
      </c>
      <c r="D146" s="82" t="str">
        <f t="shared" si="10"/>
        <v>100/140</v>
      </c>
      <c r="E146" s="82" t="str">
        <f t="shared" si="10"/>
        <v>100/110</v>
      </c>
      <c r="F146" s="79" t="s">
        <v>1192</v>
      </c>
      <c r="K146" s="17">
        <v>1</v>
      </c>
      <c r="L146" s="82" t="str">
        <f t="shared" ref="L146:P149" si="11">GetUniqSNPGT(L$10:L$21,$K146)</f>
        <v>AA</v>
      </c>
      <c r="M146" s="82" t="str">
        <f t="shared" si="11"/>
        <v>CT</v>
      </c>
      <c r="N146" s="82" t="str">
        <f t="shared" si="11"/>
        <v>GG</v>
      </c>
      <c r="O146" s="82" t="str">
        <f t="shared" si="11"/>
        <v>AA</v>
      </c>
      <c r="P146" s="82" t="str">
        <f t="shared" si="11"/>
        <v>AT</v>
      </c>
      <c r="Q146" s="79" t="s">
        <v>1193</v>
      </c>
    </row>
    <row r="147" spans="2:17" x14ac:dyDescent="0.15">
      <c r="B147" s="17">
        <v>2</v>
      </c>
      <c r="C147" s="83" t="str">
        <f t="shared" si="10"/>
        <v>140/182</v>
      </c>
      <c r="D147" s="83" t="str">
        <f t="shared" si="10"/>
        <v>110/150</v>
      </c>
      <c r="E147" s="83" t="str">
        <f t="shared" si="10"/>
        <v>100/100</v>
      </c>
      <c r="K147" s="17">
        <v>2</v>
      </c>
      <c r="L147" s="83" t="str">
        <f t="shared" si="11"/>
        <v>AG</v>
      </c>
      <c r="M147" s="83" t="str">
        <f t="shared" si="11"/>
        <v>TT</v>
      </c>
      <c r="N147" s="83" t="str">
        <f t="shared" si="11"/>
        <v>AA</v>
      </c>
      <c r="O147" s="83" t="str">
        <f t="shared" si="11"/>
        <v>TT</v>
      </c>
      <c r="P147" s="83" t="str">
        <f t="shared" si="11"/>
        <v>AA</v>
      </c>
    </row>
    <row r="148" spans="2:17" x14ac:dyDescent="0.15">
      <c r="B148" s="17">
        <v>3</v>
      </c>
      <c r="C148" s="83" t="str">
        <f t="shared" si="10"/>
        <v>150/155</v>
      </c>
      <c r="D148" s="83" t="str">
        <f t="shared" si="10"/>
        <v>100/120</v>
      </c>
      <c r="E148" s="83" t="str">
        <f t="shared" si="10"/>
        <v>110/110</v>
      </c>
      <c r="K148" s="17">
        <v>3</v>
      </c>
      <c r="L148" s="83" t="str">
        <f t="shared" si="11"/>
        <v>GG</v>
      </c>
      <c r="M148" s="83" t="str">
        <f t="shared" si="11"/>
        <v>CC</v>
      </c>
      <c r="N148" s="83" t="str">
        <f t="shared" si="11"/>
        <v>AG</v>
      </c>
      <c r="O148" s="83" t="str">
        <f t="shared" si="11"/>
        <v/>
      </c>
      <c r="P148" s="83" t="str">
        <f t="shared" si="11"/>
        <v>CG</v>
      </c>
    </row>
    <row r="149" spans="2:17" x14ac:dyDescent="0.15">
      <c r="B149" s="17">
        <v>4</v>
      </c>
      <c r="C149" s="83" t="str">
        <f t="shared" si="10"/>
        <v>160/160</v>
      </c>
      <c r="D149" s="83" t="str">
        <f t="shared" si="10"/>
        <v>110/130</v>
      </c>
      <c r="E149" s="83" t="str">
        <f t="shared" si="10"/>
        <v>110/115</v>
      </c>
      <c r="K149" s="63">
        <v>4</v>
      </c>
      <c r="L149" s="84" t="str">
        <f t="shared" si="11"/>
        <v/>
      </c>
      <c r="M149" s="84" t="str">
        <f t="shared" si="11"/>
        <v/>
      </c>
      <c r="N149" s="84" t="str">
        <f t="shared" si="11"/>
        <v>NN</v>
      </c>
      <c r="O149" s="84" t="str">
        <f t="shared" si="11"/>
        <v/>
      </c>
      <c r="P149" s="84" t="str">
        <f t="shared" si="11"/>
        <v/>
      </c>
    </row>
    <row r="150" spans="2:17" x14ac:dyDescent="0.15">
      <c r="B150" s="17">
        <v>5</v>
      </c>
      <c r="C150" s="83" t="str">
        <f t="shared" si="10"/>
        <v>100/140</v>
      </c>
      <c r="D150" s="83" t="str">
        <f t="shared" si="10"/>
        <v>120/140</v>
      </c>
      <c r="E150" s="83" t="str">
        <f t="shared" si="10"/>
        <v/>
      </c>
    </row>
    <row r="151" spans="2:17" x14ac:dyDescent="0.15">
      <c r="B151" s="17">
        <v>6</v>
      </c>
      <c r="C151" s="83" t="str">
        <f t="shared" si="10"/>
        <v>110/150</v>
      </c>
      <c r="D151" s="83" t="str">
        <f t="shared" si="10"/>
        <v>100/150</v>
      </c>
      <c r="E151" s="83" t="str">
        <f t="shared" si="10"/>
        <v/>
      </c>
    </row>
    <row r="152" spans="2:17" x14ac:dyDescent="0.15">
      <c r="B152" s="17">
        <v>7</v>
      </c>
      <c r="C152" s="83" t="str">
        <f t="shared" si="10"/>
        <v>112/130</v>
      </c>
      <c r="D152" s="83" t="str">
        <f t="shared" si="10"/>
        <v>110/160</v>
      </c>
      <c r="E152" s="83" t="str">
        <f t="shared" si="10"/>
        <v/>
      </c>
    </row>
    <row r="153" spans="2:17" x14ac:dyDescent="0.15">
      <c r="B153" s="17">
        <v>8</v>
      </c>
      <c r="C153" s="83" t="str">
        <f t="shared" si="10"/>
        <v>100/150</v>
      </c>
      <c r="D153" s="83" t="str">
        <f t="shared" si="10"/>
        <v>105/120</v>
      </c>
      <c r="E153" s="83" t="str">
        <f t="shared" si="10"/>
        <v/>
      </c>
    </row>
    <row r="154" spans="2:17" x14ac:dyDescent="0.15">
      <c r="B154" s="17">
        <v>9</v>
      </c>
      <c r="C154" s="83" t="str">
        <f t="shared" si="10"/>
        <v>110/160</v>
      </c>
      <c r="D154" s="83" t="str">
        <f t="shared" si="10"/>
        <v>150/150</v>
      </c>
      <c r="E154" s="83" t="str">
        <f t="shared" si="10"/>
        <v/>
      </c>
    </row>
    <row r="155" spans="2:17" x14ac:dyDescent="0.15">
      <c r="B155" s="17">
        <v>10</v>
      </c>
      <c r="C155" s="83" t="str">
        <f t="shared" si="10"/>
        <v>105/120</v>
      </c>
      <c r="D155" s="83" t="str">
        <f t="shared" si="10"/>
        <v>160/160</v>
      </c>
      <c r="E155" s="83" t="str">
        <f t="shared" si="10"/>
        <v/>
      </c>
    </row>
    <row r="156" spans="2:17" x14ac:dyDescent="0.15">
      <c r="B156" s="63">
        <v>11</v>
      </c>
      <c r="C156" s="84" t="str">
        <f t="shared" si="10"/>
        <v/>
      </c>
      <c r="D156" s="84" t="str">
        <f t="shared" si="10"/>
        <v/>
      </c>
      <c r="E156" s="84" t="str">
        <f t="shared" si="10"/>
        <v/>
      </c>
    </row>
    <row r="159" spans="2:17" x14ac:dyDescent="0.15">
      <c r="B159" s="69" t="s">
        <v>879</v>
      </c>
      <c r="C159" s="70" t="s">
        <v>1274</v>
      </c>
      <c r="D159" s="58"/>
      <c r="E159" s="59"/>
      <c r="F159" s="58"/>
      <c r="G159" s="58"/>
      <c r="H159" s="58"/>
      <c r="I159" s="71"/>
    </row>
    <row r="160" spans="2:17" x14ac:dyDescent="0.15">
      <c r="B160" s="72" t="s">
        <v>1060</v>
      </c>
      <c r="C160" s="32" t="s">
        <v>1298</v>
      </c>
      <c r="D160" s="32"/>
      <c r="E160" s="61"/>
      <c r="F160" s="32"/>
      <c r="G160" s="32"/>
      <c r="H160" s="32"/>
      <c r="I160" s="73"/>
    </row>
    <row r="161" spans="1:17" x14ac:dyDescent="0.15">
      <c r="B161" s="72"/>
      <c r="C161" s="32" t="s">
        <v>1273</v>
      </c>
      <c r="D161" s="32"/>
      <c r="E161" s="32"/>
      <c r="F161" s="32"/>
      <c r="G161" s="32"/>
      <c r="H161" s="32"/>
      <c r="I161" s="73"/>
    </row>
    <row r="162" spans="1:17" x14ac:dyDescent="0.15">
      <c r="B162" s="74" t="s">
        <v>887</v>
      </c>
      <c r="C162" s="62" t="s">
        <v>1146</v>
      </c>
      <c r="D162" s="62"/>
      <c r="E162" s="63"/>
      <c r="F162" s="62"/>
      <c r="G162" s="62"/>
      <c r="H162" s="62"/>
      <c r="I162" s="75"/>
    </row>
    <row r="163" spans="1:17" x14ac:dyDescent="0.15">
      <c r="B163" s="86"/>
    </row>
    <row r="164" spans="1:17" x14ac:dyDescent="0.15">
      <c r="B164" s="76" t="s">
        <v>1291</v>
      </c>
    </row>
    <row r="166" spans="1:17" x14ac:dyDescent="0.15">
      <c r="B166" s="80" t="s">
        <v>1150</v>
      </c>
      <c r="C166" s="13" t="s">
        <v>1149</v>
      </c>
      <c r="D166" s="13"/>
      <c r="E166" s="13"/>
    </row>
    <row r="167" spans="1:17" x14ac:dyDescent="0.15">
      <c r="B167" s="17">
        <v>1</v>
      </c>
      <c r="C167" s="82" t="str">
        <f>GetUniqMGT(C$26:C$37,$B167)</f>
        <v>A</v>
      </c>
      <c r="D167" s="82" t="str">
        <f t="shared" ref="D167:E167" si="12">GetUniqMGT(D$26:D$37,$B167)</f>
        <v>A</v>
      </c>
      <c r="E167" s="82" t="str">
        <f t="shared" si="12"/>
        <v>B</v>
      </c>
      <c r="F167" s="79" t="s">
        <v>1191</v>
      </c>
    </row>
    <row r="168" spans="1:17" x14ac:dyDescent="0.15">
      <c r="B168" s="17">
        <v>2</v>
      </c>
      <c r="C168" s="83" t="str">
        <f t="shared" ref="C168:E170" si="13">GetUniqMGT(C$26:C$37,$B168)</f>
        <v>B</v>
      </c>
      <c r="D168" s="83" t="str">
        <f t="shared" si="13"/>
        <v>H</v>
      </c>
      <c r="E168" s="83" t="str">
        <f t="shared" si="13"/>
        <v/>
      </c>
    </row>
    <row r="169" spans="1:17" x14ac:dyDescent="0.15">
      <c r="B169" s="17">
        <v>3</v>
      </c>
      <c r="C169" s="83" t="str">
        <f t="shared" si="13"/>
        <v>H</v>
      </c>
      <c r="D169" s="83" t="str">
        <f t="shared" si="13"/>
        <v/>
      </c>
      <c r="E169" s="83" t="str">
        <f t="shared" si="13"/>
        <v/>
      </c>
    </row>
    <row r="170" spans="1:17" x14ac:dyDescent="0.15">
      <c r="B170" s="63">
        <v>4</v>
      </c>
      <c r="C170" s="84" t="str">
        <f t="shared" si="13"/>
        <v/>
      </c>
      <c r="D170" s="84" t="str">
        <f t="shared" si="13"/>
        <v/>
      </c>
      <c r="E170" s="84" t="str">
        <f t="shared" si="13"/>
        <v/>
      </c>
    </row>
    <row r="171" spans="1:17" x14ac:dyDescent="0.15">
      <c r="B171" s="32"/>
    </row>
    <row r="173" spans="1:17" x14ac:dyDescent="0.15">
      <c r="A173" s="66" t="s">
        <v>414</v>
      </c>
      <c r="B173" s="67" t="s">
        <v>1301</v>
      </c>
      <c r="C173" s="67"/>
      <c r="D173" s="67"/>
      <c r="E173" s="67"/>
      <c r="F173" s="68"/>
      <c r="G173" s="67"/>
      <c r="H173" s="67"/>
      <c r="I173" s="68"/>
      <c r="J173" s="67"/>
      <c r="K173" s="68"/>
      <c r="L173" s="67"/>
      <c r="M173" s="68"/>
      <c r="N173" s="67"/>
      <c r="O173" s="67"/>
      <c r="P173" s="67"/>
      <c r="Q173" s="67"/>
    </row>
    <row r="174" spans="1:17" x14ac:dyDescent="0.15">
      <c r="B174" s="14" t="s">
        <v>621</v>
      </c>
    </row>
    <row r="175" spans="1:17" x14ac:dyDescent="0.15">
      <c r="B175" s="14" t="s">
        <v>622</v>
      </c>
    </row>
    <row r="177" spans="2:14" x14ac:dyDescent="0.15">
      <c r="B177" s="55" t="s">
        <v>1302</v>
      </c>
      <c r="C177" s="56"/>
      <c r="D177" s="56"/>
      <c r="E177" s="56"/>
      <c r="K177" s="55" t="s">
        <v>1303</v>
      </c>
      <c r="L177" s="56"/>
      <c r="M177" s="56"/>
      <c r="N177" s="56"/>
    </row>
    <row r="179" spans="2:14" x14ac:dyDescent="0.15">
      <c r="B179" s="13" t="s">
        <v>692</v>
      </c>
      <c r="C179" s="57" t="s">
        <v>545</v>
      </c>
      <c r="D179" s="57" t="s">
        <v>192</v>
      </c>
      <c r="E179" s="57" t="s">
        <v>193</v>
      </c>
      <c r="K179" s="13" t="s">
        <v>692</v>
      </c>
      <c r="L179" s="57" t="s">
        <v>545</v>
      </c>
      <c r="M179" s="57" t="s">
        <v>192</v>
      </c>
      <c r="N179" s="57" t="s">
        <v>193</v>
      </c>
    </row>
    <row r="180" spans="2:14" x14ac:dyDescent="0.25">
      <c r="B180" s="58" t="s">
        <v>546</v>
      </c>
      <c r="C180" s="59" t="s">
        <v>542</v>
      </c>
      <c r="D180" s="59" t="s">
        <v>558</v>
      </c>
      <c r="E180" s="59" t="s">
        <v>568</v>
      </c>
      <c r="K180" s="58" t="s">
        <v>546</v>
      </c>
      <c r="L180" s="60" t="s">
        <v>116</v>
      </c>
      <c r="M180" s="60" t="s">
        <v>574</v>
      </c>
      <c r="N180" s="60" t="s">
        <v>572</v>
      </c>
    </row>
    <row r="181" spans="2:14" x14ac:dyDescent="0.25">
      <c r="B181" s="32" t="s">
        <v>554</v>
      </c>
      <c r="C181" s="61" t="s">
        <v>175</v>
      </c>
      <c r="D181" s="61" t="s">
        <v>175</v>
      </c>
      <c r="E181" s="61" t="s">
        <v>175</v>
      </c>
      <c r="K181" s="32" t="s">
        <v>554</v>
      </c>
      <c r="L181" s="60" t="s">
        <v>569</v>
      </c>
      <c r="M181" s="60" t="s">
        <v>580</v>
      </c>
      <c r="N181" s="60" t="s">
        <v>575</v>
      </c>
    </row>
    <row r="182" spans="2:14" x14ac:dyDescent="0.25">
      <c r="B182" s="32" t="s">
        <v>547</v>
      </c>
      <c r="C182" s="61" t="s">
        <v>177</v>
      </c>
      <c r="D182" s="61" t="s">
        <v>177</v>
      </c>
      <c r="E182" s="61" t="s">
        <v>177</v>
      </c>
      <c r="K182" s="32" t="s">
        <v>547</v>
      </c>
      <c r="L182" s="60" t="s">
        <v>46</v>
      </c>
      <c r="M182" s="60" t="s">
        <v>46</v>
      </c>
      <c r="N182" s="60" t="s">
        <v>46</v>
      </c>
    </row>
    <row r="183" spans="2:14" x14ac:dyDescent="0.25">
      <c r="B183" s="32" t="s">
        <v>210</v>
      </c>
      <c r="C183" s="61" t="s">
        <v>179</v>
      </c>
      <c r="D183" s="61" t="s">
        <v>559</v>
      </c>
      <c r="E183" s="61" t="s">
        <v>179</v>
      </c>
      <c r="K183" s="32" t="s">
        <v>210</v>
      </c>
      <c r="L183" s="60" t="s">
        <v>570</v>
      </c>
      <c r="M183" s="60" t="s">
        <v>576</v>
      </c>
      <c r="N183" s="60" t="s">
        <v>577</v>
      </c>
    </row>
    <row r="184" spans="2:14" x14ac:dyDescent="0.25">
      <c r="B184" s="32" t="s">
        <v>211</v>
      </c>
      <c r="C184" s="61" t="s">
        <v>181</v>
      </c>
      <c r="D184" s="61" t="s">
        <v>174</v>
      </c>
      <c r="E184" s="61" t="s">
        <v>174</v>
      </c>
      <c r="K184" s="32" t="s">
        <v>211</v>
      </c>
      <c r="L184" s="60" t="s">
        <v>120</v>
      </c>
      <c r="M184" s="60" t="s">
        <v>578</v>
      </c>
      <c r="N184" s="60" t="s">
        <v>120</v>
      </c>
    </row>
    <row r="185" spans="2:14" x14ac:dyDescent="0.25">
      <c r="B185" s="32" t="s">
        <v>548</v>
      </c>
      <c r="C185" s="61" t="s">
        <v>176</v>
      </c>
      <c r="D185" s="61" t="s">
        <v>560</v>
      </c>
      <c r="E185" s="61" t="s">
        <v>176</v>
      </c>
      <c r="K185" s="32" t="s">
        <v>548</v>
      </c>
      <c r="L185" s="60" t="s">
        <v>46</v>
      </c>
      <c r="M185" s="60" t="s">
        <v>46</v>
      </c>
      <c r="N185" s="60" t="s">
        <v>576</v>
      </c>
    </row>
    <row r="186" spans="2:14" x14ac:dyDescent="0.25">
      <c r="B186" s="32" t="s">
        <v>549</v>
      </c>
      <c r="C186" s="61" t="s">
        <v>542</v>
      </c>
      <c r="D186" s="61" t="s">
        <v>542</v>
      </c>
      <c r="E186" s="61" t="s">
        <v>542</v>
      </c>
      <c r="K186" s="32" t="s">
        <v>549</v>
      </c>
      <c r="L186" s="60" t="s">
        <v>571</v>
      </c>
      <c r="M186" s="60" t="s">
        <v>572</v>
      </c>
      <c r="N186" s="60" t="s">
        <v>571</v>
      </c>
    </row>
    <row r="187" spans="2:14" x14ac:dyDescent="0.25">
      <c r="B187" s="32" t="s">
        <v>550</v>
      </c>
      <c r="C187" s="61" t="s">
        <v>184</v>
      </c>
      <c r="D187" s="61" t="s">
        <v>556</v>
      </c>
      <c r="E187" s="61" t="s">
        <v>557</v>
      </c>
      <c r="K187" s="32" t="s">
        <v>550</v>
      </c>
      <c r="L187" s="60" t="s">
        <v>572</v>
      </c>
      <c r="M187" s="60" t="s">
        <v>576</v>
      </c>
      <c r="N187" s="60" t="s">
        <v>572</v>
      </c>
    </row>
    <row r="188" spans="2:14" x14ac:dyDescent="0.25">
      <c r="B188" s="32" t="s">
        <v>551</v>
      </c>
      <c r="C188" s="61" t="s">
        <v>542</v>
      </c>
      <c r="D188" s="61" t="s">
        <v>561</v>
      </c>
      <c r="E188" s="61" t="s">
        <v>542</v>
      </c>
      <c r="K188" s="32" t="s">
        <v>551</v>
      </c>
      <c r="L188" s="60" t="s">
        <v>573</v>
      </c>
      <c r="M188" s="60" t="s">
        <v>573</v>
      </c>
      <c r="N188" s="60" t="s">
        <v>570</v>
      </c>
    </row>
    <row r="189" spans="2:14" x14ac:dyDescent="0.25">
      <c r="B189" s="32" t="s">
        <v>552</v>
      </c>
      <c r="C189" s="61" t="s">
        <v>182</v>
      </c>
      <c r="D189" s="61" t="s">
        <v>562</v>
      </c>
      <c r="E189" s="61" t="s">
        <v>182</v>
      </c>
      <c r="K189" s="32" t="s">
        <v>552</v>
      </c>
      <c r="L189" s="60" t="s">
        <v>46</v>
      </c>
      <c r="M189" s="60" t="s">
        <v>46</v>
      </c>
      <c r="N189" s="60" t="s">
        <v>576</v>
      </c>
    </row>
    <row r="190" spans="2:14" x14ac:dyDescent="0.25">
      <c r="B190" s="32" t="s">
        <v>553</v>
      </c>
      <c r="C190" s="61" t="s">
        <v>183</v>
      </c>
      <c r="D190" s="61" t="s">
        <v>563</v>
      </c>
      <c r="E190" s="61" t="s">
        <v>183</v>
      </c>
      <c r="K190" s="32" t="s">
        <v>553</v>
      </c>
      <c r="L190" s="60" t="s">
        <v>570</v>
      </c>
      <c r="M190" s="60" t="s">
        <v>581</v>
      </c>
      <c r="N190" s="60" t="s">
        <v>579</v>
      </c>
    </row>
    <row r="191" spans="2:14" x14ac:dyDescent="0.25">
      <c r="B191" s="62" t="s">
        <v>555</v>
      </c>
      <c r="C191" s="63" t="s">
        <v>185</v>
      </c>
      <c r="D191" s="63" t="s">
        <v>564</v>
      </c>
      <c r="E191" s="63" t="s">
        <v>185</v>
      </c>
      <c r="K191" s="62" t="s">
        <v>555</v>
      </c>
      <c r="L191" s="64" t="s">
        <v>121</v>
      </c>
      <c r="M191" s="64" t="s">
        <v>582</v>
      </c>
      <c r="N191" s="64" t="s">
        <v>583</v>
      </c>
    </row>
    <row r="193" spans="2:18" x14ac:dyDescent="0.15">
      <c r="B193" s="76" t="s">
        <v>1304</v>
      </c>
      <c r="K193" s="76" t="s">
        <v>1305</v>
      </c>
    </row>
    <row r="194" spans="2:18" x14ac:dyDescent="0.15">
      <c r="B194" s="76"/>
      <c r="K194" s="76"/>
    </row>
    <row r="195" spans="2:18" x14ac:dyDescent="0.15">
      <c r="B195" s="69" t="s">
        <v>879</v>
      </c>
      <c r="C195" s="70" t="s">
        <v>1275</v>
      </c>
      <c r="D195" s="58"/>
      <c r="E195" s="59"/>
      <c r="F195" s="58"/>
      <c r="G195" s="58"/>
      <c r="H195" s="58"/>
      <c r="I195" s="71"/>
      <c r="K195" s="69" t="s">
        <v>879</v>
      </c>
      <c r="L195" s="70" t="s">
        <v>1276</v>
      </c>
      <c r="M195" s="58"/>
      <c r="N195" s="59"/>
      <c r="O195" s="58"/>
      <c r="P195" s="58"/>
      <c r="Q195" s="58"/>
      <c r="R195" s="71"/>
    </row>
    <row r="196" spans="2:18" x14ac:dyDescent="0.15">
      <c r="B196" s="72" t="s">
        <v>1060</v>
      </c>
      <c r="C196" s="32" t="s">
        <v>1277</v>
      </c>
      <c r="D196" s="32"/>
      <c r="E196" s="61"/>
      <c r="F196" s="32"/>
      <c r="G196" s="32"/>
      <c r="H196" s="32"/>
      <c r="I196" s="73"/>
      <c r="K196" s="72" t="s">
        <v>1061</v>
      </c>
      <c r="L196" s="32" t="s">
        <v>1278</v>
      </c>
      <c r="M196" s="32"/>
      <c r="N196" s="61"/>
      <c r="O196" s="32"/>
      <c r="P196" s="32"/>
      <c r="Q196" s="32"/>
      <c r="R196" s="73"/>
    </row>
    <row r="197" spans="2:18" x14ac:dyDescent="0.15">
      <c r="B197" s="74" t="s">
        <v>887</v>
      </c>
      <c r="C197" s="62" t="s">
        <v>1064</v>
      </c>
      <c r="D197" s="62"/>
      <c r="E197" s="63"/>
      <c r="F197" s="62"/>
      <c r="G197" s="62"/>
      <c r="H197" s="62"/>
      <c r="I197" s="75"/>
      <c r="K197" s="74" t="s">
        <v>887</v>
      </c>
      <c r="L197" s="62" t="s">
        <v>1065</v>
      </c>
      <c r="M197" s="62"/>
      <c r="N197" s="63"/>
      <c r="O197" s="62"/>
      <c r="P197" s="62"/>
      <c r="Q197" s="62"/>
      <c r="R197" s="75"/>
    </row>
    <row r="198" spans="2:18" x14ac:dyDescent="0.15">
      <c r="B198" s="76"/>
      <c r="K198" s="76"/>
    </row>
    <row r="199" spans="2:18" x14ac:dyDescent="0.15">
      <c r="C199" s="80" t="s">
        <v>565</v>
      </c>
      <c r="D199" s="80" t="s">
        <v>566</v>
      </c>
      <c r="E199" s="80" t="s">
        <v>567</v>
      </c>
      <c r="L199" s="80" t="s">
        <v>565</v>
      </c>
      <c r="M199" s="80" t="s">
        <v>566</v>
      </c>
      <c r="N199" s="80" t="s">
        <v>567</v>
      </c>
    </row>
    <row r="200" spans="2:18" x14ac:dyDescent="0.15">
      <c r="B200" s="77" t="s">
        <v>623</v>
      </c>
      <c r="C200" s="87">
        <f>SSRMatchedRatio(C180:C191,D180:D191)</f>
        <v>0.33333333333333331</v>
      </c>
      <c r="D200" s="87">
        <f>SSRMatchedRatio(C180:C191,E180:E191)</f>
        <v>0.75</v>
      </c>
      <c r="E200" s="87">
        <f>SSRMatchedRatio(D180:D191,E180:E191)</f>
        <v>0.41666666666666669</v>
      </c>
      <c r="F200" s="79" t="s">
        <v>630</v>
      </c>
      <c r="K200" s="77" t="s">
        <v>623</v>
      </c>
      <c r="L200" s="87">
        <f>SNPMatchedRatio(L180:L191,M180:M191)</f>
        <v>0.41666666666666669</v>
      </c>
      <c r="M200" s="87">
        <f>SNPMatchedRatio(L180:L191,N180:N191)</f>
        <v>0.5</v>
      </c>
      <c r="N200" s="87">
        <f>SNPMatchedRatio(M180:M191,N180:N191)</f>
        <v>8.3333333333333329E-2</v>
      </c>
      <c r="O200" s="79" t="s">
        <v>629</v>
      </c>
    </row>
    <row r="203" spans="2:18" x14ac:dyDescent="0.15">
      <c r="B203" s="55" t="s">
        <v>1306</v>
      </c>
      <c r="C203" s="56"/>
      <c r="D203" s="56"/>
      <c r="E203" s="56"/>
      <c r="K203" s="55" t="s">
        <v>1307</v>
      </c>
      <c r="L203" s="56"/>
      <c r="M203" s="56"/>
      <c r="N203" s="56"/>
    </row>
    <row r="205" spans="2:18" x14ac:dyDescent="0.15">
      <c r="B205" s="13" t="s">
        <v>692</v>
      </c>
      <c r="C205" s="57" t="s">
        <v>545</v>
      </c>
      <c r="D205" s="57" t="s">
        <v>192</v>
      </c>
      <c r="E205" s="57" t="s">
        <v>193</v>
      </c>
      <c r="K205" s="13" t="s">
        <v>692</v>
      </c>
      <c r="L205" s="57" t="s">
        <v>545</v>
      </c>
      <c r="M205" s="57" t="s">
        <v>192</v>
      </c>
      <c r="N205" s="57" t="s">
        <v>193</v>
      </c>
    </row>
    <row r="206" spans="2:18" x14ac:dyDescent="0.15">
      <c r="B206" s="58" t="s">
        <v>546</v>
      </c>
      <c r="C206" s="59" t="s">
        <v>12</v>
      </c>
      <c r="D206" s="59" t="s">
        <v>12</v>
      </c>
      <c r="E206" s="59" t="s">
        <v>11</v>
      </c>
      <c r="K206" s="58" t="s">
        <v>546</v>
      </c>
      <c r="L206" s="59" t="s">
        <v>84</v>
      </c>
      <c r="M206" s="59" t="s">
        <v>85</v>
      </c>
      <c r="N206" s="59" t="s">
        <v>85</v>
      </c>
    </row>
    <row r="207" spans="2:18" x14ac:dyDescent="0.15">
      <c r="B207" s="32" t="s">
        <v>554</v>
      </c>
      <c r="C207" s="61" t="s">
        <v>585</v>
      </c>
      <c r="D207" s="61" t="s">
        <v>12</v>
      </c>
      <c r="E207" s="61" t="s">
        <v>13</v>
      </c>
      <c r="K207" s="32" t="s">
        <v>554</v>
      </c>
      <c r="L207" s="61">
        <v>100</v>
      </c>
      <c r="M207" s="61">
        <v>100</v>
      </c>
      <c r="N207" s="61">
        <v>110</v>
      </c>
    </row>
    <row r="208" spans="2:18" x14ac:dyDescent="0.15">
      <c r="B208" s="32" t="s">
        <v>547</v>
      </c>
      <c r="C208" s="61" t="s">
        <v>12</v>
      </c>
      <c r="D208" s="61" t="s">
        <v>12</v>
      </c>
      <c r="E208" s="61" t="s">
        <v>11</v>
      </c>
      <c r="K208" s="32" t="s">
        <v>547</v>
      </c>
      <c r="L208" s="61">
        <v>95</v>
      </c>
      <c r="M208" s="61">
        <v>120</v>
      </c>
      <c r="N208" s="61">
        <v>95</v>
      </c>
    </row>
    <row r="209" spans="1:18" x14ac:dyDescent="0.15">
      <c r="B209" s="32" t="s">
        <v>210</v>
      </c>
      <c r="C209" s="61" t="s">
        <v>586</v>
      </c>
      <c r="D209" s="61" t="s">
        <v>589</v>
      </c>
      <c r="E209" s="61" t="s">
        <v>588</v>
      </c>
      <c r="K209" s="32" t="s">
        <v>210</v>
      </c>
      <c r="L209" s="61" t="s">
        <v>590</v>
      </c>
      <c r="M209" s="61" t="s">
        <v>590</v>
      </c>
      <c r="N209" s="61" t="s">
        <v>591</v>
      </c>
    </row>
    <row r="210" spans="1:18" x14ac:dyDescent="0.15">
      <c r="B210" s="62" t="s">
        <v>211</v>
      </c>
      <c r="C210" s="63" t="s">
        <v>587</v>
      </c>
      <c r="D210" s="63" t="s">
        <v>587</v>
      </c>
      <c r="E210" s="63" t="s">
        <v>586</v>
      </c>
      <c r="K210" s="62" t="s">
        <v>211</v>
      </c>
      <c r="L210" s="63" t="s">
        <v>592</v>
      </c>
      <c r="M210" s="63" t="s">
        <v>593</v>
      </c>
      <c r="N210" s="63" t="s">
        <v>589</v>
      </c>
    </row>
    <row r="212" spans="1:18" x14ac:dyDescent="0.15">
      <c r="B212" s="76" t="s">
        <v>1308</v>
      </c>
      <c r="K212" s="76" t="s">
        <v>1309</v>
      </c>
    </row>
    <row r="213" spans="1:18" x14ac:dyDescent="0.15">
      <c r="B213" s="76"/>
      <c r="K213" s="76"/>
    </row>
    <row r="214" spans="1:18" x14ac:dyDescent="0.15">
      <c r="B214" s="69" t="s">
        <v>879</v>
      </c>
      <c r="C214" s="70" t="s">
        <v>1279</v>
      </c>
      <c r="D214" s="58"/>
      <c r="E214" s="59"/>
      <c r="F214" s="58"/>
      <c r="G214" s="58"/>
      <c r="H214" s="58"/>
      <c r="I214" s="71"/>
      <c r="K214" s="69" t="s">
        <v>879</v>
      </c>
      <c r="L214" s="70" t="s">
        <v>1280</v>
      </c>
      <c r="M214" s="58"/>
      <c r="N214" s="59"/>
      <c r="O214" s="58"/>
      <c r="P214" s="58"/>
      <c r="Q214" s="58"/>
      <c r="R214" s="71"/>
    </row>
    <row r="215" spans="1:18" x14ac:dyDescent="0.15">
      <c r="B215" s="72" t="s">
        <v>1060</v>
      </c>
      <c r="C215" s="32" t="s">
        <v>1281</v>
      </c>
      <c r="D215" s="32"/>
      <c r="E215" s="61"/>
      <c r="F215" s="32"/>
      <c r="G215" s="32"/>
      <c r="H215" s="32"/>
      <c r="I215" s="73"/>
      <c r="K215" s="72" t="s">
        <v>1061</v>
      </c>
      <c r="L215" s="32" t="s">
        <v>1282</v>
      </c>
      <c r="M215" s="32"/>
      <c r="N215" s="61"/>
      <c r="O215" s="32"/>
      <c r="P215" s="32"/>
      <c r="Q215" s="32"/>
      <c r="R215" s="73"/>
    </row>
    <row r="216" spans="1:18" x14ac:dyDescent="0.15">
      <c r="B216" s="74" t="s">
        <v>887</v>
      </c>
      <c r="C216" s="62" t="s">
        <v>1063</v>
      </c>
      <c r="D216" s="62"/>
      <c r="E216" s="63"/>
      <c r="F216" s="62"/>
      <c r="G216" s="62"/>
      <c r="H216" s="62"/>
      <c r="I216" s="75"/>
      <c r="K216" s="74" t="s">
        <v>887</v>
      </c>
      <c r="L216" s="62" t="s">
        <v>1062</v>
      </c>
      <c r="M216" s="62"/>
      <c r="N216" s="63"/>
      <c r="O216" s="62"/>
      <c r="P216" s="62"/>
      <c r="Q216" s="62"/>
      <c r="R216" s="75"/>
    </row>
    <row r="217" spans="1:18" x14ac:dyDescent="0.15">
      <c r="B217" s="51"/>
      <c r="K217" s="51"/>
    </row>
    <row r="218" spans="1:18" x14ac:dyDescent="0.15">
      <c r="C218" s="80" t="s">
        <v>565</v>
      </c>
      <c r="D218" s="80" t="s">
        <v>566</v>
      </c>
      <c r="E218" s="80" t="s">
        <v>567</v>
      </c>
      <c r="L218" s="80" t="s">
        <v>565</v>
      </c>
      <c r="M218" s="80" t="s">
        <v>566</v>
      </c>
      <c r="N218" s="80" t="s">
        <v>567</v>
      </c>
    </row>
    <row r="219" spans="1:18" x14ac:dyDescent="0.15">
      <c r="B219" s="77" t="s">
        <v>623</v>
      </c>
      <c r="C219" s="87">
        <f>MMatchedRatio(C206:C210,D206:D210)</f>
        <v>0.6</v>
      </c>
      <c r="D219" s="87">
        <f>MMatchedRatio(C206:C210,E206:E210)</f>
        <v>0</v>
      </c>
      <c r="E219" s="87">
        <f>MMatchedRatio(D206:D210,E206:E210)</f>
        <v>0.2</v>
      </c>
      <c r="F219" s="79" t="s">
        <v>627</v>
      </c>
      <c r="K219" s="77" t="s">
        <v>623</v>
      </c>
      <c r="L219" s="87">
        <f>MatchedRatio(L206:L210,M206:M210)</f>
        <v>0.6</v>
      </c>
      <c r="M219" s="87">
        <f>MatchedRatio(L206:L210,N206:N210)</f>
        <v>0.4</v>
      </c>
      <c r="N219" s="87">
        <f>MatchedRatio(M206:M210,N206:N210)</f>
        <v>0.4</v>
      </c>
      <c r="O219" s="79" t="s">
        <v>628</v>
      </c>
    </row>
    <row r="224" spans="1:18" x14ac:dyDescent="0.15">
      <c r="A224" s="66" t="s">
        <v>393</v>
      </c>
      <c r="B224" s="67" t="s">
        <v>1310</v>
      </c>
      <c r="C224" s="67"/>
      <c r="D224" s="67"/>
      <c r="E224" s="67"/>
      <c r="F224" s="68"/>
      <c r="G224" s="67"/>
      <c r="H224" s="67"/>
      <c r="I224" s="68"/>
      <c r="J224" s="67"/>
      <c r="K224" s="68"/>
      <c r="L224" s="67"/>
      <c r="M224" s="68"/>
      <c r="N224" s="67"/>
      <c r="O224" s="67"/>
      <c r="P224" s="67"/>
      <c r="Q224" s="67"/>
    </row>
    <row r="225" spans="2:18" x14ac:dyDescent="0.15">
      <c r="B225" s="14" t="s">
        <v>693</v>
      </c>
    </row>
    <row r="226" spans="2:18" x14ac:dyDescent="0.15">
      <c r="B226" s="79" t="s">
        <v>694</v>
      </c>
    </row>
    <row r="228" spans="2:18" x14ac:dyDescent="0.15">
      <c r="B228" s="76" t="s">
        <v>1304</v>
      </c>
      <c r="K228" s="76" t="s">
        <v>1305</v>
      </c>
    </row>
    <row r="229" spans="2:18" x14ac:dyDescent="0.15">
      <c r="B229" s="76"/>
      <c r="K229" s="76"/>
    </row>
    <row r="230" spans="2:18" x14ac:dyDescent="0.15">
      <c r="B230" s="69" t="s">
        <v>879</v>
      </c>
      <c r="C230" s="70" t="s">
        <v>1283</v>
      </c>
      <c r="D230" s="58"/>
      <c r="E230" s="59"/>
      <c r="F230" s="58"/>
      <c r="G230" s="58"/>
      <c r="H230" s="58"/>
      <c r="I230" s="71"/>
      <c r="K230" s="69" t="s">
        <v>879</v>
      </c>
      <c r="L230" s="70" t="s">
        <v>1284</v>
      </c>
      <c r="M230" s="58"/>
      <c r="N230" s="59"/>
      <c r="O230" s="58"/>
      <c r="P230" s="58"/>
      <c r="Q230" s="58"/>
      <c r="R230" s="71"/>
    </row>
    <row r="231" spans="2:18" x14ac:dyDescent="0.15">
      <c r="B231" s="72" t="s">
        <v>1060</v>
      </c>
      <c r="C231" s="32" t="s">
        <v>1277</v>
      </c>
      <c r="D231" s="32"/>
      <c r="E231" s="61"/>
      <c r="F231" s="32"/>
      <c r="G231" s="32"/>
      <c r="H231" s="32"/>
      <c r="I231" s="73"/>
      <c r="K231" s="72" t="s">
        <v>1061</v>
      </c>
      <c r="L231" s="32" t="s">
        <v>1278</v>
      </c>
      <c r="M231" s="32"/>
      <c r="N231" s="61"/>
      <c r="O231" s="32"/>
      <c r="P231" s="32"/>
      <c r="Q231" s="32"/>
      <c r="R231" s="73"/>
    </row>
    <row r="232" spans="2:18" x14ac:dyDescent="0.15">
      <c r="B232" s="74" t="s">
        <v>887</v>
      </c>
      <c r="C232" s="62" t="s">
        <v>1066</v>
      </c>
      <c r="D232" s="62"/>
      <c r="E232" s="63"/>
      <c r="F232" s="62"/>
      <c r="G232" s="62"/>
      <c r="H232" s="62"/>
      <c r="I232" s="75"/>
      <c r="K232" s="74" t="s">
        <v>887</v>
      </c>
      <c r="L232" s="62" t="s">
        <v>1067</v>
      </c>
      <c r="M232" s="62"/>
      <c r="N232" s="63"/>
      <c r="O232" s="62"/>
      <c r="P232" s="62"/>
      <c r="Q232" s="62"/>
      <c r="R232" s="75"/>
    </row>
    <row r="233" spans="2:18" x14ac:dyDescent="0.15">
      <c r="B233" s="76"/>
      <c r="K233" s="76"/>
    </row>
    <row r="234" spans="2:18" x14ac:dyDescent="0.15">
      <c r="C234" s="80" t="s">
        <v>565</v>
      </c>
      <c r="D234" s="80" t="s">
        <v>566</v>
      </c>
      <c r="E234" s="80" t="s">
        <v>567</v>
      </c>
      <c r="L234" s="80" t="s">
        <v>565</v>
      </c>
      <c r="M234" s="80" t="s">
        <v>566</v>
      </c>
      <c r="N234" s="80" t="s">
        <v>567</v>
      </c>
    </row>
    <row r="235" spans="2:18" x14ac:dyDescent="0.15">
      <c r="B235" s="77" t="s">
        <v>623</v>
      </c>
      <c r="C235" s="87">
        <f>SSRSharedRatio(C180:C191,D180:D191)</f>
        <v>0.83333333333333337</v>
      </c>
      <c r="D235" s="87">
        <f>SSRSharedRatio(C180:C191,E180:E191)</f>
        <v>1</v>
      </c>
      <c r="E235" s="87">
        <f>SSRSharedRatio(D180:D191,E180:E191)</f>
        <v>0.66666666666666663</v>
      </c>
      <c r="F235" s="79" t="s">
        <v>625</v>
      </c>
      <c r="K235" s="77" t="s">
        <v>623</v>
      </c>
      <c r="L235" s="87">
        <f>SNPSharedRatio(L180:L191,M180:M191)</f>
        <v>0.75</v>
      </c>
      <c r="M235" s="87">
        <f>SNPSharedRatio(L180:L191,N180:N191)</f>
        <v>0.91666666666666663</v>
      </c>
      <c r="N235" s="87">
        <f>SNPSharedRatio(M180:M191,N180:N191)</f>
        <v>0.83333333333333337</v>
      </c>
      <c r="O235" s="79" t="s">
        <v>624</v>
      </c>
    </row>
    <row r="238" spans="2:18" x14ac:dyDescent="0.15">
      <c r="B238" s="76" t="s">
        <v>1311</v>
      </c>
    </row>
    <row r="239" spans="2:18" x14ac:dyDescent="0.15">
      <c r="B239" s="51"/>
    </row>
    <row r="240" spans="2:18" x14ac:dyDescent="0.15">
      <c r="B240" s="69" t="s">
        <v>879</v>
      </c>
      <c r="C240" s="70" t="s">
        <v>1285</v>
      </c>
      <c r="D240" s="58"/>
      <c r="E240" s="59"/>
      <c r="F240" s="58"/>
      <c r="G240" s="58"/>
      <c r="H240" s="58"/>
      <c r="I240" s="71"/>
    </row>
    <row r="241" spans="2:9" x14ac:dyDescent="0.15">
      <c r="B241" s="72" t="s">
        <v>1060</v>
      </c>
      <c r="C241" s="32" t="s">
        <v>1281</v>
      </c>
      <c r="D241" s="32"/>
      <c r="E241" s="61"/>
      <c r="F241" s="32"/>
      <c r="G241" s="32"/>
      <c r="H241" s="32"/>
      <c r="I241" s="73"/>
    </row>
    <row r="242" spans="2:9" x14ac:dyDescent="0.15">
      <c r="B242" s="74" t="s">
        <v>887</v>
      </c>
      <c r="C242" s="62" t="s">
        <v>1068</v>
      </c>
      <c r="D242" s="62"/>
      <c r="E242" s="63"/>
      <c r="F242" s="62"/>
      <c r="G242" s="62"/>
      <c r="H242" s="62"/>
      <c r="I242" s="75"/>
    </row>
    <row r="244" spans="2:9" x14ac:dyDescent="0.15">
      <c r="C244" s="80" t="s">
        <v>565</v>
      </c>
      <c r="D244" s="80" t="s">
        <v>566</v>
      </c>
      <c r="E244" s="80" t="s">
        <v>567</v>
      </c>
    </row>
    <row r="245" spans="2:9" x14ac:dyDescent="0.15">
      <c r="B245" s="77" t="s">
        <v>623</v>
      </c>
      <c r="C245" s="87">
        <f>MSharedRatio(C206:C210,D206:D210)</f>
        <v>0.8</v>
      </c>
      <c r="D245" s="87">
        <f>MSharedRatio(D206:D210,E206:E210)</f>
        <v>0.6</v>
      </c>
      <c r="E245" s="87">
        <f>MSharedRatio(C206:C210,E206:E210)</f>
        <v>0.6</v>
      </c>
      <c r="F245" s="79" t="s">
        <v>626</v>
      </c>
    </row>
  </sheetData>
  <mergeCells count="1">
    <mergeCell ref="B5:J5"/>
  </mergeCells>
  <phoneticPr fontId="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230"/>
  <sheetViews>
    <sheetView topLeftCell="A130" zoomScaleNormal="100" workbookViewId="0">
      <selection activeCell="E127" sqref="E127"/>
    </sheetView>
  </sheetViews>
  <sheetFormatPr defaultColWidth="9" defaultRowHeight="15.75" x14ac:dyDescent="0.15"/>
  <cols>
    <col min="1" max="1" width="9" style="14" customWidth="1"/>
    <col min="2" max="2" width="9" style="14"/>
    <col min="3" max="3" width="11.125" style="14" customWidth="1"/>
    <col min="4" max="4" width="9.25" style="14" customWidth="1"/>
    <col min="5" max="10" width="9" style="14"/>
    <col min="11" max="11" width="11.625" style="14" customWidth="1"/>
    <col min="12" max="16384" width="9" style="14"/>
  </cols>
  <sheetData>
    <row r="1" spans="1:16" ht="21" x14ac:dyDescent="0.15">
      <c r="A1" s="254" t="s">
        <v>129</v>
      </c>
      <c r="F1" s="17"/>
      <c r="I1" s="17" t="s">
        <v>130</v>
      </c>
      <c r="J1" s="14" t="str">
        <f>GUGS()</f>
        <v>GUGS: ver. 1.01</v>
      </c>
    </row>
    <row r="3" spans="1:16" x14ac:dyDescent="0.15">
      <c r="A3" s="47" t="s">
        <v>1218</v>
      </c>
      <c r="B3" s="48"/>
      <c r="C3" s="48"/>
      <c r="D3" s="48"/>
      <c r="E3" s="48"/>
      <c r="F3" s="49"/>
      <c r="G3" s="48"/>
      <c r="H3" s="48"/>
      <c r="I3" s="49"/>
      <c r="J3" s="48"/>
      <c r="K3" s="48"/>
      <c r="L3" s="48"/>
    </row>
    <row r="5" spans="1:16" ht="75" customHeight="1" x14ac:dyDescent="0.15">
      <c r="B5" s="298" t="s">
        <v>1569</v>
      </c>
      <c r="C5" s="298"/>
      <c r="D5" s="298"/>
      <c r="E5" s="298"/>
      <c r="F5" s="298"/>
      <c r="G5" s="298"/>
      <c r="H5" s="298"/>
      <c r="I5" s="298"/>
      <c r="J5" s="298"/>
    </row>
    <row r="8" spans="1:16" x14ac:dyDescent="0.15">
      <c r="C8" s="55" t="s">
        <v>1286</v>
      </c>
      <c r="D8" s="56"/>
      <c r="E8" s="56"/>
      <c r="F8" s="56"/>
      <c r="K8" s="55" t="s">
        <v>1287</v>
      </c>
      <c r="L8" s="56"/>
      <c r="M8" s="56"/>
      <c r="N8" s="56"/>
      <c r="O8" s="56"/>
      <c r="P8" s="56"/>
    </row>
    <row r="10" spans="1:16" x14ac:dyDescent="0.15">
      <c r="D10" s="57" t="s">
        <v>188</v>
      </c>
      <c r="E10" s="57" t="s">
        <v>189</v>
      </c>
      <c r="F10" s="57" t="s">
        <v>190</v>
      </c>
      <c r="G10" s="57" t="s">
        <v>210</v>
      </c>
      <c r="H10" s="57" t="s">
        <v>211</v>
      </c>
      <c r="L10" s="57" t="s">
        <v>188</v>
      </c>
      <c r="M10" s="57" t="s">
        <v>189</v>
      </c>
      <c r="N10" s="57" t="s">
        <v>190</v>
      </c>
      <c r="O10" s="57" t="s">
        <v>210</v>
      </c>
      <c r="P10" s="57" t="s">
        <v>211</v>
      </c>
    </row>
    <row r="11" spans="1:16" x14ac:dyDescent="0.25">
      <c r="C11" s="58" t="s">
        <v>191</v>
      </c>
      <c r="D11" s="88" t="s">
        <v>213</v>
      </c>
      <c r="E11" s="88" t="s">
        <v>214</v>
      </c>
      <c r="F11" s="88" t="s">
        <v>215</v>
      </c>
      <c r="G11" s="88" t="s">
        <v>216</v>
      </c>
      <c r="H11" s="88" t="s">
        <v>217</v>
      </c>
      <c r="K11" s="58" t="s">
        <v>191</v>
      </c>
      <c r="L11" s="60" t="s">
        <v>116</v>
      </c>
      <c r="M11" s="60" t="s">
        <v>204</v>
      </c>
      <c r="N11" s="60" t="s">
        <v>121</v>
      </c>
      <c r="O11" s="60" t="s">
        <v>205</v>
      </c>
      <c r="P11" s="60" t="s">
        <v>206</v>
      </c>
    </row>
    <row r="12" spans="1:16" x14ac:dyDescent="0.25">
      <c r="C12" s="32" t="s">
        <v>192</v>
      </c>
      <c r="D12" s="88" t="s">
        <v>218</v>
      </c>
      <c r="E12" s="88" t="s">
        <v>219</v>
      </c>
      <c r="F12" s="88" t="s">
        <v>220</v>
      </c>
      <c r="G12" s="88" t="s">
        <v>221</v>
      </c>
      <c r="H12" s="88" t="s">
        <v>217</v>
      </c>
      <c r="K12" s="32" t="s">
        <v>192</v>
      </c>
      <c r="L12" s="60" t="s">
        <v>46</v>
      </c>
      <c r="M12" s="60" t="s">
        <v>207</v>
      </c>
      <c r="N12" s="60" t="s">
        <v>116</v>
      </c>
      <c r="O12" s="60" t="s">
        <v>205</v>
      </c>
      <c r="P12" s="60" t="s">
        <v>116</v>
      </c>
    </row>
    <row r="13" spans="1:16" x14ac:dyDescent="0.25">
      <c r="C13" s="32" t="s">
        <v>193</v>
      </c>
      <c r="D13" s="88" t="s">
        <v>222</v>
      </c>
      <c r="E13" s="88" t="s">
        <v>223</v>
      </c>
      <c r="F13" s="88" t="s">
        <v>224</v>
      </c>
      <c r="G13" s="88" t="s">
        <v>221</v>
      </c>
      <c r="H13" s="88" t="s">
        <v>217</v>
      </c>
      <c r="K13" s="32" t="s">
        <v>193</v>
      </c>
      <c r="L13" s="60" t="s">
        <v>121</v>
      </c>
      <c r="M13" s="60" t="s">
        <v>207</v>
      </c>
      <c r="N13" s="60" t="s">
        <v>46</v>
      </c>
      <c r="O13" s="60" t="s">
        <v>205</v>
      </c>
      <c r="P13" s="60" t="s">
        <v>116</v>
      </c>
    </row>
    <row r="14" spans="1:16" x14ac:dyDescent="0.25">
      <c r="C14" s="32" t="s">
        <v>194</v>
      </c>
      <c r="D14" s="88" t="s">
        <v>225</v>
      </c>
      <c r="E14" s="88" t="s">
        <v>226</v>
      </c>
      <c r="F14" s="88" t="s">
        <v>227</v>
      </c>
      <c r="G14" s="88" t="s">
        <v>221</v>
      </c>
      <c r="H14" s="88" t="s">
        <v>228</v>
      </c>
      <c r="K14" s="32" t="s">
        <v>194</v>
      </c>
      <c r="L14" s="60" t="s">
        <v>121</v>
      </c>
      <c r="M14" s="60" t="s">
        <v>204</v>
      </c>
      <c r="N14" s="60" t="s">
        <v>46</v>
      </c>
      <c r="O14" s="60" t="s">
        <v>205</v>
      </c>
      <c r="P14" s="60" t="s">
        <v>206</v>
      </c>
    </row>
    <row r="15" spans="1:16" x14ac:dyDescent="0.25">
      <c r="C15" s="32" t="s">
        <v>195</v>
      </c>
      <c r="D15" s="88" t="s">
        <v>229</v>
      </c>
      <c r="E15" s="88" t="s">
        <v>230</v>
      </c>
      <c r="F15" s="88" t="s">
        <v>224</v>
      </c>
      <c r="G15" s="88" t="s">
        <v>221</v>
      </c>
      <c r="H15" s="88" t="s">
        <v>217</v>
      </c>
      <c r="K15" s="32" t="s">
        <v>195</v>
      </c>
      <c r="L15" s="60" t="s">
        <v>46</v>
      </c>
      <c r="M15" s="60" t="s">
        <v>208</v>
      </c>
      <c r="N15" s="60" t="s">
        <v>116</v>
      </c>
      <c r="O15" s="60" t="s">
        <v>208</v>
      </c>
      <c r="P15" s="60" t="s">
        <v>206</v>
      </c>
    </row>
    <row r="16" spans="1:16" x14ac:dyDescent="0.25">
      <c r="C16" s="32" t="s">
        <v>196</v>
      </c>
      <c r="D16" s="88" t="s">
        <v>222</v>
      </c>
      <c r="E16" s="88" t="s">
        <v>230</v>
      </c>
      <c r="F16" s="88" t="s">
        <v>231</v>
      </c>
      <c r="G16" s="88" t="s">
        <v>232</v>
      </c>
      <c r="H16" s="88" t="s">
        <v>217</v>
      </c>
      <c r="K16" s="32" t="s">
        <v>196</v>
      </c>
      <c r="L16" s="60" t="s">
        <v>46</v>
      </c>
      <c r="M16" s="60" t="s">
        <v>204</v>
      </c>
      <c r="N16" s="60" t="s">
        <v>209</v>
      </c>
      <c r="O16" s="60" t="s">
        <v>205</v>
      </c>
      <c r="P16" s="60" t="s">
        <v>116</v>
      </c>
    </row>
    <row r="17" spans="3:16" x14ac:dyDescent="0.25">
      <c r="C17" s="32" t="s">
        <v>197</v>
      </c>
      <c r="D17" s="88" t="s">
        <v>233</v>
      </c>
      <c r="E17" s="88" t="s">
        <v>234</v>
      </c>
      <c r="F17" s="88" t="s">
        <v>235</v>
      </c>
      <c r="G17" s="88" t="s">
        <v>236</v>
      </c>
      <c r="H17" s="88" t="s">
        <v>237</v>
      </c>
      <c r="K17" s="32" t="s">
        <v>197</v>
      </c>
      <c r="L17" s="60" t="s">
        <v>116</v>
      </c>
      <c r="M17" s="60" t="s">
        <v>204</v>
      </c>
      <c r="N17" s="60" t="s">
        <v>116</v>
      </c>
      <c r="O17" s="60" t="s">
        <v>205</v>
      </c>
      <c r="P17" s="60" t="s">
        <v>116</v>
      </c>
    </row>
    <row r="18" spans="3:16" x14ac:dyDescent="0.25">
      <c r="C18" s="32" t="s">
        <v>198</v>
      </c>
      <c r="D18" s="88" t="s">
        <v>238</v>
      </c>
      <c r="E18" s="88" t="s">
        <v>223</v>
      </c>
      <c r="F18" s="88" t="s">
        <v>239</v>
      </c>
      <c r="G18" s="88" t="s">
        <v>240</v>
      </c>
      <c r="H18" s="88" t="s">
        <v>241</v>
      </c>
      <c r="K18" s="32" t="s">
        <v>198</v>
      </c>
      <c r="L18" s="60" t="s">
        <v>116</v>
      </c>
      <c r="M18" s="60" t="s">
        <v>207</v>
      </c>
      <c r="N18" s="60" t="s">
        <v>46</v>
      </c>
      <c r="O18" s="60" t="s">
        <v>205</v>
      </c>
      <c r="P18" s="60" t="s">
        <v>116</v>
      </c>
    </row>
    <row r="19" spans="3:16" x14ac:dyDescent="0.25">
      <c r="C19" s="32" t="s">
        <v>199</v>
      </c>
      <c r="D19" s="88" t="s">
        <v>238</v>
      </c>
      <c r="E19" s="88" t="s">
        <v>234</v>
      </c>
      <c r="F19" s="88" t="s">
        <v>235</v>
      </c>
      <c r="G19" s="88" t="s">
        <v>240</v>
      </c>
      <c r="H19" s="88" t="s">
        <v>242</v>
      </c>
      <c r="K19" s="32" t="s">
        <v>199</v>
      </c>
      <c r="L19" s="60" t="s">
        <v>121</v>
      </c>
      <c r="M19" s="60" t="s">
        <v>204</v>
      </c>
      <c r="N19" s="60" t="s">
        <v>116</v>
      </c>
      <c r="O19" s="60" t="s">
        <v>205</v>
      </c>
      <c r="P19" s="60" t="s">
        <v>206</v>
      </c>
    </row>
    <row r="20" spans="3:16" x14ac:dyDescent="0.25">
      <c r="C20" s="32" t="s">
        <v>200</v>
      </c>
      <c r="D20" s="88" t="s">
        <v>243</v>
      </c>
      <c r="E20" s="88" t="s">
        <v>244</v>
      </c>
      <c r="F20" s="88" t="s">
        <v>245</v>
      </c>
      <c r="G20" s="88" t="s">
        <v>221</v>
      </c>
      <c r="H20" s="88" t="s">
        <v>246</v>
      </c>
      <c r="K20" s="32" t="s">
        <v>200</v>
      </c>
      <c r="L20" s="60" t="s">
        <v>46</v>
      </c>
      <c r="M20" s="60" t="s">
        <v>207</v>
      </c>
      <c r="N20" s="60" t="s">
        <v>116</v>
      </c>
      <c r="O20" s="60" t="s">
        <v>205</v>
      </c>
      <c r="P20" s="60" t="s">
        <v>206</v>
      </c>
    </row>
    <row r="21" spans="3:16" x14ac:dyDescent="0.25">
      <c r="C21" s="32" t="s">
        <v>201</v>
      </c>
      <c r="D21" s="88" t="s">
        <v>225</v>
      </c>
      <c r="E21" s="88" t="s">
        <v>247</v>
      </c>
      <c r="F21" s="88" t="s">
        <v>248</v>
      </c>
      <c r="G21" s="88" t="s">
        <v>221</v>
      </c>
      <c r="H21" s="88" t="s">
        <v>249</v>
      </c>
      <c r="K21" s="32" t="s">
        <v>201</v>
      </c>
      <c r="L21" s="60" t="s">
        <v>46</v>
      </c>
      <c r="M21" s="60" t="s">
        <v>208</v>
      </c>
      <c r="N21" s="60" t="s">
        <v>46</v>
      </c>
      <c r="O21" s="60" t="s">
        <v>208</v>
      </c>
      <c r="P21" s="60" t="s">
        <v>116</v>
      </c>
    </row>
    <row r="22" spans="3:16" x14ac:dyDescent="0.25">
      <c r="C22" s="32" t="s">
        <v>202</v>
      </c>
      <c r="D22" s="88" t="s">
        <v>218</v>
      </c>
      <c r="E22" s="88" t="s">
        <v>250</v>
      </c>
      <c r="F22" s="88" t="s">
        <v>235</v>
      </c>
      <c r="G22" s="88" t="s">
        <v>221</v>
      </c>
      <c r="H22" s="88" t="s">
        <v>228</v>
      </c>
      <c r="K22" s="32" t="s">
        <v>202</v>
      </c>
      <c r="L22" s="60" t="s">
        <v>121</v>
      </c>
      <c r="M22" s="60" t="s">
        <v>207</v>
      </c>
      <c r="N22" s="60" t="s">
        <v>116</v>
      </c>
      <c r="O22" s="60" t="s">
        <v>205</v>
      </c>
      <c r="P22" s="60" t="s">
        <v>116</v>
      </c>
    </row>
    <row r="23" spans="3:16" x14ac:dyDescent="0.25">
      <c r="C23" s="32" t="s">
        <v>264</v>
      </c>
      <c r="D23" s="88" t="s">
        <v>229</v>
      </c>
      <c r="E23" s="88" t="s">
        <v>244</v>
      </c>
      <c r="F23" s="88" t="s">
        <v>239</v>
      </c>
      <c r="G23" s="88" t="s">
        <v>221</v>
      </c>
      <c r="H23" s="88" t="s">
        <v>251</v>
      </c>
      <c r="K23" s="32" t="s">
        <v>264</v>
      </c>
      <c r="L23" s="60" t="s">
        <v>116</v>
      </c>
      <c r="M23" s="60" t="s">
        <v>204</v>
      </c>
      <c r="N23" s="60" t="s">
        <v>116</v>
      </c>
      <c r="O23" s="60" t="s">
        <v>205</v>
      </c>
      <c r="P23" s="60" t="s">
        <v>206</v>
      </c>
    </row>
    <row r="24" spans="3:16" x14ac:dyDescent="0.25">
      <c r="C24" s="32" t="s">
        <v>265</v>
      </c>
      <c r="D24" s="88" t="s">
        <v>218</v>
      </c>
      <c r="E24" s="88" t="s">
        <v>252</v>
      </c>
      <c r="F24" s="88" t="s">
        <v>235</v>
      </c>
      <c r="G24" s="88" t="s">
        <v>221</v>
      </c>
      <c r="H24" s="88" t="s">
        <v>251</v>
      </c>
      <c r="K24" s="32" t="s">
        <v>265</v>
      </c>
      <c r="L24" s="60" t="s">
        <v>46</v>
      </c>
      <c r="M24" s="60" t="s">
        <v>207</v>
      </c>
      <c r="N24" s="60" t="s">
        <v>46</v>
      </c>
      <c r="O24" s="60" t="s">
        <v>205</v>
      </c>
      <c r="P24" s="60" t="s">
        <v>206</v>
      </c>
    </row>
    <row r="25" spans="3:16" x14ac:dyDescent="0.25">
      <c r="C25" s="32" t="s">
        <v>266</v>
      </c>
      <c r="D25" s="88" t="s">
        <v>253</v>
      </c>
      <c r="E25" s="88" t="s">
        <v>250</v>
      </c>
      <c r="F25" s="88" t="s">
        <v>235</v>
      </c>
      <c r="G25" s="88" t="s">
        <v>221</v>
      </c>
      <c r="H25" s="88" t="s">
        <v>228</v>
      </c>
      <c r="K25" s="32" t="s">
        <v>266</v>
      </c>
      <c r="L25" s="60" t="s">
        <v>121</v>
      </c>
      <c r="M25" s="60" t="s">
        <v>208</v>
      </c>
      <c r="N25" s="60" t="s">
        <v>116</v>
      </c>
      <c r="O25" s="60" t="s">
        <v>208</v>
      </c>
      <c r="P25" s="60" t="s">
        <v>206</v>
      </c>
    </row>
    <row r="26" spans="3:16" x14ac:dyDescent="0.25">
      <c r="C26" s="32" t="s">
        <v>267</v>
      </c>
      <c r="D26" s="88" t="s">
        <v>253</v>
      </c>
      <c r="E26" s="88" t="s">
        <v>250</v>
      </c>
      <c r="F26" s="88" t="s">
        <v>235</v>
      </c>
      <c r="G26" s="88" t="s">
        <v>221</v>
      </c>
      <c r="H26" s="88" t="s">
        <v>228</v>
      </c>
      <c r="K26" s="32" t="s">
        <v>267</v>
      </c>
      <c r="L26" s="60" t="s">
        <v>121</v>
      </c>
      <c r="M26" s="60" t="s">
        <v>207</v>
      </c>
      <c r="N26" s="60" t="s">
        <v>116</v>
      </c>
      <c r="O26" s="60" t="s">
        <v>116</v>
      </c>
      <c r="P26" s="60" t="s">
        <v>116</v>
      </c>
    </row>
    <row r="27" spans="3:16" x14ac:dyDescent="0.25">
      <c r="C27" s="32" t="s">
        <v>268</v>
      </c>
      <c r="D27" s="88" t="s">
        <v>254</v>
      </c>
      <c r="E27" s="88" t="s">
        <v>250</v>
      </c>
      <c r="F27" s="88" t="s">
        <v>239</v>
      </c>
      <c r="G27" s="88" t="s">
        <v>221</v>
      </c>
      <c r="H27" s="88" t="s">
        <v>251</v>
      </c>
      <c r="K27" s="32" t="s">
        <v>268</v>
      </c>
      <c r="L27" s="60" t="s">
        <v>46</v>
      </c>
      <c r="M27" s="60" t="s">
        <v>207</v>
      </c>
      <c r="N27" s="60" t="s">
        <v>116</v>
      </c>
      <c r="O27" s="60" t="s">
        <v>205</v>
      </c>
      <c r="P27" s="60" t="s">
        <v>116</v>
      </c>
    </row>
    <row r="28" spans="3:16" x14ac:dyDescent="0.25">
      <c r="C28" s="32" t="s">
        <v>269</v>
      </c>
      <c r="D28" s="88" t="s">
        <v>218</v>
      </c>
      <c r="E28" s="88" t="s">
        <v>252</v>
      </c>
      <c r="F28" s="88" t="s">
        <v>235</v>
      </c>
      <c r="G28" s="88" t="s">
        <v>221</v>
      </c>
      <c r="H28" s="88" t="s">
        <v>251</v>
      </c>
      <c r="K28" s="32" t="s">
        <v>269</v>
      </c>
      <c r="L28" s="60" t="s">
        <v>116</v>
      </c>
      <c r="M28" s="60" t="s">
        <v>207</v>
      </c>
      <c r="N28" s="60" t="s">
        <v>116</v>
      </c>
      <c r="O28" s="60" t="s">
        <v>205</v>
      </c>
      <c r="P28" s="60" t="s">
        <v>206</v>
      </c>
    </row>
    <row r="29" spans="3:16" x14ac:dyDescent="0.25">
      <c r="C29" s="32" t="s">
        <v>270</v>
      </c>
      <c r="D29" s="88" t="s">
        <v>218</v>
      </c>
      <c r="E29" s="88" t="s">
        <v>252</v>
      </c>
      <c r="F29" s="88" t="s">
        <v>235</v>
      </c>
      <c r="G29" s="88" t="s">
        <v>221</v>
      </c>
      <c r="H29" s="88" t="s">
        <v>251</v>
      </c>
      <c r="K29" s="32" t="s">
        <v>270</v>
      </c>
      <c r="L29" s="60" t="s">
        <v>116</v>
      </c>
      <c r="M29" s="60" t="s">
        <v>204</v>
      </c>
      <c r="N29" s="60" t="s">
        <v>116</v>
      </c>
      <c r="O29" s="60" t="s">
        <v>208</v>
      </c>
      <c r="P29" s="60" t="s">
        <v>206</v>
      </c>
    </row>
    <row r="30" spans="3:16" x14ac:dyDescent="0.25">
      <c r="C30" s="32" t="s">
        <v>271</v>
      </c>
      <c r="D30" s="88" t="s">
        <v>229</v>
      </c>
      <c r="E30" s="88" t="s">
        <v>250</v>
      </c>
      <c r="F30" s="88" t="s">
        <v>235</v>
      </c>
      <c r="G30" s="88" t="s">
        <v>221</v>
      </c>
      <c r="H30" s="88" t="s">
        <v>251</v>
      </c>
      <c r="K30" s="32" t="s">
        <v>271</v>
      </c>
      <c r="L30" s="60" t="s">
        <v>46</v>
      </c>
      <c r="M30" s="60" t="s">
        <v>204</v>
      </c>
      <c r="N30" s="60" t="s">
        <v>46</v>
      </c>
      <c r="O30" s="60" t="s">
        <v>208</v>
      </c>
      <c r="P30" s="60" t="s">
        <v>206</v>
      </c>
    </row>
    <row r="31" spans="3:16" x14ac:dyDescent="0.25">
      <c r="C31" s="32" t="s">
        <v>272</v>
      </c>
      <c r="D31" s="88" t="s">
        <v>255</v>
      </c>
      <c r="E31" s="88" t="s">
        <v>252</v>
      </c>
      <c r="F31" s="88" t="s">
        <v>239</v>
      </c>
      <c r="G31" s="88" t="s">
        <v>232</v>
      </c>
      <c r="H31" s="88" t="s">
        <v>217</v>
      </c>
      <c r="K31" s="32" t="s">
        <v>272</v>
      </c>
      <c r="L31" s="60" t="s">
        <v>121</v>
      </c>
      <c r="M31" s="60" t="s">
        <v>204</v>
      </c>
      <c r="N31" s="60" t="s">
        <v>116</v>
      </c>
      <c r="O31" s="60" t="s">
        <v>208</v>
      </c>
      <c r="P31" s="60" t="s">
        <v>206</v>
      </c>
    </row>
    <row r="32" spans="3:16" x14ac:dyDescent="0.25">
      <c r="C32" s="32" t="s">
        <v>273</v>
      </c>
      <c r="D32" s="88" t="s">
        <v>256</v>
      </c>
      <c r="E32" s="88" t="s">
        <v>230</v>
      </c>
      <c r="F32" s="88" t="s">
        <v>257</v>
      </c>
      <c r="G32" s="88" t="s">
        <v>232</v>
      </c>
      <c r="H32" s="88" t="s">
        <v>217</v>
      </c>
      <c r="K32" s="32" t="s">
        <v>273</v>
      </c>
      <c r="L32" s="60" t="s">
        <v>116</v>
      </c>
      <c r="M32" s="60" t="s">
        <v>207</v>
      </c>
      <c r="N32" s="60" t="s">
        <v>46</v>
      </c>
      <c r="O32" s="60" t="s">
        <v>208</v>
      </c>
      <c r="P32" s="60" t="s">
        <v>206</v>
      </c>
    </row>
    <row r="33" spans="1:17" x14ac:dyDescent="0.25">
      <c r="C33" s="32" t="s">
        <v>274</v>
      </c>
      <c r="D33" s="88" t="s">
        <v>225</v>
      </c>
      <c r="E33" s="88" t="s">
        <v>252</v>
      </c>
      <c r="F33" s="88" t="s">
        <v>224</v>
      </c>
      <c r="G33" s="88" t="s">
        <v>221</v>
      </c>
      <c r="H33" s="88" t="s">
        <v>217</v>
      </c>
      <c r="K33" s="32" t="s">
        <v>274</v>
      </c>
      <c r="L33" s="60" t="s">
        <v>46</v>
      </c>
      <c r="M33" s="60" t="s">
        <v>204</v>
      </c>
      <c r="N33" s="60" t="s">
        <v>46</v>
      </c>
      <c r="O33" s="60" t="s">
        <v>205</v>
      </c>
      <c r="P33" s="60" t="s">
        <v>206</v>
      </c>
    </row>
    <row r="34" spans="1:17" x14ac:dyDescent="0.25">
      <c r="C34" s="32" t="s">
        <v>275</v>
      </c>
      <c r="D34" s="88" t="s">
        <v>258</v>
      </c>
      <c r="E34" s="88" t="s">
        <v>244</v>
      </c>
      <c r="F34" s="88" t="s">
        <v>224</v>
      </c>
      <c r="G34" s="88" t="s">
        <v>221</v>
      </c>
      <c r="H34" s="88" t="s">
        <v>217</v>
      </c>
      <c r="K34" s="32" t="s">
        <v>275</v>
      </c>
      <c r="L34" s="60" t="s">
        <v>116</v>
      </c>
      <c r="M34" s="60" t="s">
        <v>204</v>
      </c>
      <c r="N34" s="60" t="s">
        <v>46</v>
      </c>
      <c r="O34" s="60" t="s">
        <v>205</v>
      </c>
      <c r="P34" s="60" t="s">
        <v>116</v>
      </c>
    </row>
    <row r="35" spans="1:17" x14ac:dyDescent="0.25">
      <c r="C35" s="32" t="s">
        <v>276</v>
      </c>
      <c r="D35" s="88" t="s">
        <v>259</v>
      </c>
      <c r="E35" s="88" t="s">
        <v>260</v>
      </c>
      <c r="F35" s="88" t="s">
        <v>261</v>
      </c>
      <c r="G35" s="88" t="s">
        <v>221</v>
      </c>
      <c r="H35" s="88" t="s">
        <v>262</v>
      </c>
      <c r="K35" s="32" t="s">
        <v>276</v>
      </c>
      <c r="L35" s="60" t="s">
        <v>116</v>
      </c>
      <c r="M35" s="60" t="s">
        <v>208</v>
      </c>
      <c r="N35" s="60" t="s">
        <v>46</v>
      </c>
      <c r="O35" s="60" t="s">
        <v>208</v>
      </c>
      <c r="P35" s="60" t="s">
        <v>116</v>
      </c>
    </row>
    <row r="36" spans="1:17" x14ac:dyDescent="0.25">
      <c r="C36" s="32" t="s">
        <v>277</v>
      </c>
      <c r="D36" s="88" t="s">
        <v>218</v>
      </c>
      <c r="E36" s="88" t="s">
        <v>244</v>
      </c>
      <c r="F36" s="88" t="s">
        <v>215</v>
      </c>
      <c r="G36" s="88" t="s">
        <v>232</v>
      </c>
      <c r="H36" s="88" t="s">
        <v>217</v>
      </c>
      <c r="K36" s="32" t="s">
        <v>277</v>
      </c>
      <c r="L36" s="60" t="s">
        <v>121</v>
      </c>
      <c r="M36" s="60" t="s">
        <v>204</v>
      </c>
      <c r="N36" s="60" t="s">
        <v>46</v>
      </c>
      <c r="O36" s="60" t="s">
        <v>208</v>
      </c>
      <c r="P36" s="60" t="s">
        <v>206</v>
      </c>
    </row>
    <row r="37" spans="1:17" x14ac:dyDescent="0.25">
      <c r="C37" s="32" t="s">
        <v>278</v>
      </c>
      <c r="D37" s="88" t="s">
        <v>218</v>
      </c>
      <c r="E37" s="88" t="s">
        <v>244</v>
      </c>
      <c r="F37" s="88" t="s">
        <v>239</v>
      </c>
      <c r="G37" s="88" t="s">
        <v>232</v>
      </c>
      <c r="H37" s="88" t="s">
        <v>228</v>
      </c>
      <c r="K37" s="32" t="s">
        <v>278</v>
      </c>
      <c r="L37" s="60" t="s">
        <v>121</v>
      </c>
      <c r="M37" s="60" t="s">
        <v>208</v>
      </c>
      <c r="N37" s="60" t="s">
        <v>116</v>
      </c>
      <c r="O37" s="60" t="s">
        <v>208</v>
      </c>
      <c r="P37" s="60" t="s">
        <v>206</v>
      </c>
    </row>
    <row r="38" spans="1:17" x14ac:dyDescent="0.25">
      <c r="C38" s="62" t="s">
        <v>279</v>
      </c>
      <c r="D38" s="89" t="s">
        <v>263</v>
      </c>
      <c r="E38" s="89" t="s">
        <v>250</v>
      </c>
      <c r="F38" s="89" t="s">
        <v>239</v>
      </c>
      <c r="G38" s="89" t="s">
        <v>232</v>
      </c>
      <c r="H38" s="89" t="s">
        <v>246</v>
      </c>
      <c r="K38" s="62" t="s">
        <v>279</v>
      </c>
      <c r="L38" s="64" t="s">
        <v>46</v>
      </c>
      <c r="M38" s="64" t="s">
        <v>204</v>
      </c>
      <c r="N38" s="64" t="s">
        <v>116</v>
      </c>
      <c r="O38" s="64" t="s">
        <v>205</v>
      </c>
      <c r="P38" s="64" t="s">
        <v>116</v>
      </c>
    </row>
    <row r="39" spans="1:17" x14ac:dyDescent="0.25">
      <c r="L39" s="60"/>
      <c r="M39" s="60"/>
      <c r="N39" s="60"/>
      <c r="O39" s="60"/>
      <c r="P39" s="60"/>
    </row>
    <row r="40" spans="1:17" x14ac:dyDescent="0.25">
      <c r="L40" s="60"/>
      <c r="M40" s="60"/>
      <c r="N40" s="60"/>
      <c r="O40" s="60"/>
      <c r="P40" s="60"/>
    </row>
    <row r="41" spans="1:17" x14ac:dyDescent="0.15">
      <c r="A41" s="66" t="s">
        <v>395</v>
      </c>
      <c r="B41" s="67" t="s">
        <v>1312</v>
      </c>
      <c r="C41" s="67"/>
      <c r="D41" s="67"/>
      <c r="E41" s="67"/>
      <c r="F41" s="68"/>
      <c r="G41" s="67"/>
      <c r="H41" s="67"/>
      <c r="I41" s="68"/>
      <c r="J41" s="67"/>
      <c r="K41" s="67"/>
      <c r="L41" s="67"/>
      <c r="M41" s="67"/>
      <c r="N41" s="67"/>
      <c r="O41" s="67"/>
      <c r="P41" s="67"/>
    </row>
    <row r="42" spans="1:17" x14ac:dyDescent="0.15">
      <c r="B42" s="90" t="s">
        <v>695</v>
      </c>
    </row>
    <row r="43" spans="1:17" x14ac:dyDescent="0.15">
      <c r="B43" s="91" t="s">
        <v>696</v>
      </c>
    </row>
    <row r="44" spans="1:17" x14ac:dyDescent="0.15">
      <c r="C44" s="86"/>
    </row>
    <row r="45" spans="1:17" x14ac:dyDescent="0.15">
      <c r="C45" s="76" t="s">
        <v>1291</v>
      </c>
      <c r="K45" s="76" t="s">
        <v>1292</v>
      </c>
    </row>
    <row r="46" spans="1:17" x14ac:dyDescent="0.15">
      <c r="C46" s="76"/>
      <c r="K46" s="76"/>
    </row>
    <row r="47" spans="1:17" x14ac:dyDescent="0.15">
      <c r="C47" s="69" t="s">
        <v>879</v>
      </c>
      <c r="D47" s="70" t="s">
        <v>1314</v>
      </c>
      <c r="E47" s="58"/>
      <c r="F47" s="59"/>
      <c r="G47" s="58"/>
      <c r="H47" s="58"/>
      <c r="I47" s="71"/>
      <c r="K47" s="69" t="s">
        <v>879</v>
      </c>
      <c r="L47" s="70" t="s">
        <v>1315</v>
      </c>
      <c r="M47" s="58"/>
      <c r="N47" s="59"/>
      <c r="O47" s="58"/>
      <c r="P47" s="58"/>
      <c r="Q47" s="71"/>
    </row>
    <row r="48" spans="1:17" x14ac:dyDescent="0.15">
      <c r="C48" s="72" t="s">
        <v>1042</v>
      </c>
      <c r="D48" s="32" t="s">
        <v>1316</v>
      </c>
      <c r="E48" s="32"/>
      <c r="F48" s="61"/>
      <c r="G48" s="32"/>
      <c r="H48" s="32"/>
      <c r="I48" s="73"/>
      <c r="K48" s="72" t="s">
        <v>1042</v>
      </c>
      <c r="L48" s="32" t="s">
        <v>1317</v>
      </c>
      <c r="M48" s="32"/>
      <c r="N48" s="61"/>
      <c r="O48" s="32"/>
      <c r="P48" s="32"/>
      <c r="Q48" s="73"/>
    </row>
    <row r="49" spans="3:17" x14ac:dyDescent="0.15">
      <c r="C49" s="72"/>
      <c r="D49" s="32" t="s">
        <v>1070</v>
      </c>
      <c r="E49" s="32"/>
      <c r="F49" s="32"/>
      <c r="G49" s="32"/>
      <c r="H49" s="32"/>
      <c r="I49" s="73"/>
      <c r="K49" s="72"/>
      <c r="L49" s="32" t="s">
        <v>1070</v>
      </c>
      <c r="M49" s="32"/>
      <c r="N49" s="32"/>
      <c r="O49" s="32"/>
      <c r="P49" s="32"/>
      <c r="Q49" s="73"/>
    </row>
    <row r="50" spans="3:17" x14ac:dyDescent="0.15">
      <c r="C50" s="74" t="s">
        <v>887</v>
      </c>
      <c r="D50" s="62" t="s">
        <v>1071</v>
      </c>
      <c r="E50" s="62"/>
      <c r="F50" s="63"/>
      <c r="G50" s="62"/>
      <c r="H50" s="62"/>
      <c r="I50" s="75"/>
      <c r="K50" s="74" t="s">
        <v>887</v>
      </c>
      <c r="L50" s="62" t="s">
        <v>1072</v>
      </c>
      <c r="M50" s="62"/>
      <c r="N50" s="63"/>
      <c r="O50" s="62"/>
      <c r="P50" s="62"/>
      <c r="Q50" s="75"/>
    </row>
    <row r="51" spans="3:17" x14ac:dyDescent="0.15">
      <c r="C51" s="76"/>
      <c r="K51" s="76"/>
    </row>
    <row r="52" spans="3:17" x14ac:dyDescent="0.15">
      <c r="C52" s="58"/>
      <c r="D52" s="302" t="s">
        <v>1069</v>
      </c>
      <c r="E52" s="303"/>
      <c r="F52" s="303"/>
      <c r="G52" s="303"/>
      <c r="H52" s="303"/>
      <c r="K52" s="58"/>
      <c r="L52" s="302" t="s">
        <v>462</v>
      </c>
      <c r="M52" s="302"/>
      <c r="N52" s="302"/>
      <c r="O52" s="302"/>
      <c r="P52" s="302"/>
    </row>
    <row r="53" spans="3:17" x14ac:dyDescent="0.15">
      <c r="C53" s="63" t="s">
        <v>455</v>
      </c>
      <c r="D53" s="57" t="s">
        <v>188</v>
      </c>
      <c r="E53" s="57" t="s">
        <v>189</v>
      </c>
      <c r="F53" s="57" t="s">
        <v>190</v>
      </c>
      <c r="G53" s="57" t="s">
        <v>210</v>
      </c>
      <c r="H53" s="57" t="s">
        <v>211</v>
      </c>
      <c r="K53" s="63" t="s">
        <v>455</v>
      </c>
      <c r="L53" s="57" t="s">
        <v>188</v>
      </c>
      <c r="M53" s="57" t="s">
        <v>189</v>
      </c>
      <c r="N53" s="57" t="s">
        <v>190</v>
      </c>
      <c r="O53" s="57" t="s">
        <v>210</v>
      </c>
      <c r="P53" s="57" t="s">
        <v>211</v>
      </c>
    </row>
    <row r="54" spans="3:17" x14ac:dyDescent="0.15">
      <c r="C54" s="17">
        <v>115</v>
      </c>
      <c r="D54" s="92">
        <f>SSRAlleleFreq(D$11:D$38,$C54)</f>
        <v>0.14285714285714285</v>
      </c>
      <c r="E54" s="92">
        <f t="shared" ref="E54:H68" si="0">SSRAlleleFreq(E$11:E$38,$C54)</f>
        <v>0</v>
      </c>
      <c r="F54" s="92">
        <f t="shared" si="0"/>
        <v>0</v>
      </c>
      <c r="G54" s="92">
        <f t="shared" si="0"/>
        <v>0</v>
      </c>
      <c r="H54" s="92">
        <f t="shared" si="0"/>
        <v>0</v>
      </c>
      <c r="K54" s="17" t="s">
        <v>456</v>
      </c>
      <c r="L54" s="92">
        <f>SNPAlleleFreq(L$11:L$38,$K54)</f>
        <v>0.5</v>
      </c>
      <c r="M54" s="92">
        <f t="shared" ref="M54:P57" si="1">SNPAlleleFreq(M$11:M$38,$K54)</f>
        <v>0</v>
      </c>
      <c r="N54" s="92">
        <f t="shared" si="1"/>
        <v>0.7321428571428571</v>
      </c>
      <c r="O54" s="92">
        <f t="shared" si="1"/>
        <v>0.3392857142857143</v>
      </c>
      <c r="P54" s="92">
        <f t="shared" si="1"/>
        <v>0.7142857142857143</v>
      </c>
    </row>
    <row r="55" spans="3:17" x14ac:dyDescent="0.15">
      <c r="C55" s="17">
        <v>120</v>
      </c>
      <c r="D55" s="92">
        <f t="shared" ref="D55:D60" si="2">SSRAlleleFreq(D$11:D$38,$C55)</f>
        <v>0.25</v>
      </c>
      <c r="E55" s="92">
        <f t="shared" si="0"/>
        <v>0</v>
      </c>
      <c r="F55" s="92">
        <f t="shared" si="0"/>
        <v>0</v>
      </c>
      <c r="G55" s="92">
        <f t="shared" si="0"/>
        <v>0</v>
      </c>
      <c r="H55" s="92">
        <f t="shared" si="0"/>
        <v>0</v>
      </c>
      <c r="K55" s="17" t="s">
        <v>457</v>
      </c>
      <c r="L55" s="92">
        <f>SNPAlleleFreq(L$11:L$38,$K55)</f>
        <v>0</v>
      </c>
      <c r="M55" s="92">
        <f t="shared" si="1"/>
        <v>0.4107142857142857</v>
      </c>
      <c r="N55" s="92">
        <f t="shared" si="1"/>
        <v>0</v>
      </c>
      <c r="O55" s="92">
        <f t="shared" si="1"/>
        <v>0.6607142857142857</v>
      </c>
      <c r="P55" s="92">
        <f t="shared" si="1"/>
        <v>0</v>
      </c>
    </row>
    <row r="56" spans="3:17" x14ac:dyDescent="0.15">
      <c r="C56" s="17">
        <v>114</v>
      </c>
      <c r="D56" s="92">
        <f t="shared" si="2"/>
        <v>5.3571428571428568E-2</v>
      </c>
      <c r="E56" s="92">
        <f t="shared" si="0"/>
        <v>0</v>
      </c>
      <c r="F56" s="92">
        <f t="shared" si="0"/>
        <v>0</v>
      </c>
      <c r="G56" s="92">
        <f t="shared" si="0"/>
        <v>0</v>
      </c>
      <c r="H56" s="92">
        <f t="shared" si="0"/>
        <v>0</v>
      </c>
      <c r="K56" s="17" t="s">
        <v>458</v>
      </c>
      <c r="L56" s="92">
        <f>SNPAlleleFreq(L$11:L$38,$K56)</f>
        <v>0.5</v>
      </c>
      <c r="M56" s="92">
        <f t="shared" si="1"/>
        <v>0</v>
      </c>
      <c r="N56" s="92">
        <f t="shared" si="1"/>
        <v>0.23214285714285715</v>
      </c>
      <c r="O56" s="92">
        <f t="shared" si="1"/>
        <v>0</v>
      </c>
      <c r="P56" s="92">
        <f t="shared" si="1"/>
        <v>0</v>
      </c>
    </row>
    <row r="57" spans="3:17" x14ac:dyDescent="0.15">
      <c r="C57" s="17">
        <v>127</v>
      </c>
      <c r="D57" s="92">
        <f t="shared" si="2"/>
        <v>0</v>
      </c>
      <c r="E57" s="92">
        <f t="shared" si="0"/>
        <v>8.9285714285714288E-2</v>
      </c>
      <c r="F57" s="92">
        <f t="shared" si="0"/>
        <v>0</v>
      </c>
      <c r="G57" s="92">
        <f t="shared" si="0"/>
        <v>0</v>
      </c>
      <c r="H57" s="92">
        <f t="shared" si="0"/>
        <v>0</v>
      </c>
      <c r="K57" s="63" t="s">
        <v>459</v>
      </c>
      <c r="L57" s="93">
        <f>SNPAlleleFreq(L$11:L$38,$K57)</f>
        <v>0</v>
      </c>
      <c r="M57" s="93">
        <f t="shared" si="1"/>
        <v>0.5892857142857143</v>
      </c>
      <c r="N57" s="93">
        <f t="shared" si="1"/>
        <v>0</v>
      </c>
      <c r="O57" s="93">
        <f t="shared" si="1"/>
        <v>0</v>
      </c>
      <c r="P57" s="93">
        <f t="shared" si="1"/>
        <v>0.2857142857142857</v>
      </c>
    </row>
    <row r="58" spans="3:17" x14ac:dyDescent="0.15">
      <c r="C58" s="17">
        <v>132</v>
      </c>
      <c r="D58" s="92">
        <f t="shared" si="2"/>
        <v>0</v>
      </c>
      <c r="E58" s="92">
        <f t="shared" si="0"/>
        <v>0.14285714285714285</v>
      </c>
      <c r="F58" s="92">
        <f t="shared" si="0"/>
        <v>0</v>
      </c>
      <c r="G58" s="92">
        <f t="shared" si="0"/>
        <v>0</v>
      </c>
      <c r="H58" s="92">
        <f t="shared" si="0"/>
        <v>0</v>
      </c>
    </row>
    <row r="59" spans="3:17" x14ac:dyDescent="0.15">
      <c r="C59" s="17">
        <v>135</v>
      </c>
      <c r="D59" s="92">
        <f t="shared" si="2"/>
        <v>0</v>
      </c>
      <c r="E59" s="92">
        <f t="shared" si="0"/>
        <v>0.19642857142857142</v>
      </c>
      <c r="F59" s="92">
        <f t="shared" si="0"/>
        <v>0</v>
      </c>
      <c r="G59" s="92">
        <f t="shared" si="0"/>
        <v>0</v>
      </c>
      <c r="H59" s="92">
        <f t="shared" si="0"/>
        <v>0</v>
      </c>
    </row>
    <row r="60" spans="3:17" x14ac:dyDescent="0.15">
      <c r="C60" s="17">
        <v>131</v>
      </c>
      <c r="D60" s="92">
        <f t="shared" si="2"/>
        <v>0</v>
      </c>
      <c r="E60" s="92">
        <f t="shared" si="0"/>
        <v>0</v>
      </c>
      <c r="F60" s="92">
        <f t="shared" si="0"/>
        <v>0.48214285714285715</v>
      </c>
      <c r="G60" s="92">
        <f t="shared" si="0"/>
        <v>0</v>
      </c>
      <c r="H60" s="92">
        <f t="shared" si="0"/>
        <v>0</v>
      </c>
    </row>
    <row r="61" spans="3:17" x14ac:dyDescent="0.15">
      <c r="C61" s="17">
        <v>134</v>
      </c>
      <c r="D61" s="92">
        <f t="shared" ref="D61:D68" si="3">SSRAlleleFreq(D$11:D$38,$C61)</f>
        <v>0</v>
      </c>
      <c r="E61" s="92">
        <f t="shared" si="0"/>
        <v>0</v>
      </c>
      <c r="F61" s="92">
        <f t="shared" si="0"/>
        <v>0.25</v>
      </c>
      <c r="G61" s="92">
        <f t="shared" si="0"/>
        <v>0</v>
      </c>
      <c r="H61" s="92">
        <f t="shared" si="0"/>
        <v>0</v>
      </c>
    </row>
    <row r="62" spans="3:17" x14ac:dyDescent="0.15">
      <c r="C62" s="17">
        <v>140</v>
      </c>
      <c r="D62" s="92">
        <f t="shared" si="3"/>
        <v>0</v>
      </c>
      <c r="E62" s="92">
        <f t="shared" si="0"/>
        <v>0</v>
      </c>
      <c r="F62" s="92">
        <f t="shared" si="0"/>
        <v>0.16071428571428573</v>
      </c>
      <c r="G62" s="92">
        <f t="shared" si="0"/>
        <v>0</v>
      </c>
      <c r="H62" s="92">
        <f t="shared" si="0"/>
        <v>0</v>
      </c>
    </row>
    <row r="63" spans="3:17" x14ac:dyDescent="0.15">
      <c r="C63" s="17">
        <v>240</v>
      </c>
      <c r="D63" s="92">
        <f t="shared" si="3"/>
        <v>0</v>
      </c>
      <c r="E63" s="92">
        <f t="shared" si="0"/>
        <v>0</v>
      </c>
      <c r="F63" s="92">
        <f t="shared" si="0"/>
        <v>0</v>
      </c>
      <c r="G63" s="92">
        <f t="shared" si="0"/>
        <v>0.17857142857142858</v>
      </c>
      <c r="H63" s="92">
        <f t="shared" si="0"/>
        <v>0</v>
      </c>
    </row>
    <row r="64" spans="3:17" x14ac:dyDescent="0.15">
      <c r="C64" s="17">
        <v>255</v>
      </c>
      <c r="D64" s="92">
        <f t="shared" si="3"/>
        <v>0</v>
      </c>
      <c r="E64" s="92">
        <f t="shared" si="0"/>
        <v>0</v>
      </c>
      <c r="F64" s="92">
        <f t="shared" si="0"/>
        <v>0</v>
      </c>
      <c r="G64" s="92">
        <f t="shared" si="0"/>
        <v>0.7678571428571429</v>
      </c>
      <c r="H64" s="92">
        <f t="shared" si="0"/>
        <v>0</v>
      </c>
    </row>
    <row r="65" spans="1:17" x14ac:dyDescent="0.15">
      <c r="C65" s="17">
        <v>258</v>
      </c>
      <c r="D65" s="92">
        <f t="shared" si="3"/>
        <v>0</v>
      </c>
      <c r="E65" s="92">
        <f t="shared" si="0"/>
        <v>0</v>
      </c>
      <c r="F65" s="92">
        <f t="shared" si="0"/>
        <v>0</v>
      </c>
      <c r="G65" s="92">
        <f t="shared" si="0"/>
        <v>5.3571428571428568E-2</v>
      </c>
      <c r="H65" s="92">
        <f t="shared" si="0"/>
        <v>0</v>
      </c>
    </row>
    <row r="66" spans="1:17" x14ac:dyDescent="0.15">
      <c r="C66" s="17">
        <v>168</v>
      </c>
      <c r="D66" s="92">
        <f t="shared" si="3"/>
        <v>0</v>
      </c>
      <c r="E66" s="92">
        <f t="shared" si="0"/>
        <v>0</v>
      </c>
      <c r="F66" s="92">
        <f t="shared" si="0"/>
        <v>0</v>
      </c>
      <c r="G66" s="92">
        <f t="shared" si="0"/>
        <v>0</v>
      </c>
      <c r="H66" s="92">
        <f t="shared" si="0"/>
        <v>0.5</v>
      </c>
    </row>
    <row r="67" spans="1:17" x14ac:dyDescent="0.15">
      <c r="C67" s="17">
        <v>175</v>
      </c>
      <c r="D67" s="92">
        <f t="shared" si="3"/>
        <v>0</v>
      </c>
      <c r="E67" s="92">
        <f t="shared" si="0"/>
        <v>0</v>
      </c>
      <c r="F67" s="92">
        <f t="shared" si="0"/>
        <v>0</v>
      </c>
      <c r="G67" s="92">
        <f t="shared" si="0"/>
        <v>0</v>
      </c>
      <c r="H67" s="92">
        <f t="shared" si="0"/>
        <v>3.5714285714285712E-2</v>
      </c>
    </row>
    <row r="68" spans="1:17" x14ac:dyDescent="0.15">
      <c r="C68" s="63">
        <v>177</v>
      </c>
      <c r="D68" s="93">
        <f t="shared" si="3"/>
        <v>0</v>
      </c>
      <c r="E68" s="93">
        <f t="shared" si="0"/>
        <v>0</v>
      </c>
      <c r="F68" s="93">
        <f t="shared" si="0"/>
        <v>0</v>
      </c>
      <c r="G68" s="93">
        <f t="shared" si="0"/>
        <v>0</v>
      </c>
      <c r="H68" s="93">
        <f t="shared" si="0"/>
        <v>0.2857142857142857</v>
      </c>
    </row>
    <row r="71" spans="1:17" x14ac:dyDescent="0.15">
      <c r="A71" s="66" t="s">
        <v>460</v>
      </c>
      <c r="B71" s="67" t="s">
        <v>1313</v>
      </c>
      <c r="C71" s="67"/>
      <c r="D71" s="67"/>
      <c r="E71" s="67"/>
      <c r="F71" s="68"/>
      <c r="G71" s="67"/>
      <c r="H71" s="67"/>
      <c r="I71" s="68"/>
      <c r="J71" s="67"/>
      <c r="K71" s="67"/>
      <c r="L71" s="67"/>
      <c r="M71" s="67"/>
      <c r="N71" s="67"/>
      <c r="O71" s="67"/>
      <c r="P71" s="67"/>
    </row>
    <row r="72" spans="1:17" x14ac:dyDescent="0.15">
      <c r="B72" s="90" t="s">
        <v>697</v>
      </c>
    </row>
    <row r="73" spans="1:17" x14ac:dyDescent="0.15">
      <c r="B73" s="91" t="s">
        <v>698</v>
      </c>
    </row>
    <row r="75" spans="1:17" x14ac:dyDescent="0.15">
      <c r="C75" s="76" t="s">
        <v>1291</v>
      </c>
      <c r="K75" s="76" t="s">
        <v>1292</v>
      </c>
    </row>
    <row r="77" spans="1:17" x14ac:dyDescent="0.15">
      <c r="C77" s="69" t="s">
        <v>879</v>
      </c>
      <c r="D77" s="70" t="s">
        <v>1318</v>
      </c>
      <c r="E77" s="58"/>
      <c r="F77" s="59"/>
      <c r="G77" s="58"/>
      <c r="H77" s="58"/>
      <c r="I77" s="71"/>
      <c r="K77" s="69" t="s">
        <v>879</v>
      </c>
      <c r="L77" s="70" t="s">
        <v>1319</v>
      </c>
      <c r="M77" s="58"/>
      <c r="N77" s="59"/>
      <c r="O77" s="58"/>
      <c r="P77" s="58"/>
      <c r="Q77" s="71"/>
    </row>
    <row r="78" spans="1:17" x14ac:dyDescent="0.15">
      <c r="C78" s="72" t="s">
        <v>1042</v>
      </c>
      <c r="D78" s="32" t="s">
        <v>1316</v>
      </c>
      <c r="E78" s="32"/>
      <c r="F78" s="61"/>
      <c r="G78" s="32"/>
      <c r="H78" s="32"/>
      <c r="I78" s="73"/>
      <c r="K78" s="72" t="s">
        <v>1042</v>
      </c>
      <c r="L78" s="32" t="s">
        <v>1320</v>
      </c>
      <c r="M78" s="32"/>
      <c r="N78" s="61"/>
      <c r="O78" s="32"/>
      <c r="P78" s="32"/>
      <c r="Q78" s="73"/>
    </row>
    <row r="79" spans="1:17" x14ac:dyDescent="0.15">
      <c r="C79" s="72"/>
      <c r="D79" s="32" t="s">
        <v>1321</v>
      </c>
      <c r="E79" s="32"/>
      <c r="F79" s="32"/>
      <c r="G79" s="32"/>
      <c r="H79" s="32"/>
      <c r="I79" s="73"/>
      <c r="K79" s="72"/>
      <c r="L79" s="32" t="s">
        <v>1322</v>
      </c>
      <c r="M79" s="32"/>
      <c r="N79" s="32"/>
      <c r="O79" s="32"/>
      <c r="P79" s="32"/>
      <c r="Q79" s="73"/>
    </row>
    <row r="80" spans="1:17" x14ac:dyDescent="0.15">
      <c r="C80" s="74" t="s">
        <v>887</v>
      </c>
      <c r="D80" s="62" t="s">
        <v>1073</v>
      </c>
      <c r="E80" s="62"/>
      <c r="F80" s="63"/>
      <c r="G80" s="62"/>
      <c r="H80" s="62"/>
      <c r="I80" s="75"/>
      <c r="K80" s="74" t="s">
        <v>887</v>
      </c>
      <c r="L80" s="62" t="s">
        <v>1074</v>
      </c>
      <c r="M80" s="62"/>
      <c r="N80" s="63"/>
      <c r="O80" s="62"/>
      <c r="P80" s="62"/>
      <c r="Q80" s="75"/>
    </row>
    <row r="82" spans="3:16" x14ac:dyDescent="0.15">
      <c r="C82" s="58"/>
      <c r="D82" s="302" t="s">
        <v>461</v>
      </c>
      <c r="E82" s="303"/>
      <c r="F82" s="303"/>
      <c r="G82" s="303"/>
      <c r="H82" s="303"/>
      <c r="K82" s="58"/>
      <c r="L82" s="302" t="s">
        <v>463</v>
      </c>
      <c r="M82" s="302"/>
      <c r="N82" s="302"/>
      <c r="O82" s="302"/>
      <c r="P82" s="302"/>
    </row>
    <row r="83" spans="3:16" x14ac:dyDescent="0.15">
      <c r="C83" s="63" t="s">
        <v>476</v>
      </c>
      <c r="D83" s="57" t="s">
        <v>188</v>
      </c>
      <c r="E83" s="57" t="s">
        <v>189</v>
      </c>
      <c r="F83" s="57" t="s">
        <v>190</v>
      </c>
      <c r="G83" s="57" t="s">
        <v>210</v>
      </c>
      <c r="H83" s="57" t="s">
        <v>211</v>
      </c>
      <c r="K83" s="63" t="s">
        <v>476</v>
      </c>
      <c r="L83" s="57" t="s">
        <v>188</v>
      </c>
      <c r="M83" s="57" t="s">
        <v>189</v>
      </c>
      <c r="N83" s="57" t="s">
        <v>190</v>
      </c>
      <c r="O83" s="57" t="s">
        <v>210</v>
      </c>
      <c r="P83" s="57" t="s">
        <v>211</v>
      </c>
    </row>
    <row r="84" spans="3:16" x14ac:dyDescent="0.15">
      <c r="C84" s="88" t="s">
        <v>222</v>
      </c>
      <c r="D84" s="92">
        <f>SSRGTFreq(D$11:D$38,$C84)</f>
        <v>7.1428571428571425E-2</v>
      </c>
      <c r="E84" s="92">
        <f t="shared" ref="E84:H98" si="4">SSRGTFreq(E$11:E$38,$C84)</f>
        <v>0</v>
      </c>
      <c r="F84" s="92">
        <f t="shared" si="4"/>
        <v>0</v>
      </c>
      <c r="G84" s="92">
        <f t="shared" si="4"/>
        <v>0</v>
      </c>
      <c r="H84" s="92">
        <f t="shared" si="4"/>
        <v>0</v>
      </c>
      <c r="K84" s="17" t="s">
        <v>464</v>
      </c>
      <c r="L84" s="92">
        <f t="shared" ref="L84:P93" si="5">SNPGTFreq(L$11:L$38,$K84)</f>
        <v>0.32142857142857145</v>
      </c>
      <c r="M84" s="92">
        <f t="shared" si="5"/>
        <v>0</v>
      </c>
      <c r="N84" s="92">
        <f t="shared" si="5"/>
        <v>0.5357142857142857</v>
      </c>
      <c r="O84" s="92">
        <f t="shared" si="5"/>
        <v>3.5714285714285712E-2</v>
      </c>
      <c r="P84" s="92">
        <f t="shared" si="5"/>
        <v>0.42857142857142855</v>
      </c>
    </row>
    <row r="85" spans="3:16" x14ac:dyDescent="0.15">
      <c r="C85" s="88" t="s">
        <v>225</v>
      </c>
      <c r="D85" s="92">
        <f t="shared" ref="D85:D98" si="6">SSRGTFreq(D$11:D$38,$C85)</f>
        <v>0.10714285714285714</v>
      </c>
      <c r="E85" s="92">
        <f t="shared" si="4"/>
        <v>0</v>
      </c>
      <c r="F85" s="92">
        <f t="shared" si="4"/>
        <v>0</v>
      </c>
      <c r="G85" s="92">
        <f t="shared" si="4"/>
        <v>0</v>
      </c>
      <c r="H85" s="92">
        <f t="shared" si="4"/>
        <v>0</v>
      </c>
      <c r="K85" s="17" t="s">
        <v>465</v>
      </c>
      <c r="L85" s="92">
        <f t="shared" si="5"/>
        <v>0</v>
      </c>
      <c r="M85" s="92">
        <f t="shared" si="5"/>
        <v>0</v>
      </c>
      <c r="N85" s="92">
        <f t="shared" si="5"/>
        <v>0</v>
      </c>
      <c r="O85" s="92">
        <f t="shared" si="5"/>
        <v>0.6071428571428571</v>
      </c>
      <c r="P85" s="92">
        <f t="shared" si="5"/>
        <v>0</v>
      </c>
    </row>
    <row r="86" spans="3:16" x14ac:dyDescent="0.15">
      <c r="C86" s="88" t="s">
        <v>233</v>
      </c>
      <c r="D86" s="92">
        <f t="shared" si="6"/>
        <v>3.5714285714285712E-2</v>
      </c>
      <c r="E86" s="92">
        <f t="shared" si="4"/>
        <v>0</v>
      </c>
      <c r="F86" s="92">
        <f t="shared" si="4"/>
        <v>0</v>
      </c>
      <c r="G86" s="92">
        <f t="shared" si="4"/>
        <v>0</v>
      </c>
      <c r="H86" s="92">
        <f t="shared" si="4"/>
        <v>0</v>
      </c>
      <c r="K86" s="17" t="s">
        <v>466</v>
      </c>
      <c r="L86" s="92">
        <f t="shared" si="5"/>
        <v>0.35714285714285715</v>
      </c>
      <c r="M86" s="92">
        <f t="shared" si="5"/>
        <v>0</v>
      </c>
      <c r="N86" s="92">
        <f t="shared" si="5"/>
        <v>0.39285714285714285</v>
      </c>
      <c r="O86" s="92">
        <f t="shared" si="5"/>
        <v>0</v>
      </c>
      <c r="P86" s="92">
        <f t="shared" si="5"/>
        <v>0</v>
      </c>
    </row>
    <row r="87" spans="3:16" x14ac:dyDescent="0.15">
      <c r="C87" s="88" t="s">
        <v>223</v>
      </c>
      <c r="D87" s="92">
        <f t="shared" si="6"/>
        <v>0</v>
      </c>
      <c r="E87" s="92">
        <f t="shared" si="4"/>
        <v>7.1428571428571425E-2</v>
      </c>
      <c r="F87" s="92">
        <f t="shared" si="4"/>
        <v>0</v>
      </c>
      <c r="G87" s="92">
        <f t="shared" si="4"/>
        <v>0</v>
      </c>
      <c r="H87" s="92">
        <f t="shared" si="4"/>
        <v>0</v>
      </c>
      <c r="K87" s="61" t="s">
        <v>467</v>
      </c>
      <c r="L87" s="92">
        <f t="shared" si="5"/>
        <v>0</v>
      </c>
      <c r="M87" s="92">
        <f t="shared" si="5"/>
        <v>0</v>
      </c>
      <c r="N87" s="92">
        <f t="shared" si="5"/>
        <v>0</v>
      </c>
      <c r="O87" s="92">
        <f t="shared" si="5"/>
        <v>0</v>
      </c>
      <c r="P87" s="92">
        <f t="shared" si="5"/>
        <v>0.5714285714285714</v>
      </c>
    </row>
    <row r="88" spans="3:16" x14ac:dyDescent="0.15">
      <c r="C88" s="88" t="s">
        <v>230</v>
      </c>
      <c r="D88" s="92">
        <f t="shared" si="6"/>
        <v>0</v>
      </c>
      <c r="E88" s="92">
        <f t="shared" si="4"/>
        <v>0.10714285714285714</v>
      </c>
      <c r="F88" s="92">
        <f t="shared" si="4"/>
        <v>0</v>
      </c>
      <c r="G88" s="92">
        <f t="shared" si="4"/>
        <v>0</v>
      </c>
      <c r="H88" s="92">
        <f t="shared" si="4"/>
        <v>0</v>
      </c>
      <c r="K88" s="52" t="s">
        <v>468</v>
      </c>
      <c r="L88" s="92">
        <f t="shared" si="5"/>
        <v>0</v>
      </c>
      <c r="M88" s="92">
        <f t="shared" si="5"/>
        <v>0.17857142857142858</v>
      </c>
      <c r="N88" s="92">
        <f t="shared" si="5"/>
        <v>0</v>
      </c>
      <c r="O88" s="92">
        <f t="shared" si="5"/>
        <v>0.35714285714285715</v>
      </c>
      <c r="P88" s="92">
        <f t="shared" si="5"/>
        <v>0</v>
      </c>
    </row>
    <row r="89" spans="3:16" x14ac:dyDescent="0.15">
      <c r="C89" s="88" t="s">
        <v>244</v>
      </c>
      <c r="D89" s="92">
        <f t="shared" si="6"/>
        <v>0</v>
      </c>
      <c r="E89" s="92">
        <f t="shared" si="4"/>
        <v>0.17857142857142858</v>
      </c>
      <c r="F89" s="92">
        <f t="shared" si="4"/>
        <v>0</v>
      </c>
      <c r="G89" s="92">
        <f t="shared" si="4"/>
        <v>0</v>
      </c>
      <c r="H89" s="92">
        <f t="shared" si="4"/>
        <v>0</v>
      </c>
      <c r="K89" s="52" t="s">
        <v>469</v>
      </c>
      <c r="L89" s="92">
        <f t="shared" si="5"/>
        <v>0</v>
      </c>
      <c r="M89" s="92">
        <f t="shared" si="5"/>
        <v>0</v>
      </c>
      <c r="N89" s="92">
        <f t="shared" si="5"/>
        <v>0</v>
      </c>
      <c r="O89" s="92">
        <f t="shared" si="5"/>
        <v>0</v>
      </c>
      <c r="P89" s="92">
        <f t="shared" si="5"/>
        <v>0</v>
      </c>
    </row>
    <row r="90" spans="3:16" x14ac:dyDescent="0.15">
      <c r="C90" s="88" t="s">
        <v>220</v>
      </c>
      <c r="D90" s="92">
        <f t="shared" si="6"/>
        <v>0</v>
      </c>
      <c r="E90" s="92">
        <f t="shared" si="4"/>
        <v>0</v>
      </c>
      <c r="F90" s="92">
        <f t="shared" si="4"/>
        <v>3.5714285714285712E-2</v>
      </c>
      <c r="G90" s="92">
        <f t="shared" si="4"/>
        <v>0</v>
      </c>
      <c r="H90" s="92">
        <f t="shared" si="4"/>
        <v>0</v>
      </c>
      <c r="K90" s="52" t="s">
        <v>470</v>
      </c>
      <c r="L90" s="92">
        <f t="shared" si="5"/>
        <v>0</v>
      </c>
      <c r="M90" s="92">
        <f t="shared" si="5"/>
        <v>0.4642857142857143</v>
      </c>
      <c r="N90" s="92">
        <f t="shared" si="5"/>
        <v>0</v>
      </c>
      <c r="O90" s="92">
        <f t="shared" si="5"/>
        <v>0</v>
      </c>
      <c r="P90" s="92">
        <f t="shared" si="5"/>
        <v>0</v>
      </c>
    </row>
    <row r="91" spans="3:16" x14ac:dyDescent="0.15">
      <c r="C91" s="88" t="s">
        <v>235</v>
      </c>
      <c r="D91" s="92">
        <f t="shared" si="6"/>
        <v>0</v>
      </c>
      <c r="E91" s="92">
        <f t="shared" si="4"/>
        <v>0</v>
      </c>
      <c r="F91" s="92">
        <f t="shared" si="4"/>
        <v>0.32142857142857145</v>
      </c>
      <c r="G91" s="92">
        <f t="shared" si="4"/>
        <v>0</v>
      </c>
      <c r="H91" s="92">
        <f t="shared" si="4"/>
        <v>0</v>
      </c>
      <c r="K91" s="52" t="s">
        <v>471</v>
      </c>
      <c r="L91" s="92">
        <f t="shared" si="5"/>
        <v>0.32142857142857145</v>
      </c>
      <c r="M91" s="92">
        <f t="shared" si="5"/>
        <v>0</v>
      </c>
      <c r="N91" s="92">
        <f t="shared" si="5"/>
        <v>3.5714285714285712E-2</v>
      </c>
      <c r="O91" s="92">
        <f t="shared" si="5"/>
        <v>0</v>
      </c>
      <c r="P91" s="92">
        <f t="shared" si="5"/>
        <v>0</v>
      </c>
    </row>
    <row r="92" spans="3:16" x14ac:dyDescent="0.15">
      <c r="C92" s="88" t="s">
        <v>245</v>
      </c>
      <c r="D92" s="92">
        <f t="shared" si="6"/>
        <v>0</v>
      </c>
      <c r="E92" s="92">
        <f t="shared" si="4"/>
        <v>0</v>
      </c>
      <c r="F92" s="92">
        <f t="shared" si="4"/>
        <v>3.5714285714285712E-2</v>
      </c>
      <c r="G92" s="92">
        <f t="shared" si="4"/>
        <v>0</v>
      </c>
      <c r="H92" s="92">
        <f t="shared" si="4"/>
        <v>0</v>
      </c>
      <c r="K92" s="52" t="s">
        <v>473</v>
      </c>
      <c r="L92" s="94">
        <f t="shared" si="5"/>
        <v>0</v>
      </c>
      <c r="M92" s="94">
        <f t="shared" si="5"/>
        <v>0</v>
      </c>
      <c r="N92" s="94">
        <f t="shared" si="5"/>
        <v>0</v>
      </c>
      <c r="O92" s="94">
        <f t="shared" si="5"/>
        <v>0</v>
      </c>
      <c r="P92" s="94">
        <f t="shared" si="5"/>
        <v>0</v>
      </c>
    </row>
    <row r="93" spans="3:16" x14ac:dyDescent="0.15">
      <c r="C93" s="88" t="s">
        <v>216</v>
      </c>
      <c r="D93" s="92">
        <f t="shared" si="6"/>
        <v>0</v>
      </c>
      <c r="E93" s="92">
        <f t="shared" si="4"/>
        <v>0</v>
      </c>
      <c r="F93" s="92">
        <f t="shared" si="4"/>
        <v>0</v>
      </c>
      <c r="G93" s="92">
        <f t="shared" si="4"/>
        <v>3.5714285714285712E-2</v>
      </c>
      <c r="H93" s="92">
        <f t="shared" si="4"/>
        <v>0</v>
      </c>
      <c r="K93" s="95" t="s">
        <v>472</v>
      </c>
      <c r="L93" s="93">
        <f t="shared" si="5"/>
        <v>0</v>
      </c>
      <c r="M93" s="93">
        <f t="shared" si="5"/>
        <v>0.35714285714285715</v>
      </c>
      <c r="N93" s="93">
        <f t="shared" si="5"/>
        <v>0</v>
      </c>
      <c r="O93" s="93">
        <f t="shared" si="5"/>
        <v>0</v>
      </c>
      <c r="P93" s="93">
        <f t="shared" si="5"/>
        <v>0</v>
      </c>
    </row>
    <row r="94" spans="3:16" x14ac:dyDescent="0.15">
      <c r="C94" s="88" t="s">
        <v>232</v>
      </c>
      <c r="D94" s="92">
        <f t="shared" si="6"/>
        <v>0</v>
      </c>
      <c r="E94" s="92">
        <f t="shared" si="4"/>
        <v>0</v>
      </c>
      <c r="F94" s="92">
        <f t="shared" si="4"/>
        <v>0</v>
      </c>
      <c r="G94" s="92">
        <f t="shared" si="4"/>
        <v>0.21428571428571427</v>
      </c>
      <c r="H94" s="92">
        <f t="shared" si="4"/>
        <v>0</v>
      </c>
      <c r="L94" s="92"/>
      <c r="M94" s="92"/>
      <c r="N94" s="92"/>
      <c r="O94" s="92"/>
      <c r="P94" s="92"/>
    </row>
    <row r="95" spans="3:16" x14ac:dyDescent="0.15">
      <c r="C95" s="88" t="s">
        <v>240</v>
      </c>
      <c r="D95" s="92">
        <f t="shared" si="6"/>
        <v>0</v>
      </c>
      <c r="E95" s="92">
        <f t="shared" si="4"/>
        <v>0</v>
      </c>
      <c r="F95" s="92">
        <f t="shared" si="4"/>
        <v>0</v>
      </c>
      <c r="G95" s="92">
        <f t="shared" si="4"/>
        <v>7.1428571428571425E-2</v>
      </c>
      <c r="H95" s="92">
        <f t="shared" si="4"/>
        <v>0</v>
      </c>
      <c r="L95" s="92"/>
      <c r="M95" s="92"/>
      <c r="N95" s="92"/>
      <c r="O95" s="92"/>
      <c r="P95" s="92"/>
    </row>
    <row r="96" spans="3:16" x14ac:dyDescent="0.15">
      <c r="C96" s="88" t="s">
        <v>217</v>
      </c>
      <c r="D96" s="92">
        <f t="shared" si="6"/>
        <v>0</v>
      </c>
      <c r="E96" s="92">
        <f t="shared" si="4"/>
        <v>0</v>
      </c>
      <c r="F96" s="92">
        <f t="shared" si="4"/>
        <v>0</v>
      </c>
      <c r="G96" s="92">
        <f t="shared" si="4"/>
        <v>0</v>
      </c>
      <c r="H96" s="92">
        <f t="shared" si="4"/>
        <v>0.35714285714285715</v>
      </c>
      <c r="L96" s="92"/>
      <c r="M96" s="92"/>
      <c r="N96" s="92"/>
      <c r="O96" s="92"/>
      <c r="P96" s="92"/>
    </row>
    <row r="97" spans="1:17" x14ac:dyDescent="0.15">
      <c r="C97" s="88" t="s">
        <v>246</v>
      </c>
      <c r="D97" s="92">
        <f t="shared" si="6"/>
        <v>0</v>
      </c>
      <c r="E97" s="92">
        <f t="shared" si="4"/>
        <v>0</v>
      </c>
      <c r="F97" s="92">
        <f t="shared" si="4"/>
        <v>0</v>
      </c>
      <c r="G97" s="92">
        <f t="shared" si="4"/>
        <v>0</v>
      </c>
      <c r="H97" s="92">
        <f t="shared" si="4"/>
        <v>7.1428571428571425E-2</v>
      </c>
      <c r="L97" s="92"/>
      <c r="M97" s="92"/>
      <c r="N97" s="92"/>
      <c r="O97" s="92"/>
      <c r="P97" s="92"/>
    </row>
    <row r="98" spans="1:17" x14ac:dyDescent="0.15">
      <c r="C98" s="89" t="s">
        <v>249</v>
      </c>
      <c r="D98" s="93">
        <f t="shared" si="6"/>
        <v>0</v>
      </c>
      <c r="E98" s="93">
        <f t="shared" si="4"/>
        <v>0</v>
      </c>
      <c r="F98" s="93">
        <f t="shared" si="4"/>
        <v>0</v>
      </c>
      <c r="G98" s="93">
        <f t="shared" si="4"/>
        <v>0</v>
      </c>
      <c r="H98" s="93">
        <f t="shared" si="4"/>
        <v>3.5714285714285712E-2</v>
      </c>
      <c r="L98" s="92"/>
      <c r="M98" s="92"/>
      <c r="N98" s="92"/>
      <c r="O98" s="92"/>
      <c r="P98" s="92"/>
    </row>
    <row r="101" spans="1:17" x14ac:dyDescent="0.15">
      <c r="A101" s="66" t="s">
        <v>397</v>
      </c>
      <c r="B101" s="67" t="s">
        <v>1323</v>
      </c>
      <c r="C101" s="67"/>
      <c r="D101" s="67"/>
      <c r="E101" s="67"/>
      <c r="F101" s="68"/>
      <c r="G101" s="67"/>
      <c r="H101" s="67"/>
      <c r="I101" s="68"/>
      <c r="J101" s="67"/>
      <c r="K101" s="67"/>
      <c r="L101" s="67"/>
      <c r="M101" s="67"/>
      <c r="N101" s="67"/>
      <c r="O101" s="67"/>
      <c r="P101" s="67"/>
    </row>
    <row r="102" spans="1:17" x14ac:dyDescent="0.15">
      <c r="B102" s="14" t="s">
        <v>699</v>
      </c>
    </row>
    <row r="103" spans="1:17" x14ac:dyDescent="0.15">
      <c r="B103" s="79" t="s">
        <v>1324</v>
      </c>
    </row>
    <row r="105" spans="1:17" x14ac:dyDescent="0.15">
      <c r="C105" s="76" t="s">
        <v>1291</v>
      </c>
      <c r="K105" s="76" t="s">
        <v>1292</v>
      </c>
    </row>
    <row r="106" spans="1:17" x14ac:dyDescent="0.15">
      <c r="C106" s="32"/>
      <c r="D106" s="96"/>
      <c r="E106" s="96"/>
      <c r="F106" s="96"/>
      <c r="G106" s="96"/>
      <c r="H106" s="96"/>
    </row>
    <row r="107" spans="1:17" x14ac:dyDescent="0.15">
      <c r="C107" s="69" t="s">
        <v>879</v>
      </c>
      <c r="D107" s="70" t="s">
        <v>1325</v>
      </c>
      <c r="E107" s="58"/>
      <c r="F107" s="58"/>
      <c r="G107" s="58"/>
      <c r="H107" s="58"/>
      <c r="I107" s="71"/>
      <c r="K107" s="69" t="s">
        <v>879</v>
      </c>
      <c r="L107" s="70" t="s">
        <v>1326</v>
      </c>
      <c r="M107" s="58"/>
      <c r="N107" s="58"/>
      <c r="O107" s="58"/>
      <c r="P107" s="58"/>
      <c r="Q107" s="71"/>
    </row>
    <row r="108" spans="1:17" x14ac:dyDescent="0.15">
      <c r="C108" s="72" t="s">
        <v>886</v>
      </c>
      <c r="D108" s="32" t="s">
        <v>1316</v>
      </c>
      <c r="E108" s="32"/>
      <c r="F108" s="32"/>
      <c r="G108" s="32"/>
      <c r="H108" s="32"/>
      <c r="I108" s="73"/>
      <c r="K108" s="72" t="s">
        <v>886</v>
      </c>
      <c r="L108" s="32" t="s">
        <v>1317</v>
      </c>
      <c r="M108" s="32"/>
      <c r="N108" s="32"/>
      <c r="O108" s="32"/>
      <c r="P108" s="32"/>
      <c r="Q108" s="73"/>
    </row>
    <row r="109" spans="1:17" x14ac:dyDescent="0.15">
      <c r="C109" s="74" t="s">
        <v>887</v>
      </c>
      <c r="D109" s="62" t="s">
        <v>1327</v>
      </c>
      <c r="E109" s="62"/>
      <c r="F109" s="62"/>
      <c r="G109" s="62"/>
      <c r="H109" s="62"/>
      <c r="I109" s="75"/>
      <c r="K109" s="74" t="s">
        <v>887</v>
      </c>
      <c r="L109" s="62" t="s">
        <v>1327</v>
      </c>
      <c r="M109" s="62"/>
      <c r="N109" s="62"/>
      <c r="O109" s="62"/>
      <c r="P109" s="62"/>
      <c r="Q109" s="75"/>
    </row>
    <row r="110" spans="1:17" x14ac:dyDescent="0.15">
      <c r="C110" s="32"/>
      <c r="D110" s="96"/>
      <c r="E110" s="96"/>
      <c r="F110" s="96"/>
      <c r="G110" s="96"/>
      <c r="H110" s="96"/>
    </row>
    <row r="111" spans="1:17" x14ac:dyDescent="0.15">
      <c r="C111" s="58"/>
      <c r="D111" s="302" t="s">
        <v>474</v>
      </c>
      <c r="E111" s="303"/>
      <c r="F111" s="303"/>
      <c r="G111" s="303"/>
      <c r="H111" s="303"/>
      <c r="K111" s="58"/>
      <c r="L111" s="302" t="s">
        <v>478</v>
      </c>
      <c r="M111" s="302"/>
      <c r="N111" s="302"/>
      <c r="O111" s="302"/>
      <c r="P111" s="302"/>
    </row>
    <row r="112" spans="1:17" x14ac:dyDescent="0.15">
      <c r="C112" s="63"/>
      <c r="D112" s="57" t="s">
        <v>188</v>
      </c>
      <c r="E112" s="57" t="s">
        <v>189</v>
      </c>
      <c r="F112" s="57" t="s">
        <v>190</v>
      </c>
      <c r="G112" s="57" t="s">
        <v>210</v>
      </c>
      <c r="H112" s="57" t="s">
        <v>211</v>
      </c>
      <c r="K112" s="63"/>
      <c r="L112" s="57" t="s">
        <v>188</v>
      </c>
      <c r="M112" s="57" t="s">
        <v>189</v>
      </c>
      <c r="N112" s="57" t="s">
        <v>190</v>
      </c>
      <c r="O112" s="57" t="s">
        <v>210</v>
      </c>
      <c r="P112" s="57" t="s">
        <v>211</v>
      </c>
    </row>
    <row r="113" spans="1:17" x14ac:dyDescent="0.15">
      <c r="C113" s="97" t="s">
        <v>475</v>
      </c>
      <c r="D113" s="98">
        <f>SSRHo(D$11:D$38)</f>
        <v>0.8571428571428571</v>
      </c>
      <c r="E113" s="98">
        <f>SSRHo(E$11:E$38)</f>
        <v>0.7857142857142857</v>
      </c>
      <c r="F113" s="98">
        <f>SSRHo(F$11:F$38)</f>
        <v>0.5357142857142857</v>
      </c>
      <c r="G113" s="98">
        <f>SSRHo(G$11:G$38)</f>
        <v>0.32142857142857145</v>
      </c>
      <c r="H113" s="98">
        <f>SSRHo(H$11:H$38)</f>
        <v>0.75</v>
      </c>
      <c r="K113" s="99" t="s">
        <v>477</v>
      </c>
      <c r="L113" s="98">
        <f>SNPHo(L$11:L$38)</f>
        <v>0.35714285714285715</v>
      </c>
      <c r="M113" s="98">
        <f>SNPHo(M$11:M$38)</f>
        <v>0.4642857142857143</v>
      </c>
      <c r="N113" s="98">
        <f>SNPHo(N$11:N$38)</f>
        <v>0.39285714285714285</v>
      </c>
      <c r="O113" s="98">
        <f>SNPHo(O$11:O$38)</f>
        <v>0.6071428571428571</v>
      </c>
      <c r="P113" s="98">
        <f>SNPHo(P$11:P$38)</f>
        <v>0.5714285714285714</v>
      </c>
    </row>
    <row r="114" spans="1:17" x14ac:dyDescent="0.15">
      <c r="C114" s="32"/>
      <c r="D114" s="96"/>
      <c r="E114" s="96"/>
      <c r="F114" s="96"/>
      <c r="G114" s="96"/>
      <c r="H114" s="96"/>
    </row>
    <row r="115" spans="1:17" x14ac:dyDescent="0.15">
      <c r="C115" s="32"/>
      <c r="D115" s="96"/>
      <c r="E115" s="96"/>
      <c r="F115" s="96"/>
      <c r="G115" s="96"/>
      <c r="H115" s="96"/>
    </row>
    <row r="116" spans="1:17" x14ac:dyDescent="0.15">
      <c r="A116" s="66" t="s">
        <v>398</v>
      </c>
      <c r="B116" s="67" t="s">
        <v>1328</v>
      </c>
      <c r="C116" s="67"/>
      <c r="D116" s="67"/>
      <c r="E116" s="67"/>
      <c r="F116" s="68"/>
      <c r="G116" s="67"/>
      <c r="H116" s="67"/>
      <c r="I116" s="68"/>
      <c r="J116" s="67"/>
      <c r="K116" s="67"/>
      <c r="L116" s="67"/>
      <c r="M116" s="67"/>
      <c r="N116" s="67"/>
      <c r="O116" s="67"/>
      <c r="P116" s="67"/>
    </row>
    <row r="117" spans="1:17" x14ac:dyDescent="0.15">
      <c r="B117" s="14" t="s">
        <v>700</v>
      </c>
      <c r="C117" s="32"/>
      <c r="D117" s="96"/>
      <c r="E117" s="96"/>
      <c r="F117" s="96"/>
      <c r="G117" s="96"/>
      <c r="H117" s="96"/>
    </row>
    <row r="118" spans="1:17" x14ac:dyDescent="0.15">
      <c r="C118" s="32"/>
      <c r="D118" s="96"/>
      <c r="E118" s="96"/>
      <c r="F118" s="96"/>
      <c r="G118" s="96"/>
      <c r="H118" s="96"/>
    </row>
    <row r="119" spans="1:17" x14ac:dyDescent="0.15">
      <c r="C119" s="76" t="s">
        <v>1291</v>
      </c>
      <c r="K119" s="76" t="s">
        <v>1292</v>
      </c>
    </row>
    <row r="120" spans="1:17" x14ac:dyDescent="0.15">
      <c r="C120" s="76"/>
      <c r="K120" s="76"/>
    </row>
    <row r="121" spans="1:17" x14ac:dyDescent="0.15">
      <c r="C121" s="69" t="s">
        <v>879</v>
      </c>
      <c r="D121" s="70" t="s">
        <v>1329</v>
      </c>
      <c r="E121" s="58"/>
      <c r="F121" s="58"/>
      <c r="G121" s="58"/>
      <c r="H121" s="58"/>
      <c r="I121" s="71"/>
      <c r="K121" s="69" t="s">
        <v>879</v>
      </c>
      <c r="L121" s="70" t="s">
        <v>1330</v>
      </c>
      <c r="M121" s="58"/>
      <c r="N121" s="58"/>
      <c r="O121" s="58"/>
      <c r="P121" s="58"/>
      <c r="Q121" s="71"/>
    </row>
    <row r="122" spans="1:17" x14ac:dyDescent="0.15">
      <c r="C122" s="72" t="s">
        <v>886</v>
      </c>
      <c r="D122" s="32" t="s">
        <v>1316</v>
      </c>
      <c r="E122" s="32"/>
      <c r="F122" s="32"/>
      <c r="G122" s="32"/>
      <c r="H122" s="32"/>
      <c r="I122" s="73"/>
      <c r="K122" s="72" t="s">
        <v>886</v>
      </c>
      <c r="L122" s="32" t="s">
        <v>1317</v>
      </c>
      <c r="M122" s="32"/>
      <c r="N122" s="32"/>
      <c r="O122" s="32"/>
      <c r="P122" s="32"/>
      <c r="Q122" s="73"/>
    </row>
    <row r="123" spans="1:17" x14ac:dyDescent="0.15">
      <c r="C123" s="74" t="s">
        <v>887</v>
      </c>
      <c r="D123" s="62" t="s">
        <v>1331</v>
      </c>
      <c r="E123" s="62"/>
      <c r="F123" s="62"/>
      <c r="G123" s="62"/>
      <c r="H123" s="62"/>
      <c r="I123" s="75"/>
      <c r="K123" s="74" t="s">
        <v>887</v>
      </c>
      <c r="L123" s="62" t="s">
        <v>1331</v>
      </c>
      <c r="M123" s="62"/>
      <c r="N123" s="62"/>
      <c r="O123" s="62"/>
      <c r="P123" s="62"/>
      <c r="Q123" s="75"/>
    </row>
    <row r="124" spans="1:17" x14ac:dyDescent="0.15">
      <c r="C124" s="32"/>
      <c r="D124" s="96"/>
      <c r="E124" s="96"/>
      <c r="F124" s="96"/>
      <c r="G124" s="96"/>
      <c r="H124" s="96"/>
    </row>
    <row r="125" spans="1:17" x14ac:dyDescent="0.15">
      <c r="C125" s="58"/>
      <c r="D125" s="302" t="s">
        <v>482</v>
      </c>
      <c r="E125" s="303"/>
      <c r="F125" s="303"/>
      <c r="G125" s="303"/>
      <c r="H125" s="303"/>
      <c r="K125" s="58"/>
      <c r="L125" s="302" t="s">
        <v>483</v>
      </c>
      <c r="M125" s="302"/>
      <c r="N125" s="302"/>
      <c r="O125" s="302"/>
      <c r="P125" s="302"/>
    </row>
    <row r="126" spans="1:17" x14ac:dyDescent="0.15">
      <c r="C126" s="63"/>
      <c r="D126" s="57" t="s">
        <v>188</v>
      </c>
      <c r="E126" s="57" t="s">
        <v>189</v>
      </c>
      <c r="F126" s="57" t="s">
        <v>190</v>
      </c>
      <c r="G126" s="57" t="s">
        <v>210</v>
      </c>
      <c r="H126" s="57" t="s">
        <v>211</v>
      </c>
      <c r="K126" s="63"/>
      <c r="L126" s="57" t="s">
        <v>188</v>
      </c>
      <c r="M126" s="57" t="s">
        <v>189</v>
      </c>
      <c r="N126" s="57" t="s">
        <v>190</v>
      </c>
      <c r="O126" s="57" t="s">
        <v>210</v>
      </c>
      <c r="P126" s="57" t="s">
        <v>211</v>
      </c>
    </row>
    <row r="127" spans="1:17" x14ac:dyDescent="0.15">
      <c r="C127" s="97" t="s">
        <v>480</v>
      </c>
      <c r="D127" s="98">
        <f>SSRHZ(D$11:D$38)</f>
        <v>0.77742346938775508</v>
      </c>
      <c r="E127" s="98">
        <f>SSRHZ(E$11:E$38)</f>
        <v>0.71301020408163263</v>
      </c>
      <c r="F127" s="98">
        <f>SSRHZ(F$11:F$38)</f>
        <v>0.67474489795918369</v>
      </c>
      <c r="G127" s="98">
        <f>SSRHZ(G$11:G$38)</f>
        <v>0.37563775510204078</v>
      </c>
      <c r="H127" s="98">
        <f>SSRHZ(H$11:H$38)</f>
        <v>0.64987244897959195</v>
      </c>
      <c r="K127" s="99" t="s">
        <v>481</v>
      </c>
      <c r="L127" s="98">
        <f>SNPHZ(L$11:L$38)</f>
        <v>0.5</v>
      </c>
      <c r="M127" s="98">
        <f>SNPHZ(M$11:M$38)</f>
        <v>0.48405612244897955</v>
      </c>
      <c r="N127" s="98">
        <f>SNPHZ(N$11:N$38)</f>
        <v>0.40880102040816335</v>
      </c>
      <c r="O127" s="98">
        <f>SNPHZ(O$11:O$38)</f>
        <v>0.44834183673469385</v>
      </c>
      <c r="P127" s="98">
        <f>SNPHZ(P$11:P$38)</f>
        <v>0.40816326530612246</v>
      </c>
    </row>
    <row r="128" spans="1:17" x14ac:dyDescent="0.15">
      <c r="C128" s="32"/>
      <c r="D128" s="96"/>
      <c r="E128" s="96"/>
      <c r="F128" s="96"/>
      <c r="G128" s="96"/>
      <c r="H128" s="96"/>
    </row>
    <row r="129" spans="1:17" x14ac:dyDescent="0.15">
      <c r="C129" s="32"/>
      <c r="D129" s="96"/>
      <c r="E129" s="96"/>
      <c r="F129" s="96"/>
      <c r="G129" s="96"/>
      <c r="H129" s="96"/>
    </row>
    <row r="130" spans="1:17" x14ac:dyDescent="0.15">
      <c r="A130" s="66" t="s">
        <v>484</v>
      </c>
      <c r="B130" s="67" t="s">
        <v>732</v>
      </c>
      <c r="C130" s="67"/>
      <c r="D130" s="67"/>
      <c r="E130" s="67"/>
      <c r="F130" s="68"/>
      <c r="G130" s="67"/>
      <c r="H130" s="67"/>
      <c r="I130" s="68"/>
      <c r="J130" s="67"/>
      <c r="K130" s="67"/>
      <c r="L130" s="67"/>
      <c r="M130" s="67"/>
      <c r="N130" s="67"/>
      <c r="O130" s="67"/>
      <c r="P130" s="67"/>
    </row>
    <row r="131" spans="1:17" x14ac:dyDescent="0.15">
      <c r="B131" s="14" t="s">
        <v>701</v>
      </c>
      <c r="C131" s="32"/>
      <c r="D131" s="96"/>
      <c r="E131" s="96"/>
      <c r="F131" s="96"/>
      <c r="G131" s="96"/>
      <c r="H131" s="96"/>
    </row>
    <row r="132" spans="1:17" x14ac:dyDescent="0.15">
      <c r="B132" s="14" t="s">
        <v>702</v>
      </c>
      <c r="C132" s="32"/>
      <c r="D132" s="96"/>
      <c r="E132" s="96"/>
      <c r="F132" s="96"/>
      <c r="G132" s="96"/>
      <c r="H132" s="96"/>
    </row>
    <row r="133" spans="1:17" x14ac:dyDescent="0.15">
      <c r="C133" s="32"/>
      <c r="D133" s="96"/>
      <c r="E133" s="96"/>
      <c r="F133" s="96"/>
      <c r="G133" s="96"/>
      <c r="H133" s="96"/>
    </row>
    <row r="134" spans="1:17" x14ac:dyDescent="0.15">
      <c r="C134" s="76" t="s">
        <v>1291</v>
      </c>
      <c r="K134" s="76" t="s">
        <v>1292</v>
      </c>
    </row>
    <row r="135" spans="1:17" x14ac:dyDescent="0.15">
      <c r="C135" s="32"/>
      <c r="D135" s="96"/>
      <c r="E135" s="96"/>
      <c r="F135" s="96"/>
      <c r="G135" s="96"/>
      <c r="H135" s="96"/>
    </row>
    <row r="136" spans="1:17" x14ac:dyDescent="0.15">
      <c r="C136" s="69" t="s">
        <v>879</v>
      </c>
      <c r="D136" s="70" t="s">
        <v>1332</v>
      </c>
      <c r="E136" s="58"/>
      <c r="F136" s="58"/>
      <c r="G136" s="58"/>
      <c r="H136" s="58"/>
      <c r="I136" s="71"/>
      <c r="K136" s="69" t="s">
        <v>879</v>
      </c>
      <c r="L136" s="70" t="s">
        <v>1333</v>
      </c>
      <c r="M136" s="58"/>
      <c r="N136" s="58"/>
      <c r="O136" s="58"/>
      <c r="P136" s="58"/>
      <c r="Q136" s="71"/>
    </row>
    <row r="137" spans="1:17" x14ac:dyDescent="0.15">
      <c r="C137" s="72" t="s">
        <v>886</v>
      </c>
      <c r="D137" s="32" t="s">
        <v>1334</v>
      </c>
      <c r="E137" s="32"/>
      <c r="F137" s="32"/>
      <c r="G137" s="32"/>
      <c r="H137" s="32"/>
      <c r="I137" s="73"/>
      <c r="K137" s="72" t="s">
        <v>886</v>
      </c>
      <c r="L137" s="32" t="s">
        <v>1317</v>
      </c>
      <c r="M137" s="32"/>
      <c r="N137" s="32"/>
      <c r="O137" s="32"/>
      <c r="P137" s="32"/>
      <c r="Q137" s="73"/>
    </row>
    <row r="138" spans="1:17" x14ac:dyDescent="0.15">
      <c r="C138" s="74" t="s">
        <v>887</v>
      </c>
      <c r="D138" s="62" t="s">
        <v>1075</v>
      </c>
      <c r="E138" s="62"/>
      <c r="F138" s="62"/>
      <c r="G138" s="62"/>
      <c r="H138" s="62"/>
      <c r="I138" s="75"/>
      <c r="K138" s="74" t="s">
        <v>887</v>
      </c>
      <c r="L138" s="62" t="s">
        <v>1075</v>
      </c>
      <c r="M138" s="62"/>
      <c r="N138" s="62"/>
      <c r="O138" s="62"/>
      <c r="P138" s="62"/>
      <c r="Q138" s="75"/>
    </row>
    <row r="139" spans="1:17" x14ac:dyDescent="0.15">
      <c r="C139" s="32"/>
      <c r="D139" s="96"/>
      <c r="E139" s="96"/>
      <c r="F139" s="96"/>
      <c r="G139" s="96"/>
      <c r="H139" s="96"/>
    </row>
    <row r="140" spans="1:17" x14ac:dyDescent="0.15">
      <c r="C140" s="58"/>
      <c r="D140" s="302" t="s">
        <v>486</v>
      </c>
      <c r="E140" s="303"/>
      <c r="F140" s="303"/>
      <c r="G140" s="303"/>
      <c r="H140" s="303"/>
      <c r="K140" s="58"/>
      <c r="L140" s="302" t="s">
        <v>479</v>
      </c>
      <c r="M140" s="302"/>
      <c r="N140" s="302"/>
      <c r="O140" s="302"/>
      <c r="P140" s="302"/>
    </row>
    <row r="141" spans="1:17" x14ac:dyDescent="0.15">
      <c r="C141" s="63"/>
      <c r="D141" s="57" t="s">
        <v>188</v>
      </c>
      <c r="E141" s="57" t="s">
        <v>189</v>
      </c>
      <c r="F141" s="57" t="s">
        <v>190</v>
      </c>
      <c r="G141" s="57" t="s">
        <v>210</v>
      </c>
      <c r="H141" s="57" t="s">
        <v>211</v>
      </c>
      <c r="K141" s="63"/>
      <c r="L141" s="57" t="s">
        <v>188</v>
      </c>
      <c r="M141" s="57" t="s">
        <v>189</v>
      </c>
      <c r="N141" s="57" t="s">
        <v>190</v>
      </c>
      <c r="O141" s="57" t="s">
        <v>210</v>
      </c>
      <c r="P141" s="57" t="s">
        <v>211</v>
      </c>
    </row>
    <row r="142" spans="1:17" x14ac:dyDescent="0.15">
      <c r="C142" s="100" t="s">
        <v>485</v>
      </c>
      <c r="D142" s="98">
        <f>SSRPIC(D$11:D$38)</f>
        <v>0.74850831196636824</v>
      </c>
      <c r="E142" s="98">
        <f>SSRPIC(E$11:E$38)</f>
        <v>0.67909245171282806</v>
      </c>
      <c r="F142" s="98">
        <f>SSRPIC(F$11:F$38)</f>
        <v>0.62757583103394421</v>
      </c>
      <c r="G142" s="98">
        <f>SSRPIC(G$11:G$38)</f>
        <v>0.33446818220272789</v>
      </c>
      <c r="H142" s="98">
        <f>SSRPIC(H$11:H$38)</f>
        <v>0.59669453320231158</v>
      </c>
      <c r="K142" s="100" t="s">
        <v>485</v>
      </c>
      <c r="L142" s="98">
        <f>SNPPIC(L$11:L$38)</f>
        <v>0.375</v>
      </c>
      <c r="M142" s="98">
        <f>SNPPIC(M$11:M$38)</f>
        <v>0.36690095760880881</v>
      </c>
      <c r="N142" s="98">
        <f>SNPPIC(N$11:N$38)</f>
        <v>0.34952213107819663</v>
      </c>
      <c r="O142" s="98">
        <f>SNPPIC(O$11:O$38)</f>
        <v>0.34783663545137444</v>
      </c>
      <c r="P142" s="98">
        <f>SNPPIC(P$11:P$38)</f>
        <v>0.32486463973344437</v>
      </c>
    </row>
    <row r="143" spans="1:17" x14ac:dyDescent="0.15">
      <c r="C143" s="32"/>
      <c r="D143" s="96"/>
      <c r="E143" s="96"/>
      <c r="F143" s="96"/>
      <c r="G143" s="96"/>
      <c r="H143" s="96"/>
    </row>
    <row r="144" spans="1:17" x14ac:dyDescent="0.15">
      <c r="C144" s="32"/>
      <c r="D144" s="96"/>
      <c r="E144" s="96"/>
      <c r="F144" s="96"/>
      <c r="G144" s="96"/>
      <c r="H144" s="96"/>
    </row>
    <row r="145" spans="1:17" x14ac:dyDescent="0.15">
      <c r="A145" s="66" t="s">
        <v>487</v>
      </c>
      <c r="B145" s="67" t="s">
        <v>488</v>
      </c>
      <c r="C145" s="67"/>
      <c r="D145" s="67"/>
      <c r="E145" s="67"/>
      <c r="F145" s="68"/>
      <c r="G145" s="67"/>
      <c r="H145" s="67"/>
      <c r="I145" s="68"/>
      <c r="J145" s="67"/>
      <c r="K145" s="67"/>
      <c r="L145" s="67"/>
      <c r="M145" s="67"/>
      <c r="N145" s="67"/>
      <c r="O145" s="67"/>
      <c r="P145" s="67"/>
    </row>
    <row r="146" spans="1:17" x14ac:dyDescent="0.15">
      <c r="B146" s="14" t="s">
        <v>703</v>
      </c>
      <c r="C146" s="32"/>
      <c r="D146" s="96"/>
      <c r="E146" s="96"/>
      <c r="F146" s="96"/>
      <c r="G146" s="96"/>
      <c r="H146" s="96"/>
    </row>
    <row r="147" spans="1:17" x14ac:dyDescent="0.15">
      <c r="B147" s="14" t="s">
        <v>704</v>
      </c>
      <c r="C147" s="32"/>
      <c r="D147" s="96"/>
      <c r="E147" s="96"/>
      <c r="F147" s="96"/>
      <c r="G147" s="96"/>
      <c r="H147" s="96"/>
    </row>
    <row r="148" spans="1:17" x14ac:dyDescent="0.15">
      <c r="C148" s="32"/>
      <c r="D148" s="96"/>
      <c r="E148" s="96"/>
      <c r="F148" s="96"/>
      <c r="G148" s="96"/>
      <c r="H148" s="96"/>
    </row>
    <row r="149" spans="1:17" x14ac:dyDescent="0.15">
      <c r="C149" s="76" t="s">
        <v>1291</v>
      </c>
      <c r="K149" s="76" t="s">
        <v>1292</v>
      </c>
    </row>
    <row r="150" spans="1:17" x14ac:dyDescent="0.15">
      <c r="C150" s="76"/>
      <c r="K150" s="76"/>
    </row>
    <row r="151" spans="1:17" x14ac:dyDescent="0.15">
      <c r="C151" s="69" t="s">
        <v>879</v>
      </c>
      <c r="D151" s="70" t="s">
        <v>1335</v>
      </c>
      <c r="E151" s="58"/>
      <c r="F151" s="58"/>
      <c r="G151" s="58"/>
      <c r="H151" s="58"/>
      <c r="I151" s="71"/>
      <c r="K151" s="69" t="s">
        <v>879</v>
      </c>
      <c r="L151" s="70" t="s">
        <v>1336</v>
      </c>
      <c r="M151" s="58"/>
      <c r="N151" s="58"/>
      <c r="O151" s="58"/>
      <c r="P151" s="58"/>
      <c r="Q151" s="71"/>
    </row>
    <row r="152" spans="1:17" x14ac:dyDescent="0.15">
      <c r="C152" s="72" t="s">
        <v>886</v>
      </c>
      <c r="D152" s="32" t="s">
        <v>1316</v>
      </c>
      <c r="E152" s="32"/>
      <c r="F152" s="32"/>
      <c r="G152" s="32"/>
      <c r="H152" s="32"/>
      <c r="I152" s="73"/>
      <c r="K152" s="72" t="s">
        <v>886</v>
      </c>
      <c r="L152" s="32" t="s">
        <v>1317</v>
      </c>
      <c r="M152" s="32"/>
      <c r="N152" s="32"/>
      <c r="O152" s="32"/>
      <c r="P152" s="32"/>
      <c r="Q152" s="73"/>
    </row>
    <row r="153" spans="1:17" x14ac:dyDescent="0.15">
      <c r="C153" s="74" t="s">
        <v>887</v>
      </c>
      <c r="D153" s="62" t="s">
        <v>1076</v>
      </c>
      <c r="E153" s="62"/>
      <c r="F153" s="62"/>
      <c r="G153" s="62"/>
      <c r="H153" s="62"/>
      <c r="I153" s="75"/>
      <c r="K153" s="74" t="s">
        <v>887</v>
      </c>
      <c r="L153" s="62" t="s">
        <v>1076</v>
      </c>
      <c r="M153" s="62"/>
      <c r="N153" s="62"/>
      <c r="O153" s="62"/>
      <c r="P153" s="62"/>
      <c r="Q153" s="75"/>
    </row>
    <row r="154" spans="1:17" x14ac:dyDescent="0.15">
      <c r="C154" s="76"/>
      <c r="K154" s="76"/>
    </row>
    <row r="155" spans="1:17" x14ac:dyDescent="0.15">
      <c r="C155" s="58"/>
      <c r="D155" s="302" t="s">
        <v>490</v>
      </c>
      <c r="E155" s="303"/>
      <c r="F155" s="303"/>
      <c r="G155" s="303"/>
      <c r="H155" s="303"/>
      <c r="K155" s="58"/>
      <c r="L155" s="302" t="s">
        <v>491</v>
      </c>
      <c r="M155" s="302"/>
      <c r="N155" s="302"/>
      <c r="O155" s="302"/>
      <c r="P155" s="302"/>
    </row>
    <row r="156" spans="1:17" x14ac:dyDescent="0.15">
      <c r="C156" s="63"/>
      <c r="D156" s="57" t="s">
        <v>188</v>
      </c>
      <c r="E156" s="57" t="s">
        <v>189</v>
      </c>
      <c r="F156" s="57" t="s">
        <v>190</v>
      </c>
      <c r="G156" s="57" t="s">
        <v>210</v>
      </c>
      <c r="H156" s="57" t="s">
        <v>211</v>
      </c>
      <c r="K156" s="63"/>
      <c r="L156" s="57" t="s">
        <v>188</v>
      </c>
      <c r="M156" s="57" t="s">
        <v>189</v>
      </c>
      <c r="N156" s="57" t="s">
        <v>190</v>
      </c>
      <c r="O156" s="57" t="s">
        <v>210</v>
      </c>
      <c r="P156" s="57" t="s">
        <v>211</v>
      </c>
    </row>
    <row r="157" spans="1:17" x14ac:dyDescent="0.15">
      <c r="C157" s="100" t="s">
        <v>489</v>
      </c>
      <c r="D157" s="98">
        <f>SSRPM(D$11:D$38)</f>
        <v>0.1122448979591837</v>
      </c>
      <c r="E157" s="98">
        <f>SSRPM(E$11:E$38)</f>
        <v>0.13775510204081631</v>
      </c>
      <c r="F157" s="98">
        <f>SSRPM(F$11:F$38)</f>
        <v>0.18367346938775506</v>
      </c>
      <c r="G157" s="98">
        <f>SSRPM(G$11:G$38)</f>
        <v>0.4668367346938776</v>
      </c>
      <c r="H157" s="98">
        <f>SSRPM(H$11:H$38)</f>
        <v>0.21683673469387749</v>
      </c>
      <c r="K157" s="100" t="s">
        <v>489</v>
      </c>
      <c r="L157" s="98">
        <f>SNPPM(L$11:L$38)</f>
        <v>0.33418367346938782</v>
      </c>
      <c r="M157" s="98">
        <f>SNPPM(M$11:M$38)</f>
        <v>0.37500000000000006</v>
      </c>
      <c r="N157" s="98">
        <f>SNPPM(N$11:N$38)</f>
        <v>0.4438775510204081</v>
      </c>
      <c r="O157" s="98">
        <f>SNPPM(O$11:O$38)</f>
        <v>0.4974489795918367</v>
      </c>
      <c r="P157" s="98">
        <f>SNPPM(P$11:P$38)</f>
        <v>0.51020408163265296</v>
      </c>
    </row>
    <row r="158" spans="1:17" x14ac:dyDescent="0.15">
      <c r="C158" s="32"/>
      <c r="D158" s="32"/>
      <c r="E158" s="32"/>
      <c r="F158" s="32"/>
      <c r="G158" s="32"/>
      <c r="H158" s="32"/>
    </row>
    <row r="159" spans="1:17" x14ac:dyDescent="0.15">
      <c r="C159" s="32"/>
      <c r="D159" s="32"/>
      <c r="E159" s="32"/>
      <c r="F159" s="32"/>
      <c r="G159" s="32"/>
      <c r="H159" s="32"/>
    </row>
    <row r="160" spans="1:17" x14ac:dyDescent="0.15">
      <c r="A160" s="66" t="s">
        <v>394</v>
      </c>
      <c r="B160" s="67" t="s">
        <v>492</v>
      </c>
      <c r="C160" s="67"/>
      <c r="D160" s="67"/>
      <c r="E160" s="67"/>
      <c r="F160" s="68"/>
      <c r="G160" s="67"/>
      <c r="H160" s="67"/>
      <c r="I160" s="68"/>
      <c r="J160" s="67"/>
      <c r="K160" s="67"/>
      <c r="L160" s="67"/>
      <c r="M160" s="67"/>
      <c r="N160" s="67"/>
      <c r="O160" s="67"/>
      <c r="P160" s="67"/>
    </row>
    <row r="161" spans="1:17" x14ac:dyDescent="0.15">
      <c r="B161" s="14" t="s">
        <v>705</v>
      </c>
      <c r="C161" s="32"/>
      <c r="D161" s="96"/>
      <c r="E161" s="96"/>
      <c r="F161" s="96"/>
      <c r="G161" s="96"/>
      <c r="H161" s="96"/>
    </row>
    <row r="162" spans="1:17" x14ac:dyDescent="0.15">
      <c r="B162" s="14" t="s">
        <v>706</v>
      </c>
      <c r="C162" s="32"/>
      <c r="D162" s="96"/>
      <c r="E162" s="96"/>
      <c r="F162" s="96"/>
      <c r="G162" s="96"/>
      <c r="H162" s="96"/>
    </row>
    <row r="163" spans="1:17" x14ac:dyDescent="0.15">
      <c r="C163" s="32"/>
      <c r="D163" s="96"/>
      <c r="E163" s="96"/>
      <c r="F163" s="96"/>
      <c r="G163" s="96"/>
      <c r="H163" s="96"/>
    </row>
    <row r="164" spans="1:17" x14ac:dyDescent="0.15">
      <c r="C164" s="76" t="s">
        <v>1291</v>
      </c>
      <c r="K164" s="76" t="s">
        <v>1292</v>
      </c>
    </row>
    <row r="165" spans="1:17" x14ac:dyDescent="0.15">
      <c r="C165" s="32"/>
      <c r="D165" s="96"/>
      <c r="E165" s="96"/>
      <c r="F165" s="96"/>
      <c r="G165" s="96"/>
      <c r="H165" s="96"/>
    </row>
    <row r="166" spans="1:17" x14ac:dyDescent="0.15">
      <c r="C166" s="69" t="s">
        <v>879</v>
      </c>
      <c r="D166" s="70" t="s">
        <v>1337</v>
      </c>
      <c r="E166" s="58"/>
      <c r="F166" s="58"/>
      <c r="G166" s="58"/>
      <c r="H166" s="58"/>
      <c r="I166" s="71"/>
      <c r="K166" s="69" t="s">
        <v>879</v>
      </c>
      <c r="L166" s="70" t="s">
        <v>1338</v>
      </c>
      <c r="M166" s="58"/>
      <c r="N166" s="58"/>
      <c r="O166" s="58"/>
      <c r="P166" s="58"/>
      <c r="Q166" s="71"/>
    </row>
    <row r="167" spans="1:17" x14ac:dyDescent="0.15">
      <c r="C167" s="72" t="s">
        <v>886</v>
      </c>
      <c r="D167" s="32" t="s">
        <v>1339</v>
      </c>
      <c r="E167" s="32"/>
      <c r="F167" s="32"/>
      <c r="G167" s="32"/>
      <c r="H167" s="32"/>
      <c r="I167" s="73"/>
      <c r="K167" s="72" t="s">
        <v>886</v>
      </c>
      <c r="L167" s="32" t="s">
        <v>1320</v>
      </c>
      <c r="M167" s="32"/>
      <c r="N167" s="32"/>
      <c r="O167" s="32"/>
      <c r="P167" s="32"/>
      <c r="Q167" s="73"/>
    </row>
    <row r="168" spans="1:17" x14ac:dyDescent="0.15">
      <c r="C168" s="74" t="s">
        <v>887</v>
      </c>
      <c r="D168" s="62" t="s">
        <v>1077</v>
      </c>
      <c r="E168" s="62"/>
      <c r="F168" s="62"/>
      <c r="G168" s="62"/>
      <c r="H168" s="62"/>
      <c r="I168" s="75"/>
      <c r="K168" s="74" t="s">
        <v>887</v>
      </c>
      <c r="L168" s="62" t="s">
        <v>1077</v>
      </c>
      <c r="M168" s="62"/>
      <c r="N168" s="62"/>
      <c r="O168" s="62"/>
      <c r="P168" s="62"/>
      <c r="Q168" s="75"/>
    </row>
    <row r="169" spans="1:17" x14ac:dyDescent="0.15">
      <c r="C169" s="32"/>
      <c r="D169" s="96"/>
      <c r="E169" s="96"/>
      <c r="F169" s="96"/>
      <c r="G169" s="96"/>
      <c r="H169" s="96"/>
    </row>
    <row r="170" spans="1:17" x14ac:dyDescent="0.15">
      <c r="C170" s="58"/>
      <c r="D170" s="302" t="s">
        <v>495</v>
      </c>
      <c r="E170" s="303"/>
      <c r="F170" s="303"/>
      <c r="G170" s="303"/>
      <c r="H170" s="303"/>
      <c r="K170" s="58"/>
      <c r="L170" s="302" t="s">
        <v>496</v>
      </c>
      <c r="M170" s="302"/>
      <c r="N170" s="302"/>
      <c r="O170" s="302"/>
      <c r="P170" s="302"/>
    </row>
    <row r="171" spans="1:17" x14ac:dyDescent="0.15">
      <c r="C171" s="63"/>
      <c r="D171" s="57" t="s">
        <v>188</v>
      </c>
      <c r="E171" s="57" t="s">
        <v>189</v>
      </c>
      <c r="F171" s="57" t="s">
        <v>190</v>
      </c>
      <c r="G171" s="57" t="s">
        <v>210</v>
      </c>
      <c r="H171" s="57" t="s">
        <v>211</v>
      </c>
      <c r="K171" s="63"/>
      <c r="L171" s="57" t="s">
        <v>188</v>
      </c>
      <c r="M171" s="57" t="s">
        <v>189</v>
      </c>
      <c r="N171" s="57" t="s">
        <v>190</v>
      </c>
      <c r="O171" s="57" t="s">
        <v>210</v>
      </c>
      <c r="P171" s="57" t="s">
        <v>211</v>
      </c>
    </row>
    <row r="172" spans="1:17" x14ac:dyDescent="0.15">
      <c r="C172" s="100" t="s">
        <v>493</v>
      </c>
      <c r="D172" s="98">
        <f>SSRPD(D$11:D$38)</f>
        <v>0.88775510204081631</v>
      </c>
      <c r="E172" s="98">
        <f>SSRPD(E$11:E$38)</f>
        <v>0.86224489795918369</v>
      </c>
      <c r="F172" s="98">
        <f>SSRPD(F$11:F$38)</f>
        <v>0.81632653061224492</v>
      </c>
      <c r="G172" s="98">
        <f>SSRPD(G$11:G$38)</f>
        <v>0.53316326530612246</v>
      </c>
      <c r="H172" s="98">
        <f>SSRPD(H$11:H$38)</f>
        <v>0.78316326530612246</v>
      </c>
      <c r="K172" s="100" t="s">
        <v>494</v>
      </c>
      <c r="L172" s="98">
        <f>SNPPD(L$11:L$38)</f>
        <v>0.66581632653061218</v>
      </c>
      <c r="M172" s="98">
        <f>SNPPD(M$11:M$38)</f>
        <v>0.625</v>
      </c>
      <c r="N172" s="98">
        <f>SNPPD(N$11:N$38)</f>
        <v>0.55612244897959195</v>
      </c>
      <c r="O172" s="98">
        <f>SNPPD(O$11:O$38)</f>
        <v>0.50255102040816335</v>
      </c>
      <c r="P172" s="98">
        <f>SNPPD(P$11:P$38)</f>
        <v>0.48979591836734704</v>
      </c>
    </row>
    <row r="175" spans="1:17" x14ac:dyDescent="0.15">
      <c r="A175" s="66" t="s">
        <v>497</v>
      </c>
      <c r="B175" s="67" t="s">
        <v>733</v>
      </c>
      <c r="C175" s="67"/>
      <c r="D175" s="67"/>
      <c r="E175" s="67"/>
      <c r="F175" s="68"/>
      <c r="G175" s="67"/>
      <c r="H175" s="67"/>
      <c r="I175" s="68"/>
      <c r="J175" s="67"/>
      <c r="K175" s="67"/>
      <c r="L175" s="67"/>
      <c r="M175" s="67"/>
      <c r="N175" s="67"/>
      <c r="O175" s="67"/>
      <c r="P175" s="67"/>
    </row>
    <row r="176" spans="1:17" x14ac:dyDescent="0.15">
      <c r="B176" s="14" t="s">
        <v>632</v>
      </c>
      <c r="C176" s="32"/>
      <c r="D176" s="96"/>
      <c r="E176" s="96"/>
      <c r="F176" s="96"/>
      <c r="G176" s="96"/>
      <c r="H176" s="96"/>
    </row>
    <row r="177" spans="1:17" x14ac:dyDescent="0.15">
      <c r="C177" s="32"/>
      <c r="D177" s="96"/>
      <c r="E177" s="96"/>
      <c r="F177" s="96"/>
      <c r="G177" s="96"/>
      <c r="H177" s="96"/>
    </row>
    <row r="178" spans="1:17" x14ac:dyDescent="0.15">
      <c r="C178" s="76" t="s">
        <v>1291</v>
      </c>
      <c r="K178" s="76" t="s">
        <v>1292</v>
      </c>
    </row>
    <row r="179" spans="1:17" x14ac:dyDescent="0.15">
      <c r="C179" s="32"/>
      <c r="D179" s="96"/>
      <c r="E179" s="96"/>
      <c r="F179" s="96"/>
      <c r="G179" s="96"/>
      <c r="H179" s="96"/>
    </row>
    <row r="180" spans="1:17" x14ac:dyDescent="0.15">
      <c r="C180" s="69" t="s">
        <v>879</v>
      </c>
      <c r="D180" s="70" t="s">
        <v>1340</v>
      </c>
      <c r="E180" s="58"/>
      <c r="F180" s="58"/>
      <c r="G180" s="58"/>
      <c r="H180" s="58"/>
      <c r="I180" s="71"/>
      <c r="K180" s="69" t="s">
        <v>879</v>
      </c>
      <c r="L180" s="70" t="s">
        <v>1341</v>
      </c>
      <c r="M180" s="58"/>
      <c r="N180" s="58"/>
      <c r="O180" s="58"/>
      <c r="P180" s="58"/>
      <c r="Q180" s="71"/>
    </row>
    <row r="181" spans="1:17" x14ac:dyDescent="0.15">
      <c r="C181" s="72" t="s">
        <v>886</v>
      </c>
      <c r="D181" s="32" t="s">
        <v>1316</v>
      </c>
      <c r="E181" s="32"/>
      <c r="F181" s="32"/>
      <c r="G181" s="32"/>
      <c r="H181" s="32"/>
      <c r="I181" s="73"/>
      <c r="K181" s="72" t="s">
        <v>886</v>
      </c>
      <c r="L181" s="32" t="s">
        <v>1320</v>
      </c>
      <c r="M181" s="32"/>
      <c r="N181" s="32"/>
      <c r="O181" s="32"/>
      <c r="P181" s="32"/>
      <c r="Q181" s="73"/>
    </row>
    <row r="182" spans="1:17" x14ac:dyDescent="0.15">
      <c r="C182" s="74" t="s">
        <v>887</v>
      </c>
      <c r="D182" s="62" t="s">
        <v>1078</v>
      </c>
      <c r="E182" s="62"/>
      <c r="F182" s="62"/>
      <c r="G182" s="62"/>
      <c r="H182" s="62"/>
      <c r="I182" s="75"/>
      <c r="K182" s="74" t="s">
        <v>887</v>
      </c>
      <c r="L182" s="62" t="s">
        <v>1078</v>
      </c>
      <c r="M182" s="62"/>
      <c r="N182" s="62"/>
      <c r="O182" s="62"/>
      <c r="P182" s="62"/>
      <c r="Q182" s="75"/>
    </row>
    <row r="183" spans="1:17" x14ac:dyDescent="0.15">
      <c r="C183" s="32"/>
      <c r="D183" s="96"/>
      <c r="E183" s="96"/>
      <c r="F183" s="96"/>
      <c r="G183" s="96"/>
      <c r="H183" s="96"/>
    </row>
    <row r="184" spans="1:17" x14ac:dyDescent="0.15">
      <c r="C184" s="58"/>
      <c r="D184" s="302" t="s">
        <v>498</v>
      </c>
      <c r="E184" s="303"/>
      <c r="F184" s="303"/>
      <c r="G184" s="303"/>
      <c r="H184" s="303"/>
      <c r="K184" s="58"/>
      <c r="L184" s="302" t="s">
        <v>499</v>
      </c>
      <c r="M184" s="302"/>
      <c r="N184" s="302"/>
      <c r="O184" s="302"/>
      <c r="P184" s="302"/>
    </row>
    <row r="185" spans="1:17" x14ac:dyDescent="0.15">
      <c r="C185" s="63"/>
      <c r="D185" s="57" t="s">
        <v>188</v>
      </c>
      <c r="E185" s="57" t="s">
        <v>189</v>
      </c>
      <c r="F185" s="57" t="s">
        <v>190</v>
      </c>
      <c r="G185" s="57" t="s">
        <v>210</v>
      </c>
      <c r="H185" s="57" t="s">
        <v>211</v>
      </c>
      <c r="K185" s="63"/>
      <c r="L185" s="57" t="s">
        <v>188</v>
      </c>
      <c r="M185" s="57" t="s">
        <v>189</v>
      </c>
      <c r="N185" s="57" t="s">
        <v>190</v>
      </c>
      <c r="O185" s="57" t="s">
        <v>210</v>
      </c>
      <c r="P185" s="57" t="s">
        <v>211</v>
      </c>
    </row>
    <row r="186" spans="1:17" x14ac:dyDescent="0.15">
      <c r="C186" s="100" t="s">
        <v>631</v>
      </c>
      <c r="D186" s="98">
        <f>SSRGD(D$11:D$38)</f>
        <v>0.80621693121693117</v>
      </c>
      <c r="E186" s="98">
        <f>SSRGD(E$11:E$38)</f>
        <v>0.73941798941798942</v>
      </c>
      <c r="F186" s="98">
        <f>SSRGD(F$11:F$38)</f>
        <v>0.69973544973544977</v>
      </c>
      <c r="G186" s="98">
        <f>SSRGD(G$11:G$38)</f>
        <v>0.38955026455026454</v>
      </c>
      <c r="H186" s="98">
        <f>SSRGD(H$11:H$38)</f>
        <v>0.67394179894179895</v>
      </c>
      <c r="K186" s="100" t="s">
        <v>631</v>
      </c>
      <c r="L186" s="98">
        <f>SNPGD(L$11:L$38)</f>
        <v>0.51851851851851849</v>
      </c>
      <c r="M186" s="98">
        <f>SNPGD(M$11:M$38)</f>
        <v>0.50198412698412698</v>
      </c>
      <c r="N186" s="98">
        <f>SNPGD(N$11:N$38)</f>
        <v>0.42394179894179901</v>
      </c>
      <c r="O186" s="98">
        <f>SNPGD(O$11:O$38)</f>
        <v>0.46494708994708994</v>
      </c>
      <c r="P186" s="98">
        <f>SNPGD(P$11:P$38)</f>
        <v>0.42328042328042331</v>
      </c>
    </row>
    <row r="189" spans="1:17" x14ac:dyDescent="0.15">
      <c r="A189" s="66" t="s">
        <v>500</v>
      </c>
      <c r="B189" s="67" t="s">
        <v>734</v>
      </c>
      <c r="C189" s="67"/>
      <c r="D189" s="67"/>
      <c r="E189" s="67"/>
      <c r="F189" s="68"/>
      <c r="G189" s="67"/>
      <c r="H189" s="67"/>
      <c r="I189" s="68"/>
      <c r="J189" s="67"/>
      <c r="K189" s="67"/>
      <c r="L189" s="67"/>
      <c r="M189" s="67"/>
      <c r="N189" s="67"/>
      <c r="O189" s="67"/>
      <c r="P189" s="67"/>
    </row>
    <row r="190" spans="1:17" x14ac:dyDescent="0.15">
      <c r="B190" s="14" t="s">
        <v>633</v>
      </c>
      <c r="C190" s="32"/>
      <c r="D190" s="96"/>
      <c r="E190" s="96"/>
      <c r="F190" s="96"/>
      <c r="G190" s="96"/>
      <c r="H190" s="96"/>
    </row>
    <row r="191" spans="1:17" x14ac:dyDescent="0.15">
      <c r="C191" s="32"/>
      <c r="D191" s="96"/>
      <c r="E191" s="96"/>
      <c r="F191" s="96"/>
      <c r="G191" s="96"/>
      <c r="H191" s="96"/>
    </row>
    <row r="192" spans="1:17" x14ac:dyDescent="0.15">
      <c r="C192" s="76" t="s">
        <v>1291</v>
      </c>
      <c r="K192" s="76" t="s">
        <v>1292</v>
      </c>
    </row>
    <row r="193" spans="1:17" x14ac:dyDescent="0.15">
      <c r="C193" s="32"/>
      <c r="D193" s="96"/>
      <c r="E193" s="96"/>
      <c r="F193" s="96"/>
      <c r="G193" s="96"/>
      <c r="H193" s="96"/>
    </row>
    <row r="194" spans="1:17" x14ac:dyDescent="0.15">
      <c r="C194" s="69" t="s">
        <v>879</v>
      </c>
      <c r="D194" s="70" t="s">
        <v>1342</v>
      </c>
      <c r="E194" s="58"/>
      <c r="F194" s="58"/>
      <c r="G194" s="58"/>
      <c r="H194" s="58"/>
      <c r="I194" s="71"/>
      <c r="K194" s="69" t="s">
        <v>879</v>
      </c>
      <c r="L194" s="70" t="s">
        <v>1343</v>
      </c>
      <c r="M194" s="58"/>
      <c r="N194" s="58"/>
      <c r="O194" s="58"/>
      <c r="P194" s="58"/>
      <c r="Q194" s="71"/>
    </row>
    <row r="195" spans="1:17" x14ac:dyDescent="0.15">
      <c r="C195" s="72" t="s">
        <v>886</v>
      </c>
      <c r="D195" s="32" t="s">
        <v>1316</v>
      </c>
      <c r="E195" s="32"/>
      <c r="F195" s="32"/>
      <c r="G195" s="32"/>
      <c r="H195" s="32"/>
      <c r="I195" s="73"/>
      <c r="K195" s="72" t="s">
        <v>886</v>
      </c>
      <c r="L195" s="32" t="s">
        <v>1320</v>
      </c>
      <c r="M195" s="32"/>
      <c r="N195" s="32"/>
      <c r="O195" s="32"/>
      <c r="P195" s="32"/>
      <c r="Q195" s="73"/>
    </row>
    <row r="196" spans="1:17" x14ac:dyDescent="0.15">
      <c r="C196" s="74" t="s">
        <v>887</v>
      </c>
      <c r="D196" s="62" t="s">
        <v>1079</v>
      </c>
      <c r="E196" s="62"/>
      <c r="F196" s="62"/>
      <c r="G196" s="62"/>
      <c r="H196" s="62"/>
      <c r="I196" s="75"/>
      <c r="K196" s="74" t="s">
        <v>887</v>
      </c>
      <c r="L196" s="62" t="s">
        <v>1079</v>
      </c>
      <c r="M196" s="62"/>
      <c r="N196" s="62"/>
      <c r="O196" s="62"/>
      <c r="P196" s="62"/>
      <c r="Q196" s="75"/>
    </row>
    <row r="197" spans="1:17" x14ac:dyDescent="0.15">
      <c r="C197" s="32"/>
      <c r="D197" s="96"/>
      <c r="E197" s="96"/>
      <c r="F197" s="96"/>
      <c r="G197" s="96"/>
      <c r="H197" s="96"/>
    </row>
    <row r="198" spans="1:17" x14ac:dyDescent="0.15">
      <c r="C198" s="58"/>
      <c r="D198" s="302" t="s">
        <v>501</v>
      </c>
      <c r="E198" s="303"/>
      <c r="F198" s="303"/>
      <c r="G198" s="303"/>
      <c r="H198" s="303"/>
      <c r="K198" s="58"/>
      <c r="L198" s="302" t="s">
        <v>502</v>
      </c>
      <c r="M198" s="302"/>
      <c r="N198" s="302"/>
      <c r="O198" s="302"/>
      <c r="P198" s="302"/>
    </row>
    <row r="199" spans="1:17" x14ac:dyDescent="0.15">
      <c r="C199" s="63"/>
      <c r="D199" s="57" t="s">
        <v>188</v>
      </c>
      <c r="E199" s="57" t="s">
        <v>189</v>
      </c>
      <c r="F199" s="57" t="s">
        <v>190</v>
      </c>
      <c r="G199" s="57" t="s">
        <v>210</v>
      </c>
      <c r="H199" s="57" t="s">
        <v>211</v>
      </c>
      <c r="K199" s="63"/>
      <c r="L199" s="57" t="s">
        <v>188</v>
      </c>
      <c r="M199" s="57" t="s">
        <v>189</v>
      </c>
      <c r="N199" s="57" t="s">
        <v>190</v>
      </c>
      <c r="O199" s="57" t="s">
        <v>210</v>
      </c>
      <c r="P199" s="57" t="s">
        <v>211</v>
      </c>
    </row>
    <row r="200" spans="1:17" x14ac:dyDescent="0.15">
      <c r="C200" s="100" t="s">
        <v>634</v>
      </c>
      <c r="D200" s="98">
        <f>SSRGD2(D$11:D$38)</f>
        <v>0.79155844155844146</v>
      </c>
      <c r="E200" s="98">
        <f>SSRGD2(E$11:E$38)</f>
        <v>0.72597402597402605</v>
      </c>
      <c r="F200" s="98">
        <f>SSRGD2(F$11:F$38)</f>
        <v>0.68701298701298708</v>
      </c>
      <c r="G200" s="98">
        <f>SSRGD2(G$11:G$38)</f>
        <v>0.38246753246753246</v>
      </c>
      <c r="H200" s="98">
        <f>SSRGD2(H$11:H$38)</f>
        <v>0.66168831168831177</v>
      </c>
      <c r="K200" s="100" t="s">
        <v>635</v>
      </c>
      <c r="L200" s="98">
        <f>SNPGD2(L$11:L$38)</f>
        <v>0.50909090909090904</v>
      </c>
      <c r="M200" s="98">
        <f>SNPGD2(M$11:M$38)</f>
        <v>0.49285714285714283</v>
      </c>
      <c r="N200" s="98">
        <f>SNPGD2(N$11:N$38)</f>
        <v>0.41623376623376634</v>
      </c>
      <c r="O200" s="98">
        <f>SNPGD2(O$11:O$38)</f>
        <v>0.45649350649350645</v>
      </c>
      <c r="P200" s="98">
        <f>SNPGD2(P$11:P$38)</f>
        <v>0.41558441558441561</v>
      </c>
    </row>
    <row r="203" spans="1:17" x14ac:dyDescent="0.15">
      <c r="A203" s="66" t="s">
        <v>503</v>
      </c>
      <c r="B203" s="67" t="s">
        <v>735</v>
      </c>
      <c r="C203" s="67"/>
      <c r="D203" s="67"/>
      <c r="E203" s="67"/>
      <c r="F203" s="68"/>
      <c r="G203" s="67"/>
      <c r="H203" s="67"/>
      <c r="I203" s="68"/>
      <c r="J203" s="67"/>
      <c r="K203" s="67"/>
      <c r="L203" s="67"/>
      <c r="M203" s="67"/>
      <c r="N203" s="67"/>
      <c r="O203" s="67"/>
      <c r="P203" s="67"/>
    </row>
    <row r="204" spans="1:17" s="53" customFormat="1" x14ac:dyDescent="0.15">
      <c r="A204" s="101"/>
      <c r="B204" s="53" t="s">
        <v>708</v>
      </c>
      <c r="F204" s="85"/>
      <c r="I204" s="85"/>
    </row>
    <row r="205" spans="1:17" s="53" customFormat="1" x14ac:dyDescent="0.15">
      <c r="A205" s="101"/>
      <c r="B205" s="53" t="s">
        <v>709</v>
      </c>
      <c r="F205" s="85"/>
      <c r="I205" s="85"/>
    </row>
    <row r="206" spans="1:17" s="53" customFormat="1" x14ac:dyDescent="0.15">
      <c r="A206" s="101"/>
      <c r="B206" s="53" t="s">
        <v>1344</v>
      </c>
      <c r="F206" s="85"/>
      <c r="I206" s="85"/>
    </row>
    <row r="207" spans="1:17" s="53" customFormat="1" x14ac:dyDescent="0.15">
      <c r="A207" s="101"/>
      <c r="F207" s="85"/>
      <c r="I207" s="85"/>
    </row>
    <row r="208" spans="1:17" s="53" customFormat="1" x14ac:dyDescent="0.15">
      <c r="A208" s="101"/>
      <c r="C208" s="76" t="s">
        <v>707</v>
      </c>
      <c r="F208" s="85"/>
      <c r="I208" s="85"/>
    </row>
    <row r="209" spans="1:16" s="53" customFormat="1" x14ac:dyDescent="0.15">
      <c r="A209" s="101"/>
      <c r="C209" s="76"/>
      <c r="E209" s="79" t="s">
        <v>1345</v>
      </c>
      <c r="I209" s="85"/>
      <c r="M209" s="79"/>
    </row>
    <row r="210" spans="1:16" s="53" customFormat="1" x14ac:dyDescent="0.15">
      <c r="A210" s="101"/>
      <c r="F210" s="85"/>
      <c r="I210" s="85"/>
    </row>
    <row r="211" spans="1:16" x14ac:dyDescent="0.15">
      <c r="A211" s="66" t="s">
        <v>506</v>
      </c>
      <c r="B211" s="67" t="s">
        <v>736</v>
      </c>
      <c r="C211" s="67"/>
      <c r="D211" s="67"/>
      <c r="E211" s="67"/>
      <c r="F211" s="68"/>
      <c r="G211" s="67"/>
      <c r="H211" s="67"/>
      <c r="I211" s="68"/>
      <c r="J211" s="67"/>
      <c r="K211" s="67"/>
      <c r="L211" s="67"/>
      <c r="M211" s="67"/>
      <c r="N211" s="67"/>
      <c r="O211" s="67"/>
      <c r="P211" s="67"/>
    </row>
    <row r="212" spans="1:16" x14ac:dyDescent="0.15">
      <c r="B212" s="14" t="s">
        <v>710</v>
      </c>
      <c r="C212" s="32"/>
      <c r="D212" s="96"/>
      <c r="E212" s="96"/>
      <c r="F212" s="96"/>
      <c r="G212" s="96"/>
      <c r="H212" s="96"/>
    </row>
    <row r="213" spans="1:16" x14ac:dyDescent="0.15">
      <c r="B213" s="14" t="s">
        <v>711</v>
      </c>
      <c r="C213" s="32"/>
      <c r="D213" s="96"/>
      <c r="E213" s="96"/>
      <c r="F213" s="96"/>
      <c r="G213" s="96"/>
      <c r="H213" s="96"/>
    </row>
    <row r="214" spans="1:16" x14ac:dyDescent="0.15">
      <c r="B214" s="14" t="s">
        <v>712</v>
      </c>
      <c r="C214" s="32"/>
      <c r="D214" s="96"/>
      <c r="E214" s="96"/>
      <c r="F214" s="96"/>
      <c r="G214" s="96"/>
      <c r="H214" s="96"/>
    </row>
    <row r="215" spans="1:16" x14ac:dyDescent="0.15">
      <c r="B215" s="53" t="s">
        <v>1344</v>
      </c>
      <c r="C215" s="32"/>
      <c r="D215" s="96"/>
      <c r="E215" s="96"/>
      <c r="F215" s="96"/>
      <c r="G215" s="96"/>
      <c r="H215" s="96"/>
    </row>
    <row r="216" spans="1:16" x14ac:dyDescent="0.15">
      <c r="C216" s="32"/>
      <c r="D216" s="96"/>
      <c r="E216" s="96"/>
      <c r="F216" s="96"/>
      <c r="G216" s="96"/>
      <c r="H216" s="96"/>
    </row>
    <row r="217" spans="1:16" x14ac:dyDescent="0.15">
      <c r="C217" s="76" t="s">
        <v>1291</v>
      </c>
      <c r="K217" s="76" t="s">
        <v>1292</v>
      </c>
    </row>
    <row r="218" spans="1:16" x14ac:dyDescent="0.15">
      <c r="C218" s="32"/>
      <c r="D218" s="96"/>
      <c r="E218" s="96"/>
      <c r="F218" s="96"/>
      <c r="G218" s="96"/>
      <c r="H218" s="96"/>
    </row>
    <row r="219" spans="1:16" x14ac:dyDescent="0.15">
      <c r="C219" s="58"/>
      <c r="D219" s="302" t="s">
        <v>461</v>
      </c>
      <c r="E219" s="303"/>
      <c r="F219" s="303"/>
      <c r="G219" s="303"/>
      <c r="H219" s="303"/>
      <c r="K219" s="58"/>
      <c r="L219" s="302" t="s">
        <v>463</v>
      </c>
      <c r="M219" s="302"/>
      <c r="N219" s="302"/>
      <c r="O219" s="302"/>
      <c r="P219" s="302"/>
    </row>
    <row r="220" spans="1:16" x14ac:dyDescent="0.15">
      <c r="C220" s="63"/>
      <c r="D220" s="57" t="s">
        <v>188</v>
      </c>
      <c r="E220" s="57" t="s">
        <v>189</v>
      </c>
      <c r="F220" s="57" t="s">
        <v>190</v>
      </c>
      <c r="G220" s="57" t="s">
        <v>210</v>
      </c>
      <c r="H220" s="57" t="s">
        <v>211</v>
      </c>
      <c r="K220" s="63"/>
      <c r="L220" s="57" t="s">
        <v>188</v>
      </c>
      <c r="M220" s="57" t="s">
        <v>189</v>
      </c>
      <c r="N220" s="57" t="s">
        <v>190</v>
      </c>
      <c r="O220" s="57" t="s">
        <v>210</v>
      </c>
      <c r="P220" s="57" t="s">
        <v>211</v>
      </c>
    </row>
    <row r="221" spans="1:16" x14ac:dyDescent="0.15">
      <c r="C221" s="102" t="s">
        <v>504</v>
      </c>
      <c r="D221" s="100" t="s">
        <v>225</v>
      </c>
      <c r="E221" s="100" t="s">
        <v>223</v>
      </c>
      <c r="F221" s="100" t="s">
        <v>220</v>
      </c>
      <c r="G221" s="100" t="s">
        <v>240</v>
      </c>
      <c r="H221" s="100" t="s">
        <v>249</v>
      </c>
      <c r="K221" s="102" t="s">
        <v>504</v>
      </c>
      <c r="L221" s="80" t="s">
        <v>62</v>
      </c>
      <c r="M221" s="103" t="s">
        <v>453</v>
      </c>
      <c r="N221" s="80" t="s">
        <v>47</v>
      </c>
      <c r="O221" s="80" t="s">
        <v>62</v>
      </c>
      <c r="P221" s="80" t="s">
        <v>62</v>
      </c>
    </row>
    <row r="222" spans="1:16" x14ac:dyDescent="0.15">
      <c r="C222" s="104" t="s">
        <v>505</v>
      </c>
      <c r="D222" s="98">
        <f>SSRGTFreq(D$11:D$38,D221)</f>
        <v>0.10714285714285714</v>
      </c>
      <c r="E222" s="98">
        <f>SSRGTFreq(E$11:E$38,E221)</f>
        <v>7.1428571428571425E-2</v>
      </c>
      <c r="F222" s="98">
        <f>SSRGTFreq(F$11:F$38,F221)</f>
        <v>3.5714285714285712E-2</v>
      </c>
      <c r="G222" s="98">
        <f>SSRGTFreq(G$11:G$38,G221)</f>
        <v>7.1428571428571425E-2</v>
      </c>
      <c r="H222" s="98">
        <f>SSRGTFreq(H$11:H$38,H221)</f>
        <v>3.5714285714285712E-2</v>
      </c>
      <c r="K222" s="104" t="s">
        <v>505</v>
      </c>
      <c r="L222" s="98">
        <f>SNPGTFreq(L$11:L$38,L221)</f>
        <v>0.32142857142857145</v>
      </c>
      <c r="M222" s="98">
        <f>SNPGTFreq(M$11:M$38,M221)</f>
        <v>0.35714285714285715</v>
      </c>
      <c r="N222" s="98">
        <f>SNPGTFreq(N$11:N$38,N221)</f>
        <v>0.39285714285714285</v>
      </c>
      <c r="O222" s="98">
        <f>SNPGTFreq(O$11:O$38,O221)</f>
        <v>3.5714285714285712E-2</v>
      </c>
      <c r="P222" s="98">
        <f>SNPGTFreq(P$11:P$38,P221)</f>
        <v>0.42857142857142855</v>
      </c>
    </row>
    <row r="223" spans="1:16" x14ac:dyDescent="0.15">
      <c r="C223" s="32"/>
      <c r="D223" s="32"/>
    </row>
    <row r="224" spans="1:16" x14ac:dyDescent="0.15">
      <c r="C224" s="105" t="s">
        <v>1346</v>
      </c>
      <c r="D224" s="106">
        <f>Ukaif0(D222:H222)</f>
        <v>6.972541203070147E-7</v>
      </c>
      <c r="E224" s="79" t="s">
        <v>1345</v>
      </c>
      <c r="K224" s="105" t="s">
        <v>1346</v>
      </c>
      <c r="L224" s="106">
        <f>Ukaif0(L222:P222)</f>
        <v>6.9028157910394476E-4</v>
      </c>
      <c r="M224" s="79" t="s">
        <v>1345</v>
      </c>
    </row>
    <row r="225" spans="3:13" x14ac:dyDescent="0.15">
      <c r="D225" s="32"/>
    </row>
    <row r="226" spans="3:13" x14ac:dyDescent="0.15">
      <c r="C226" s="80" t="s">
        <v>508</v>
      </c>
      <c r="D226" s="80" t="s">
        <v>507</v>
      </c>
      <c r="K226" s="80" t="s">
        <v>508</v>
      </c>
      <c r="L226" s="80" t="s">
        <v>507</v>
      </c>
    </row>
    <row r="227" spans="3:13" x14ac:dyDescent="0.15">
      <c r="C227" s="61">
        <v>5</v>
      </c>
      <c r="D227" s="107">
        <f>UkaiP1(D$222:H$222,C227)</f>
        <v>3.4862657399825636E-6</v>
      </c>
      <c r="E227" s="79" t="s">
        <v>1347</v>
      </c>
      <c r="K227" s="61">
        <v>5</v>
      </c>
      <c r="L227" s="107">
        <f>UkaiP1(L$222:P$222,K227)</f>
        <v>3.4466462969133804E-3</v>
      </c>
      <c r="M227" s="79" t="s">
        <v>1347</v>
      </c>
    </row>
    <row r="228" spans="3:13" x14ac:dyDescent="0.15">
      <c r="C228" s="61">
        <v>10</v>
      </c>
      <c r="D228" s="107">
        <f>UkaiP1(D$222:H$222,C228)</f>
        <v>6.9725193260206098E-6</v>
      </c>
      <c r="K228" s="61">
        <v>10</v>
      </c>
      <c r="L228" s="107">
        <f>UkaiP1(L$222:P$222,K228)</f>
        <v>6.881413223130628E-3</v>
      </c>
    </row>
    <row r="229" spans="3:13" x14ac:dyDescent="0.15">
      <c r="C229" s="61">
        <v>20</v>
      </c>
      <c r="D229" s="107">
        <f>UkaiP1(D$222:H$222,C229)</f>
        <v>1.3944990035930083E-5</v>
      </c>
      <c r="K229" s="61">
        <v>20</v>
      </c>
      <c r="L229" s="107">
        <f>UkaiP1(L$222:P$222,K229)</f>
        <v>1.3715472598313849E-2</v>
      </c>
    </row>
    <row r="230" spans="3:13" x14ac:dyDescent="0.15">
      <c r="C230" s="63">
        <v>50</v>
      </c>
      <c r="D230" s="108">
        <f>UkaiP1(D$222:H$222,C230)</f>
        <v>3.4862110473099506E-5</v>
      </c>
      <c r="K230" s="63">
        <v>50</v>
      </c>
      <c r="L230" s="108">
        <f>UkaiP1(L$222:P$222,K230)</f>
        <v>3.393677505362902E-2</v>
      </c>
    </row>
  </sheetData>
  <mergeCells count="21">
    <mergeCell ref="D155:H155"/>
    <mergeCell ref="L155:P155"/>
    <mergeCell ref="D219:H219"/>
    <mergeCell ref="L219:P219"/>
    <mergeCell ref="D170:H170"/>
    <mergeCell ref="L170:P170"/>
    <mergeCell ref="D184:H184"/>
    <mergeCell ref="L184:P184"/>
    <mergeCell ref="D198:H198"/>
    <mergeCell ref="L198:P198"/>
    <mergeCell ref="D111:H111"/>
    <mergeCell ref="L111:P111"/>
    <mergeCell ref="D125:H125"/>
    <mergeCell ref="L125:P125"/>
    <mergeCell ref="D140:H140"/>
    <mergeCell ref="L140:P140"/>
    <mergeCell ref="B5:J5"/>
    <mergeCell ref="D52:H52"/>
    <mergeCell ref="L52:P52"/>
    <mergeCell ref="D82:H82"/>
    <mergeCell ref="L82:P82"/>
  </mergeCells>
  <phoneticPr fontId="1"/>
  <conditionalFormatting sqref="D11:H11 D131:H133 D146:H148 D117:H118 D135:H135 D139:H139 D183:H183">
    <cfRule type="cellIs" dxfId="116" priority="112" stopIfTrue="1" operator="equal">
      <formula>"/"</formula>
    </cfRule>
  </conditionalFormatting>
  <conditionalFormatting sqref="D15:H16">
    <cfRule type="cellIs" dxfId="115" priority="109" stopIfTrue="1" operator="equal">
      <formula>"/"</formula>
    </cfRule>
  </conditionalFormatting>
  <conditionalFormatting sqref="D12:H12">
    <cfRule type="cellIs" dxfId="114" priority="111" stopIfTrue="1" operator="equal">
      <formula>"/"</formula>
    </cfRule>
  </conditionalFormatting>
  <conditionalFormatting sqref="D13:H14">
    <cfRule type="cellIs" dxfId="113" priority="110" stopIfTrue="1" operator="equal">
      <formula>"/"</formula>
    </cfRule>
  </conditionalFormatting>
  <conditionalFormatting sqref="D17:H35">
    <cfRule type="cellIs" dxfId="112" priority="108" stopIfTrue="1" operator="equal">
      <formula>"/"</formula>
    </cfRule>
  </conditionalFormatting>
  <conditionalFormatting sqref="D36:H38">
    <cfRule type="cellIs" dxfId="111" priority="107" stopIfTrue="1" operator="equal">
      <formula>"/"</formula>
    </cfRule>
  </conditionalFormatting>
  <conditionalFormatting sqref="D106:H106 D110:H110 E107:I108 D109:I109">
    <cfRule type="cellIs" dxfId="110" priority="106" stopIfTrue="1" operator="equal">
      <formula>"/"</formula>
    </cfRule>
  </conditionalFormatting>
  <conditionalFormatting sqref="D114:H115">
    <cfRule type="cellIs" dxfId="109" priority="103" stopIfTrue="1" operator="equal">
      <formula>"/"</formula>
    </cfRule>
  </conditionalFormatting>
  <conditionalFormatting sqref="D128:H129 D143:H144 D124:H124">
    <cfRule type="cellIs" dxfId="108" priority="102" stopIfTrue="1" operator="equal">
      <formula>"/"</formula>
    </cfRule>
  </conditionalFormatting>
  <conditionalFormatting sqref="C97:C98">
    <cfRule type="cellIs" dxfId="107" priority="65" stopIfTrue="1" operator="equal">
      <formula>"/"</formula>
    </cfRule>
  </conditionalFormatting>
  <conditionalFormatting sqref="C84:C85">
    <cfRule type="cellIs" dxfId="106" priority="100" stopIfTrue="1" operator="equal">
      <formula>"/"</formula>
    </cfRule>
  </conditionalFormatting>
  <conditionalFormatting sqref="C86">
    <cfRule type="cellIs" dxfId="105" priority="98" stopIfTrue="1" operator="equal">
      <formula>"/"</formula>
    </cfRule>
  </conditionalFormatting>
  <conditionalFormatting sqref="C88">
    <cfRule type="cellIs" dxfId="104" priority="96" stopIfTrue="1" operator="equal">
      <formula>"/"</formula>
    </cfRule>
  </conditionalFormatting>
  <conditionalFormatting sqref="C89">
    <cfRule type="cellIs" dxfId="103" priority="94" stopIfTrue="1" operator="equal">
      <formula>"/"</formula>
    </cfRule>
  </conditionalFormatting>
  <conditionalFormatting sqref="C90">
    <cfRule type="cellIs" dxfId="102" priority="93" stopIfTrue="1" operator="equal">
      <formula>"/"</formula>
    </cfRule>
  </conditionalFormatting>
  <conditionalFormatting sqref="C90:C92">
    <cfRule type="cellIs" dxfId="101" priority="92" stopIfTrue="1" operator="equal">
      <formula>"/"</formula>
    </cfRule>
  </conditionalFormatting>
  <conditionalFormatting sqref="C88">
    <cfRule type="cellIs" dxfId="100" priority="91" stopIfTrue="1" operator="equal">
      <formula>"/"</formula>
    </cfRule>
  </conditionalFormatting>
  <conditionalFormatting sqref="C89">
    <cfRule type="cellIs" dxfId="99" priority="90" stopIfTrue="1" operator="equal">
      <formula>"/"</formula>
    </cfRule>
  </conditionalFormatting>
  <conditionalFormatting sqref="C90">
    <cfRule type="cellIs" dxfId="98" priority="89" stopIfTrue="1" operator="equal">
      <formula>"/"</formula>
    </cfRule>
  </conditionalFormatting>
  <conditionalFormatting sqref="C95">
    <cfRule type="cellIs" dxfId="97" priority="67" stopIfTrue="1" operator="equal">
      <formula>"/"</formula>
    </cfRule>
  </conditionalFormatting>
  <conditionalFormatting sqref="C92">
    <cfRule type="cellIs" dxfId="96" priority="87" stopIfTrue="1" operator="equal">
      <formula>"/"</formula>
    </cfRule>
  </conditionalFormatting>
  <conditionalFormatting sqref="C87">
    <cfRule type="cellIs" dxfId="95" priority="86" stopIfTrue="1" operator="equal">
      <formula>"/"</formula>
    </cfRule>
  </conditionalFormatting>
  <conditionalFormatting sqref="C91">
    <cfRule type="cellIs" dxfId="94" priority="85" stopIfTrue="1" operator="equal">
      <formula>"/"</formula>
    </cfRule>
  </conditionalFormatting>
  <conditionalFormatting sqref="C87">
    <cfRule type="cellIs" dxfId="93" priority="80" stopIfTrue="1" operator="equal">
      <formula>"/"</formula>
    </cfRule>
  </conditionalFormatting>
  <conditionalFormatting sqref="C87">
    <cfRule type="cellIs" dxfId="92" priority="83" stopIfTrue="1" operator="equal">
      <formula>"/"</formula>
    </cfRule>
  </conditionalFormatting>
  <conditionalFormatting sqref="C88">
    <cfRule type="cellIs" dxfId="91" priority="82" stopIfTrue="1" operator="equal">
      <formula>"/"</formula>
    </cfRule>
  </conditionalFormatting>
  <conditionalFormatting sqref="C89">
    <cfRule type="cellIs" dxfId="90" priority="81" stopIfTrue="1" operator="equal">
      <formula>"/"</formula>
    </cfRule>
  </conditionalFormatting>
  <conditionalFormatting sqref="C88">
    <cfRule type="cellIs" dxfId="89" priority="79" stopIfTrue="1" operator="equal">
      <formula>"/"</formula>
    </cfRule>
  </conditionalFormatting>
  <conditionalFormatting sqref="C89">
    <cfRule type="cellIs" dxfId="88" priority="78" stopIfTrue="1" operator="equal">
      <formula>"/"</formula>
    </cfRule>
  </conditionalFormatting>
  <conditionalFormatting sqref="C91">
    <cfRule type="cellIs" dxfId="87" priority="77" stopIfTrue="1" operator="equal">
      <formula>"/"</formula>
    </cfRule>
  </conditionalFormatting>
  <conditionalFormatting sqref="C90">
    <cfRule type="cellIs" dxfId="86" priority="76" stopIfTrue="1" operator="equal">
      <formula>"/"</formula>
    </cfRule>
  </conditionalFormatting>
  <conditionalFormatting sqref="C92">
    <cfRule type="cellIs" dxfId="85" priority="70" stopIfTrue="1" operator="equal">
      <formula>"/"</formula>
    </cfRule>
  </conditionalFormatting>
  <conditionalFormatting sqref="C91">
    <cfRule type="cellIs" dxfId="84" priority="74" stopIfTrue="1" operator="equal">
      <formula>"/"</formula>
    </cfRule>
  </conditionalFormatting>
  <conditionalFormatting sqref="C90">
    <cfRule type="cellIs" dxfId="83" priority="73" stopIfTrue="1" operator="equal">
      <formula>"/"</formula>
    </cfRule>
  </conditionalFormatting>
  <conditionalFormatting sqref="C90">
    <cfRule type="cellIs" dxfId="82" priority="71" stopIfTrue="1" operator="equal">
      <formula>"/"</formula>
    </cfRule>
  </conditionalFormatting>
  <conditionalFormatting sqref="C93">
    <cfRule type="cellIs" dxfId="81" priority="69" stopIfTrue="1" operator="equal">
      <formula>"/"</formula>
    </cfRule>
  </conditionalFormatting>
  <conditionalFormatting sqref="C94">
    <cfRule type="cellIs" dxfId="80" priority="68" stopIfTrue="1" operator="equal">
      <formula>"/"</formula>
    </cfRule>
  </conditionalFormatting>
  <conditionalFormatting sqref="C96">
    <cfRule type="cellIs" dxfId="79" priority="66" stopIfTrue="1" operator="equal">
      <formula>"/"</formula>
    </cfRule>
  </conditionalFormatting>
  <conditionalFormatting sqref="C113">
    <cfRule type="cellIs" dxfId="78" priority="64" stopIfTrue="1" operator="equal">
      <formula>"/"</formula>
    </cfRule>
  </conditionalFormatting>
  <conditionalFormatting sqref="K142">
    <cfRule type="cellIs" dxfId="77" priority="60" stopIfTrue="1" operator="equal">
      <formula>"/"</formula>
    </cfRule>
  </conditionalFormatting>
  <conditionalFormatting sqref="K221">
    <cfRule type="cellIs" dxfId="76" priority="31" stopIfTrue="1" operator="equal">
      <formula>"/"</formula>
    </cfRule>
  </conditionalFormatting>
  <conditionalFormatting sqref="C127">
    <cfRule type="cellIs" dxfId="75" priority="63" stopIfTrue="1" operator="equal">
      <formula>"/"</formula>
    </cfRule>
  </conditionalFormatting>
  <conditionalFormatting sqref="C142">
    <cfRule type="cellIs" dxfId="74" priority="61" stopIfTrue="1" operator="equal">
      <formula>"/"</formula>
    </cfRule>
  </conditionalFormatting>
  <conditionalFormatting sqref="K157">
    <cfRule type="cellIs" dxfId="73" priority="57" stopIfTrue="1" operator="equal">
      <formula>"/"</formula>
    </cfRule>
  </conditionalFormatting>
  <conditionalFormatting sqref="C157">
    <cfRule type="cellIs" dxfId="72" priority="58" stopIfTrue="1" operator="equal">
      <formula>"/"</formula>
    </cfRule>
  </conditionalFormatting>
  <conditionalFormatting sqref="K172">
    <cfRule type="cellIs" dxfId="71" priority="54" stopIfTrue="1" operator="equal">
      <formula>"/"</formula>
    </cfRule>
  </conditionalFormatting>
  <conditionalFormatting sqref="D161:H163 D165:H165 D169:H169">
    <cfRule type="cellIs" dxfId="70" priority="56" stopIfTrue="1" operator="equal">
      <formula>"/"</formula>
    </cfRule>
  </conditionalFormatting>
  <conditionalFormatting sqref="C172">
    <cfRule type="cellIs" dxfId="69" priority="55" stopIfTrue="1" operator="equal">
      <formula>"/"</formula>
    </cfRule>
  </conditionalFormatting>
  <conditionalFormatting sqref="K186">
    <cfRule type="cellIs" dxfId="68" priority="51" stopIfTrue="1" operator="equal">
      <formula>"/"</formula>
    </cfRule>
  </conditionalFormatting>
  <conditionalFormatting sqref="D176:H177 D179:H179">
    <cfRule type="cellIs" dxfId="67" priority="53" stopIfTrue="1" operator="equal">
      <formula>"/"</formula>
    </cfRule>
  </conditionalFormatting>
  <conditionalFormatting sqref="C186">
    <cfRule type="cellIs" dxfId="66" priority="52" stopIfTrue="1" operator="equal">
      <formula>"/"</formula>
    </cfRule>
  </conditionalFormatting>
  <conditionalFormatting sqref="D190:H191 D193:H193 D197:H197">
    <cfRule type="cellIs" dxfId="65" priority="50" stopIfTrue="1" operator="equal">
      <formula>"/"</formula>
    </cfRule>
  </conditionalFormatting>
  <conditionalFormatting sqref="C200">
    <cfRule type="cellIs" dxfId="64" priority="49" stopIfTrue="1" operator="equal">
      <formula>"/"</formula>
    </cfRule>
  </conditionalFormatting>
  <conditionalFormatting sqref="K200">
    <cfRule type="cellIs" dxfId="63" priority="47" stopIfTrue="1" operator="equal">
      <formula>"/"</formula>
    </cfRule>
  </conditionalFormatting>
  <conditionalFormatting sqref="D212:H216 D218:H218">
    <cfRule type="cellIs" dxfId="62" priority="46" stopIfTrue="1" operator="equal">
      <formula>"/"</formula>
    </cfRule>
  </conditionalFormatting>
  <conditionalFormatting sqref="C221">
    <cfRule type="cellIs" dxfId="61" priority="45" stopIfTrue="1" operator="equal">
      <formula>"/"</formula>
    </cfRule>
  </conditionalFormatting>
  <conditionalFormatting sqref="D221">
    <cfRule type="cellIs" dxfId="60" priority="43" stopIfTrue="1" operator="equal">
      <formula>"/"</formula>
    </cfRule>
  </conditionalFormatting>
  <conditionalFormatting sqref="E221">
    <cfRule type="cellIs" dxfId="59" priority="42" stopIfTrue="1" operator="equal">
      <formula>"/"</formula>
    </cfRule>
  </conditionalFormatting>
  <conditionalFormatting sqref="E221">
    <cfRule type="cellIs" dxfId="58" priority="40" stopIfTrue="1" operator="equal">
      <formula>"/"</formula>
    </cfRule>
  </conditionalFormatting>
  <conditionalFormatting sqref="E221">
    <cfRule type="cellIs" dxfId="57" priority="41" stopIfTrue="1" operator="equal">
      <formula>"/"</formula>
    </cfRule>
  </conditionalFormatting>
  <conditionalFormatting sqref="F221">
    <cfRule type="cellIs" dxfId="56" priority="39" stopIfTrue="1" operator="equal">
      <formula>"/"</formula>
    </cfRule>
  </conditionalFormatting>
  <conditionalFormatting sqref="F221">
    <cfRule type="cellIs" dxfId="55" priority="38" stopIfTrue="1" operator="equal">
      <formula>"/"</formula>
    </cfRule>
  </conditionalFormatting>
  <conditionalFormatting sqref="F221">
    <cfRule type="cellIs" dxfId="54" priority="37" stopIfTrue="1" operator="equal">
      <formula>"/"</formula>
    </cfRule>
  </conditionalFormatting>
  <conditionalFormatting sqref="F221">
    <cfRule type="cellIs" dxfId="53" priority="36" stopIfTrue="1" operator="equal">
      <formula>"/"</formula>
    </cfRule>
  </conditionalFormatting>
  <conditionalFormatting sqref="F221">
    <cfRule type="cellIs" dxfId="52" priority="35" stopIfTrue="1" operator="equal">
      <formula>"/"</formula>
    </cfRule>
  </conditionalFormatting>
  <conditionalFormatting sqref="F221">
    <cfRule type="cellIs" dxfId="51" priority="34" stopIfTrue="1" operator="equal">
      <formula>"/"</formula>
    </cfRule>
  </conditionalFormatting>
  <conditionalFormatting sqref="G221">
    <cfRule type="cellIs" dxfId="50" priority="33" stopIfTrue="1" operator="equal">
      <formula>"/"</formula>
    </cfRule>
  </conditionalFormatting>
  <conditionalFormatting sqref="H221">
    <cfRule type="cellIs" dxfId="49" priority="32" stopIfTrue="1" operator="equal">
      <formula>"/"</formula>
    </cfRule>
  </conditionalFormatting>
  <conditionalFormatting sqref="D54:H68">
    <cfRule type="cellIs" dxfId="48" priority="30" operator="greaterThan">
      <formula>0</formula>
    </cfRule>
  </conditionalFormatting>
  <conditionalFormatting sqref="L54:P57">
    <cfRule type="cellIs" dxfId="47" priority="29" operator="greaterThan">
      <formula>0</formula>
    </cfRule>
  </conditionalFormatting>
  <conditionalFormatting sqref="D84:H98">
    <cfRule type="cellIs" dxfId="46" priority="28" operator="greaterThan">
      <formula>0</formula>
    </cfRule>
  </conditionalFormatting>
  <conditionalFormatting sqref="L84:P93">
    <cfRule type="cellIs" dxfId="45" priority="27" operator="greaterThan">
      <formula>0</formula>
    </cfRule>
  </conditionalFormatting>
  <conditionalFormatting sqref="M107:Q108 L109:Q109">
    <cfRule type="cellIs" dxfId="44" priority="26" stopIfTrue="1" operator="equal">
      <formula>"/"</formula>
    </cfRule>
  </conditionalFormatting>
  <conditionalFormatting sqref="E121:I122 D123:I123">
    <cfRule type="cellIs" dxfId="43" priority="25" stopIfTrue="1" operator="equal">
      <formula>"/"</formula>
    </cfRule>
  </conditionalFormatting>
  <conditionalFormatting sqref="M121:Q123">
    <cfRule type="cellIs" dxfId="42" priority="24" stopIfTrue="1" operator="equal">
      <formula>"/"</formula>
    </cfRule>
  </conditionalFormatting>
  <conditionalFormatting sqref="L123">
    <cfRule type="cellIs" dxfId="41" priority="23" stopIfTrue="1" operator="equal">
      <formula>"/"</formula>
    </cfRule>
  </conditionalFormatting>
  <conditionalFormatting sqref="E136:I137 D138:I138">
    <cfRule type="cellIs" dxfId="40" priority="22" stopIfTrue="1" operator="equal">
      <formula>"/"</formula>
    </cfRule>
  </conditionalFormatting>
  <conditionalFormatting sqref="M136:Q138">
    <cfRule type="cellIs" dxfId="39" priority="21" stopIfTrue="1" operator="equal">
      <formula>"/"</formula>
    </cfRule>
  </conditionalFormatting>
  <conditionalFormatting sqref="L138">
    <cfRule type="cellIs" dxfId="38" priority="19" stopIfTrue="1" operator="equal">
      <formula>"/"</formula>
    </cfRule>
  </conditionalFormatting>
  <conditionalFormatting sqref="L153">
    <cfRule type="cellIs" dxfId="37" priority="15" stopIfTrue="1" operator="equal">
      <formula>"/"</formula>
    </cfRule>
  </conditionalFormatting>
  <conditionalFormatting sqref="E151:I152 D153:I153">
    <cfRule type="cellIs" dxfId="36" priority="18" stopIfTrue="1" operator="equal">
      <formula>"/"</formula>
    </cfRule>
  </conditionalFormatting>
  <conditionalFormatting sqref="M151:Q153">
    <cfRule type="cellIs" dxfId="35" priority="17" stopIfTrue="1" operator="equal">
      <formula>"/"</formula>
    </cfRule>
  </conditionalFormatting>
  <conditionalFormatting sqref="L168">
    <cfRule type="cellIs" dxfId="34" priority="11" stopIfTrue="1" operator="equal">
      <formula>"/"</formula>
    </cfRule>
  </conditionalFormatting>
  <conditionalFormatting sqref="E166:I167 D168:I168">
    <cfRule type="cellIs" dxfId="33" priority="14" stopIfTrue="1" operator="equal">
      <formula>"/"</formula>
    </cfRule>
  </conditionalFormatting>
  <conditionalFormatting sqref="M166:Q168">
    <cfRule type="cellIs" dxfId="32" priority="13" stopIfTrue="1" operator="equal">
      <formula>"/"</formula>
    </cfRule>
  </conditionalFormatting>
  <conditionalFormatting sqref="E180:I181 D182:I182">
    <cfRule type="cellIs" dxfId="31" priority="10" stopIfTrue="1" operator="equal">
      <formula>"/"</formula>
    </cfRule>
  </conditionalFormatting>
  <conditionalFormatting sqref="M180:Q182">
    <cfRule type="cellIs" dxfId="30" priority="9" stopIfTrue="1" operator="equal">
      <formula>"/"</formula>
    </cfRule>
  </conditionalFormatting>
  <conditionalFormatting sqref="L182">
    <cfRule type="cellIs" dxfId="29" priority="3" stopIfTrue="1" operator="equal">
      <formula>"/"</formula>
    </cfRule>
  </conditionalFormatting>
  <conditionalFormatting sqref="E194:I196">
    <cfRule type="cellIs" dxfId="28" priority="6" stopIfTrue="1" operator="equal">
      <formula>"/"</formula>
    </cfRule>
  </conditionalFormatting>
  <conditionalFormatting sqref="M194:Q196">
    <cfRule type="cellIs" dxfId="27" priority="5" stopIfTrue="1" operator="equal">
      <formula>"/"</formula>
    </cfRule>
  </conditionalFormatting>
  <conditionalFormatting sqref="D196">
    <cfRule type="cellIs" dxfId="26" priority="2" stopIfTrue="1" operator="equal">
      <formula>"/"</formula>
    </cfRule>
  </conditionalFormatting>
  <conditionalFormatting sqref="L196">
    <cfRule type="cellIs" dxfId="25" priority="1" stopIfTrue="1" operator="equal">
      <formula>"/"</formula>
    </cfRule>
  </conditionalFormatting>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314"/>
  <sheetViews>
    <sheetView tabSelected="1" zoomScale="85" zoomScaleNormal="85" workbookViewId="0">
      <selection activeCell="A253" sqref="A253"/>
    </sheetView>
  </sheetViews>
  <sheetFormatPr defaultRowHeight="15.75" x14ac:dyDescent="0.15"/>
  <cols>
    <col min="1" max="1" width="9.125" style="14" customWidth="1"/>
    <col min="2" max="2" width="6.25" style="14" customWidth="1"/>
    <col min="3" max="3" width="9" style="14" customWidth="1"/>
    <col min="4" max="8" width="9" style="14"/>
    <col min="9" max="9" width="8.75" style="14" customWidth="1"/>
    <col min="10" max="10" width="8.25" style="14" customWidth="1"/>
    <col min="11" max="17" width="9" style="14"/>
    <col min="18" max="18" width="9.375" style="14" customWidth="1"/>
    <col min="19" max="16384" width="9" style="14"/>
  </cols>
  <sheetData>
    <row r="1" spans="1:17" ht="21" x14ac:dyDescent="0.15">
      <c r="A1" s="254" t="s">
        <v>129</v>
      </c>
      <c r="B1" s="46"/>
      <c r="G1" s="17"/>
      <c r="J1" s="16" t="s">
        <v>130</v>
      </c>
      <c r="K1" s="14" t="str">
        <f>GUGS()</f>
        <v>GUGS: ver. 1.01</v>
      </c>
    </row>
    <row r="2" spans="1:17" x14ac:dyDescent="0.15">
      <c r="A2" s="16"/>
      <c r="B2" s="16"/>
      <c r="G2" s="17"/>
      <c r="J2" s="17"/>
    </row>
    <row r="3" spans="1:17" x14ac:dyDescent="0.15">
      <c r="A3" s="47" t="s">
        <v>1216</v>
      </c>
      <c r="B3" s="47"/>
      <c r="C3" s="48"/>
      <c r="D3" s="48"/>
      <c r="E3" s="48"/>
      <c r="F3" s="48"/>
      <c r="G3" s="49"/>
      <c r="H3" s="48"/>
      <c r="I3" s="48"/>
      <c r="J3" s="49"/>
      <c r="K3" s="48"/>
      <c r="L3" s="48"/>
      <c r="M3" s="48"/>
    </row>
    <row r="4" spans="1:17" ht="13.5" customHeight="1" x14ac:dyDescent="0.15">
      <c r="C4" s="109"/>
      <c r="D4" s="110"/>
      <c r="E4" s="110"/>
      <c r="F4" s="110"/>
      <c r="G4" s="110"/>
    </row>
    <row r="5" spans="1:17" ht="57.75" customHeight="1" x14ac:dyDescent="0.15">
      <c r="B5" s="298" t="s">
        <v>1570</v>
      </c>
      <c r="C5" s="298"/>
      <c r="D5" s="298"/>
      <c r="E5" s="298"/>
      <c r="F5" s="298"/>
      <c r="G5" s="298"/>
      <c r="H5" s="298"/>
      <c r="I5" s="298"/>
      <c r="J5" s="298"/>
    </row>
    <row r="6" spans="1:17" ht="13.5" customHeight="1" x14ac:dyDescent="0.15">
      <c r="C6" s="50"/>
      <c r="D6" s="111"/>
      <c r="E6" s="111"/>
      <c r="F6" s="111"/>
      <c r="G6" s="111"/>
    </row>
    <row r="8" spans="1:17" x14ac:dyDescent="0.15">
      <c r="A8" s="66" t="s">
        <v>395</v>
      </c>
      <c r="B8" s="67" t="s">
        <v>509</v>
      </c>
      <c r="C8" s="67"/>
      <c r="D8" s="67"/>
      <c r="E8" s="67"/>
      <c r="F8" s="67"/>
      <c r="G8" s="68"/>
      <c r="H8" s="67"/>
      <c r="I8" s="67"/>
      <c r="J8" s="68"/>
      <c r="K8" s="67"/>
      <c r="L8" s="67"/>
      <c r="M8" s="67"/>
      <c r="N8" s="67"/>
      <c r="O8" s="67"/>
      <c r="P8" s="67"/>
      <c r="Q8" s="67"/>
    </row>
    <row r="9" spans="1:17" x14ac:dyDescent="0.15">
      <c r="A9" s="16"/>
      <c r="B9" s="16"/>
      <c r="C9" s="86" t="s">
        <v>713</v>
      </c>
      <c r="F9" s="17"/>
      <c r="I9" s="17"/>
      <c r="J9" s="17"/>
      <c r="L9" s="17"/>
    </row>
    <row r="10" spans="1:17" x14ac:dyDescent="0.15">
      <c r="A10" s="16"/>
      <c r="B10" s="16"/>
      <c r="C10" s="86" t="s">
        <v>714</v>
      </c>
      <c r="F10" s="17"/>
      <c r="I10" s="17"/>
      <c r="J10" s="17"/>
      <c r="L10" s="17"/>
    </row>
    <row r="11" spans="1:17" x14ac:dyDescent="0.15">
      <c r="A11" s="16"/>
      <c r="B11" s="16"/>
      <c r="C11" s="86"/>
      <c r="F11" s="17"/>
      <c r="I11" s="17"/>
      <c r="J11" s="17"/>
      <c r="L11" s="17"/>
    </row>
    <row r="12" spans="1:17" x14ac:dyDescent="0.15">
      <c r="A12" s="16"/>
      <c r="B12" s="16"/>
      <c r="C12" s="76" t="s">
        <v>1381</v>
      </c>
      <c r="K12" s="76" t="s">
        <v>1382</v>
      </c>
      <c r="L12" s="17"/>
    </row>
    <row r="13" spans="1:17" x14ac:dyDescent="0.15">
      <c r="A13" s="16"/>
      <c r="B13" s="16"/>
      <c r="C13" s="76"/>
      <c r="K13" s="76"/>
      <c r="L13" s="17"/>
    </row>
    <row r="14" spans="1:17" x14ac:dyDescent="0.15">
      <c r="A14" s="16"/>
      <c r="B14" s="69" t="s">
        <v>879</v>
      </c>
      <c r="C14" s="58"/>
      <c r="D14" s="70" t="s">
        <v>1348</v>
      </c>
      <c r="E14" s="59"/>
      <c r="F14" s="58"/>
      <c r="G14" s="58"/>
      <c r="H14" s="71"/>
      <c r="I14" s="17"/>
      <c r="K14" s="58" t="s">
        <v>879</v>
      </c>
      <c r="L14" s="58"/>
      <c r="M14" s="70" t="s">
        <v>1349</v>
      </c>
      <c r="N14" s="59"/>
      <c r="O14" s="58"/>
      <c r="P14" s="58"/>
      <c r="Q14" s="58"/>
    </row>
    <row r="15" spans="1:17" x14ac:dyDescent="0.15">
      <c r="A15" s="16"/>
      <c r="B15" s="72" t="s">
        <v>1042</v>
      </c>
      <c r="C15" s="32"/>
      <c r="D15" s="32" t="s">
        <v>1350</v>
      </c>
      <c r="E15" s="61"/>
      <c r="F15" s="32"/>
      <c r="G15" s="32"/>
      <c r="H15" s="73"/>
      <c r="I15" s="17"/>
      <c r="K15" s="32" t="s">
        <v>1042</v>
      </c>
      <c r="L15" s="32"/>
      <c r="M15" s="32" t="s">
        <v>1351</v>
      </c>
      <c r="N15" s="61"/>
      <c r="O15" s="32"/>
      <c r="P15" s="32"/>
      <c r="Q15" s="32"/>
    </row>
    <row r="16" spans="1:17" x14ac:dyDescent="0.15">
      <c r="A16" s="16"/>
      <c r="B16" s="74" t="s">
        <v>887</v>
      </c>
      <c r="C16" s="62"/>
      <c r="D16" s="62" t="s">
        <v>1080</v>
      </c>
      <c r="E16" s="63"/>
      <c r="F16" s="62"/>
      <c r="G16" s="62"/>
      <c r="H16" s="75"/>
      <c r="I16" s="17"/>
      <c r="K16" s="62" t="s">
        <v>887</v>
      </c>
      <c r="L16" s="62"/>
      <c r="M16" s="62" t="s">
        <v>1080</v>
      </c>
      <c r="N16" s="63"/>
      <c r="O16" s="62"/>
      <c r="P16" s="62"/>
      <c r="Q16" s="62"/>
    </row>
    <row r="17" spans="1:17" ht="18" customHeight="1" x14ac:dyDescent="0.15">
      <c r="A17" s="16"/>
      <c r="B17" s="16"/>
      <c r="F17" s="17"/>
      <c r="I17" s="17"/>
      <c r="J17" s="17"/>
      <c r="L17" s="17"/>
    </row>
    <row r="18" spans="1:17" x14ac:dyDescent="0.15">
      <c r="A18" s="16"/>
      <c r="B18" s="16"/>
      <c r="C18" s="112" t="s">
        <v>55</v>
      </c>
      <c r="D18" s="112" t="s">
        <v>55</v>
      </c>
      <c r="E18" s="113" t="s">
        <v>510</v>
      </c>
      <c r="F18" s="114"/>
      <c r="G18" s="81"/>
      <c r="H18" s="17"/>
      <c r="K18" s="112" t="s">
        <v>64</v>
      </c>
      <c r="L18" s="112" t="s">
        <v>65</v>
      </c>
      <c r="M18" s="113" t="s">
        <v>511</v>
      </c>
      <c r="N18" s="114"/>
    </row>
    <row r="19" spans="1:17" x14ac:dyDescent="0.15">
      <c r="A19" s="16"/>
      <c r="B19" s="16"/>
      <c r="C19" s="17" t="s">
        <v>7</v>
      </c>
      <c r="D19" s="61" t="s">
        <v>52</v>
      </c>
      <c r="E19" s="114" t="b">
        <f t="shared" ref="E19:E25" si="0">AlleleShared(C19,D19)</f>
        <v>0</v>
      </c>
      <c r="G19" s="17"/>
      <c r="H19" s="17"/>
      <c r="K19" s="17" t="s">
        <v>96</v>
      </c>
      <c r="L19" s="17" t="s">
        <v>97</v>
      </c>
      <c r="M19" s="114" t="b">
        <f>SNPAlleleShared(K19,L19)</f>
        <v>1</v>
      </c>
    </row>
    <row r="20" spans="1:17" x14ac:dyDescent="0.15">
      <c r="A20" s="16"/>
      <c r="B20" s="16"/>
      <c r="C20" s="17" t="s">
        <v>6</v>
      </c>
      <c r="D20" s="17" t="s">
        <v>7</v>
      </c>
      <c r="E20" s="114" t="b">
        <f t="shared" si="0"/>
        <v>1</v>
      </c>
      <c r="G20" s="17"/>
      <c r="H20" s="17"/>
      <c r="K20" s="17" t="s">
        <v>95</v>
      </c>
      <c r="L20" s="17" t="s">
        <v>98</v>
      </c>
      <c r="M20" s="114" t="b">
        <f>SNPAlleleShared(K20,L20)</f>
        <v>0</v>
      </c>
    </row>
    <row r="21" spans="1:17" x14ac:dyDescent="0.15">
      <c r="A21" s="16"/>
      <c r="B21" s="16"/>
      <c r="C21" s="17" t="s">
        <v>50</v>
      </c>
      <c r="D21" s="17" t="s">
        <v>7</v>
      </c>
      <c r="E21" s="114" t="b">
        <f t="shared" si="0"/>
        <v>0</v>
      </c>
      <c r="G21" s="17"/>
      <c r="H21" s="17"/>
      <c r="K21" s="17" t="s">
        <v>8</v>
      </c>
      <c r="L21" s="17" t="s">
        <v>63</v>
      </c>
      <c r="M21" s="114" t="b">
        <f>SNPAlleleShared(K21,L21)</f>
        <v>1</v>
      </c>
    </row>
    <row r="22" spans="1:17" x14ac:dyDescent="0.15">
      <c r="A22" s="16"/>
      <c r="B22" s="16"/>
      <c r="C22" s="17" t="s">
        <v>52</v>
      </c>
      <c r="D22" s="17" t="s">
        <v>50</v>
      </c>
      <c r="E22" s="114" t="b">
        <f t="shared" si="0"/>
        <v>1</v>
      </c>
      <c r="G22" s="17"/>
      <c r="H22" s="17"/>
      <c r="K22" s="17" t="s">
        <v>63</v>
      </c>
      <c r="L22" s="17" t="s">
        <v>8</v>
      </c>
      <c r="M22" s="114" t="b">
        <f>SNPAlleleShared(K22,L22)</f>
        <v>1</v>
      </c>
    </row>
    <row r="23" spans="1:17" x14ac:dyDescent="0.15">
      <c r="A23" s="16"/>
      <c r="B23" s="16"/>
      <c r="C23" s="17" t="s">
        <v>52</v>
      </c>
      <c r="D23" s="17" t="s">
        <v>52</v>
      </c>
      <c r="E23" s="114" t="b">
        <f t="shared" si="0"/>
        <v>1</v>
      </c>
      <c r="G23" s="17"/>
      <c r="H23" s="17"/>
      <c r="K23" s="63" t="s">
        <v>99</v>
      </c>
      <c r="L23" s="63" t="s">
        <v>166</v>
      </c>
      <c r="M23" s="115" t="b">
        <f>SNPAlleleShared(K23,L23)</f>
        <v>0</v>
      </c>
    </row>
    <row r="24" spans="1:17" x14ac:dyDescent="0.15">
      <c r="A24" s="16"/>
      <c r="B24" s="16"/>
      <c r="C24" s="17" t="s">
        <v>52</v>
      </c>
      <c r="D24" s="17" t="s">
        <v>100</v>
      </c>
      <c r="E24" s="114" t="b">
        <f t="shared" si="0"/>
        <v>0</v>
      </c>
      <c r="G24" s="17"/>
      <c r="I24" s="17"/>
      <c r="K24" s="17"/>
    </row>
    <row r="25" spans="1:17" x14ac:dyDescent="0.15">
      <c r="A25" s="16"/>
      <c r="B25" s="16"/>
      <c r="C25" s="63" t="s">
        <v>52</v>
      </c>
      <c r="D25" s="63" t="s">
        <v>52</v>
      </c>
      <c r="E25" s="115" t="b">
        <f t="shared" si="0"/>
        <v>1</v>
      </c>
      <c r="G25" s="17"/>
      <c r="I25" s="17"/>
      <c r="K25" s="17"/>
    </row>
    <row r="26" spans="1:17" x14ac:dyDescent="0.15">
      <c r="A26" s="16"/>
      <c r="B26" s="16"/>
      <c r="F26" s="17"/>
      <c r="G26" s="61"/>
      <c r="I26" s="17"/>
      <c r="K26" s="17"/>
      <c r="M26" s="17"/>
    </row>
    <row r="27" spans="1:17" x14ac:dyDescent="0.15">
      <c r="A27" s="16"/>
      <c r="B27" s="16"/>
      <c r="F27" s="17"/>
      <c r="G27" s="61"/>
      <c r="I27" s="17"/>
      <c r="K27" s="17"/>
      <c r="M27" s="17"/>
    </row>
    <row r="28" spans="1:17" x14ac:dyDescent="0.15">
      <c r="A28" s="66" t="s">
        <v>396</v>
      </c>
      <c r="B28" s="67" t="s">
        <v>512</v>
      </c>
      <c r="C28" s="67"/>
      <c r="D28" s="67"/>
      <c r="E28" s="67"/>
      <c r="F28" s="67"/>
      <c r="G28" s="68"/>
      <c r="H28" s="67"/>
      <c r="I28" s="67"/>
      <c r="J28" s="68"/>
      <c r="K28" s="67"/>
      <c r="L28" s="67"/>
      <c r="M28" s="67"/>
      <c r="N28" s="67"/>
      <c r="O28" s="67"/>
      <c r="P28" s="67"/>
      <c r="Q28" s="67"/>
    </row>
    <row r="29" spans="1:17" x14ac:dyDescent="0.15">
      <c r="A29" s="16"/>
      <c r="B29" s="16"/>
      <c r="C29" s="14" t="s">
        <v>1138</v>
      </c>
      <c r="F29" s="17"/>
      <c r="G29" s="61"/>
      <c r="I29" s="17"/>
      <c r="K29" s="17"/>
      <c r="M29" s="17"/>
    </row>
    <row r="30" spans="1:17" x14ac:dyDescent="0.15">
      <c r="A30" s="16"/>
      <c r="B30" s="16"/>
      <c r="C30" s="14" t="s">
        <v>715</v>
      </c>
      <c r="F30" s="17"/>
      <c r="I30" s="17"/>
      <c r="K30" s="17"/>
      <c r="M30" s="17"/>
    </row>
    <row r="31" spans="1:17" x14ac:dyDescent="0.15">
      <c r="A31" s="16"/>
      <c r="B31" s="16"/>
      <c r="C31" s="14" t="s">
        <v>716</v>
      </c>
      <c r="F31" s="17"/>
      <c r="I31" s="17"/>
      <c r="K31" s="17"/>
      <c r="M31" s="17"/>
    </row>
    <row r="32" spans="1:17" x14ac:dyDescent="0.15">
      <c r="A32" s="16"/>
      <c r="B32" s="16"/>
      <c r="F32" s="17"/>
      <c r="I32" s="17"/>
      <c r="K32" s="17"/>
      <c r="M32" s="17"/>
    </row>
    <row r="33" spans="1:17" x14ac:dyDescent="0.15">
      <c r="A33" s="16"/>
      <c r="B33" s="69" t="s">
        <v>879</v>
      </c>
      <c r="C33" s="58"/>
      <c r="D33" s="70" t="s">
        <v>1352</v>
      </c>
      <c r="E33" s="59"/>
      <c r="F33" s="58"/>
      <c r="G33" s="58"/>
      <c r="H33" s="71"/>
      <c r="I33" s="17"/>
      <c r="K33" s="69" t="s">
        <v>879</v>
      </c>
      <c r="L33" s="58"/>
      <c r="M33" s="70" t="s">
        <v>1353</v>
      </c>
      <c r="N33" s="59"/>
      <c r="O33" s="58"/>
      <c r="P33" s="58"/>
      <c r="Q33" s="71"/>
    </row>
    <row r="34" spans="1:17" x14ac:dyDescent="0.15">
      <c r="A34" s="16"/>
      <c r="B34" s="72" t="s">
        <v>1042</v>
      </c>
      <c r="C34" s="32"/>
      <c r="D34" s="32" t="s">
        <v>1354</v>
      </c>
      <c r="E34" s="61"/>
      <c r="F34" s="32"/>
      <c r="G34" s="32"/>
      <c r="H34" s="73"/>
      <c r="I34" s="17"/>
      <c r="K34" s="72" t="s">
        <v>1042</v>
      </c>
      <c r="L34" s="32"/>
      <c r="M34" s="32" t="s">
        <v>1355</v>
      </c>
      <c r="N34" s="61"/>
      <c r="O34" s="32"/>
      <c r="P34" s="32"/>
      <c r="Q34" s="73"/>
    </row>
    <row r="35" spans="1:17" x14ac:dyDescent="0.15">
      <c r="A35" s="16"/>
      <c r="B35" s="72"/>
      <c r="C35" s="32"/>
      <c r="D35" s="32" t="s">
        <v>1356</v>
      </c>
      <c r="E35" s="32"/>
      <c r="F35" s="32"/>
      <c r="G35" s="32"/>
      <c r="H35" s="73"/>
      <c r="K35" s="72"/>
      <c r="L35" s="32"/>
      <c r="M35" s="32" t="s">
        <v>1357</v>
      </c>
      <c r="N35" s="32"/>
      <c r="O35" s="32"/>
      <c r="P35" s="32"/>
      <c r="Q35" s="73"/>
    </row>
    <row r="36" spans="1:17" x14ac:dyDescent="0.15">
      <c r="A36" s="16"/>
      <c r="B36" s="74" t="s">
        <v>887</v>
      </c>
      <c r="C36" s="62"/>
      <c r="D36" s="62" t="s">
        <v>1139</v>
      </c>
      <c r="E36" s="63"/>
      <c r="F36" s="62"/>
      <c r="G36" s="62"/>
      <c r="H36" s="75"/>
      <c r="I36" s="17"/>
      <c r="K36" s="74" t="s">
        <v>887</v>
      </c>
      <c r="L36" s="62"/>
      <c r="M36" s="62" t="s">
        <v>1139</v>
      </c>
      <c r="N36" s="63"/>
      <c r="O36" s="62"/>
      <c r="P36" s="62"/>
      <c r="Q36" s="75"/>
    </row>
    <row r="38" spans="1:17" x14ac:dyDescent="0.15">
      <c r="A38" s="16"/>
      <c r="B38" s="16"/>
      <c r="C38" s="76" t="s">
        <v>1381</v>
      </c>
      <c r="K38" s="76" t="s">
        <v>1383</v>
      </c>
    </row>
    <row r="39" spans="1:17" x14ac:dyDescent="0.15">
      <c r="A39" s="16"/>
      <c r="B39" s="16"/>
      <c r="F39" s="17"/>
      <c r="I39" s="17"/>
    </row>
    <row r="40" spans="1:17" x14ac:dyDescent="0.15">
      <c r="A40" s="16"/>
      <c r="B40" s="16"/>
      <c r="C40" s="112" t="s">
        <v>103</v>
      </c>
      <c r="D40" s="112" t="s">
        <v>104</v>
      </c>
      <c r="E40" s="112" t="s">
        <v>105</v>
      </c>
      <c r="F40" s="113" t="s">
        <v>1081</v>
      </c>
      <c r="G40" s="113"/>
      <c r="H40" s="113"/>
      <c r="I40" s="113"/>
      <c r="K40" s="112" t="s">
        <v>101</v>
      </c>
      <c r="L40" s="112" t="s">
        <v>102</v>
      </c>
      <c r="M40" s="112" t="s">
        <v>85</v>
      </c>
      <c r="N40" s="113" t="s">
        <v>1082</v>
      </c>
      <c r="O40" s="113"/>
      <c r="P40" s="113"/>
      <c r="Q40" s="113"/>
    </row>
    <row r="41" spans="1:17" x14ac:dyDescent="0.15">
      <c r="A41" s="16"/>
      <c r="B41" s="16"/>
      <c r="C41" s="17" t="s">
        <v>106</v>
      </c>
      <c r="D41" s="17" t="s">
        <v>106</v>
      </c>
      <c r="E41" s="17" t="s">
        <v>7</v>
      </c>
      <c r="F41" s="114" t="b">
        <f t="shared" ref="F41:F49" si="1">IsChild(E41,C41,D41)</f>
        <v>1</v>
      </c>
      <c r="G41" s="17"/>
      <c r="H41" s="17"/>
      <c r="K41" s="17" t="s">
        <v>11</v>
      </c>
      <c r="L41" s="17" t="s">
        <v>11</v>
      </c>
      <c r="M41" s="17" t="s">
        <v>11</v>
      </c>
      <c r="N41" s="81" t="b">
        <f t="shared" ref="N41:N56" si="2">MIsChild(M41,K41,L41)</f>
        <v>1</v>
      </c>
    </row>
    <row r="42" spans="1:17" x14ac:dyDescent="0.15">
      <c r="A42" s="16"/>
      <c r="B42" s="16"/>
      <c r="C42" s="17" t="s">
        <v>107</v>
      </c>
      <c r="D42" s="17" t="s">
        <v>108</v>
      </c>
      <c r="E42" s="17" t="s">
        <v>109</v>
      </c>
      <c r="F42" s="114" t="b">
        <f t="shared" si="1"/>
        <v>1</v>
      </c>
      <c r="G42" s="17"/>
      <c r="H42" s="17"/>
      <c r="K42" s="17" t="s">
        <v>11</v>
      </c>
      <c r="L42" s="17" t="s">
        <v>11</v>
      </c>
      <c r="M42" s="17" t="s">
        <v>12</v>
      </c>
      <c r="N42" s="81" t="b">
        <f t="shared" si="2"/>
        <v>0</v>
      </c>
    </row>
    <row r="43" spans="1:17" x14ac:dyDescent="0.15">
      <c r="A43" s="16"/>
      <c r="B43" s="16"/>
      <c r="C43" s="17" t="s">
        <v>53</v>
      </c>
      <c r="D43" s="17" t="s">
        <v>53</v>
      </c>
      <c r="E43" s="17" t="s">
        <v>67</v>
      </c>
      <c r="F43" s="114" t="b">
        <f t="shared" si="1"/>
        <v>1</v>
      </c>
      <c r="G43" s="17"/>
      <c r="H43" s="17"/>
      <c r="K43" s="17" t="s">
        <v>11</v>
      </c>
      <c r="L43" s="17" t="s">
        <v>11</v>
      </c>
      <c r="M43" s="17" t="s">
        <v>13</v>
      </c>
      <c r="N43" s="81" t="b">
        <f t="shared" si="2"/>
        <v>0</v>
      </c>
    </row>
    <row r="44" spans="1:17" x14ac:dyDescent="0.15">
      <c r="A44" s="16"/>
      <c r="B44" s="16"/>
      <c r="C44" s="17" t="s">
        <v>106</v>
      </c>
      <c r="D44" s="17" t="s">
        <v>106</v>
      </c>
      <c r="E44" s="17" t="s">
        <v>7</v>
      </c>
      <c r="F44" s="114" t="b">
        <f t="shared" si="1"/>
        <v>1</v>
      </c>
      <c r="G44" s="17"/>
      <c r="H44" s="17"/>
      <c r="K44" s="17" t="s">
        <v>12</v>
      </c>
      <c r="L44" s="17" t="s">
        <v>12</v>
      </c>
      <c r="M44" s="17" t="s">
        <v>12</v>
      </c>
      <c r="N44" s="81" t="b">
        <f t="shared" si="2"/>
        <v>1</v>
      </c>
    </row>
    <row r="45" spans="1:17" x14ac:dyDescent="0.15">
      <c r="A45" s="16"/>
      <c r="B45" s="16"/>
      <c r="C45" s="17" t="s">
        <v>107</v>
      </c>
      <c r="D45" s="17" t="s">
        <v>50</v>
      </c>
      <c r="E45" s="17" t="s">
        <v>50</v>
      </c>
      <c r="F45" s="114" t="b">
        <f t="shared" si="1"/>
        <v>0</v>
      </c>
      <c r="G45" s="17"/>
      <c r="H45" s="17"/>
      <c r="K45" s="17" t="s">
        <v>12</v>
      </c>
      <c r="L45" s="17" t="s">
        <v>11</v>
      </c>
      <c r="M45" s="17" t="s">
        <v>13</v>
      </c>
      <c r="N45" s="81" t="b">
        <f t="shared" si="2"/>
        <v>1</v>
      </c>
    </row>
    <row r="46" spans="1:17" x14ac:dyDescent="0.15">
      <c r="A46" s="16"/>
      <c r="B46" s="16"/>
      <c r="C46" s="17" t="s">
        <v>53</v>
      </c>
      <c r="D46" s="17" t="s">
        <v>51</v>
      </c>
      <c r="E46" s="17" t="s">
        <v>7</v>
      </c>
      <c r="F46" s="114" t="b">
        <f t="shared" si="1"/>
        <v>0</v>
      </c>
      <c r="G46" s="17"/>
      <c r="H46" s="17"/>
      <c r="K46" s="17" t="s">
        <v>11</v>
      </c>
      <c r="L46" s="17" t="s">
        <v>12</v>
      </c>
      <c r="M46" s="17" t="s">
        <v>13</v>
      </c>
      <c r="N46" s="81" t="b">
        <f t="shared" si="2"/>
        <v>1</v>
      </c>
    </row>
    <row r="47" spans="1:17" x14ac:dyDescent="0.15">
      <c r="A47" s="16"/>
      <c r="B47" s="16"/>
      <c r="C47" s="17" t="s">
        <v>110</v>
      </c>
      <c r="D47" s="17" t="s">
        <v>111</v>
      </c>
      <c r="E47" s="17" t="s">
        <v>111</v>
      </c>
      <c r="F47" s="114" t="b">
        <f t="shared" si="1"/>
        <v>0</v>
      </c>
      <c r="G47" s="17"/>
      <c r="H47" s="17"/>
      <c r="K47" s="17" t="s">
        <v>11</v>
      </c>
      <c r="L47" s="17" t="s">
        <v>12</v>
      </c>
      <c r="M47" s="17" t="s">
        <v>11</v>
      </c>
      <c r="N47" s="81" t="b">
        <f t="shared" si="2"/>
        <v>0</v>
      </c>
    </row>
    <row r="48" spans="1:17" x14ac:dyDescent="0.15">
      <c r="A48" s="16"/>
      <c r="B48" s="16"/>
      <c r="C48" s="61" t="s">
        <v>110</v>
      </c>
      <c r="D48" s="61" t="s">
        <v>112</v>
      </c>
      <c r="E48" s="61" t="s">
        <v>115</v>
      </c>
      <c r="F48" s="116" t="b">
        <f t="shared" si="1"/>
        <v>0</v>
      </c>
      <c r="G48" s="17"/>
      <c r="H48" s="17"/>
      <c r="K48" s="17" t="s">
        <v>11</v>
      </c>
      <c r="L48" s="17" t="s">
        <v>13</v>
      </c>
      <c r="M48" s="17" t="s">
        <v>11</v>
      </c>
      <c r="N48" s="81" t="b">
        <f t="shared" si="2"/>
        <v>1</v>
      </c>
    </row>
    <row r="49" spans="1:14" x14ac:dyDescent="0.15">
      <c r="A49" s="16"/>
      <c r="B49" s="16"/>
      <c r="C49" s="63" t="s">
        <v>113</v>
      </c>
      <c r="D49" s="63" t="s">
        <v>114</v>
      </c>
      <c r="E49" s="63" t="s">
        <v>51</v>
      </c>
      <c r="F49" s="115" t="b">
        <f t="shared" si="1"/>
        <v>0</v>
      </c>
      <c r="G49" s="17"/>
      <c r="H49" s="17"/>
      <c r="K49" s="17" t="s">
        <v>11</v>
      </c>
      <c r="L49" s="17" t="s">
        <v>13</v>
      </c>
      <c r="M49" s="17" t="s">
        <v>12</v>
      </c>
      <c r="N49" s="81" t="b">
        <f t="shared" si="2"/>
        <v>0</v>
      </c>
    </row>
    <row r="50" spans="1:14" x14ac:dyDescent="0.15">
      <c r="A50" s="16"/>
      <c r="B50" s="16"/>
      <c r="D50" s="17"/>
      <c r="G50" s="17"/>
      <c r="H50" s="17"/>
      <c r="K50" s="17" t="s">
        <v>12</v>
      </c>
      <c r="L50" s="17" t="s">
        <v>13</v>
      </c>
      <c r="M50" s="17" t="s">
        <v>13</v>
      </c>
      <c r="N50" s="81" t="b">
        <f t="shared" si="2"/>
        <v>1</v>
      </c>
    </row>
    <row r="51" spans="1:14" x14ac:dyDescent="0.15">
      <c r="A51" s="16"/>
      <c r="B51" s="69" t="s">
        <v>879</v>
      </c>
      <c r="C51" s="58"/>
      <c r="D51" s="117" t="s">
        <v>1358</v>
      </c>
      <c r="E51" s="59"/>
      <c r="F51" s="58"/>
      <c r="G51" s="58"/>
      <c r="H51" s="71"/>
      <c r="K51" s="17" t="s">
        <v>13</v>
      </c>
      <c r="L51" s="17" t="s">
        <v>12</v>
      </c>
      <c r="M51" s="17" t="s">
        <v>11</v>
      </c>
      <c r="N51" s="81" t="b">
        <f t="shared" si="2"/>
        <v>0</v>
      </c>
    </row>
    <row r="52" spans="1:14" x14ac:dyDescent="0.15">
      <c r="A52" s="16"/>
      <c r="B52" s="72" t="s">
        <v>1042</v>
      </c>
      <c r="C52" s="32"/>
      <c r="D52" s="32" t="s">
        <v>1359</v>
      </c>
      <c r="E52" s="61"/>
      <c r="F52" s="32"/>
      <c r="G52" s="32"/>
      <c r="H52" s="73"/>
      <c r="K52" s="17" t="s">
        <v>13</v>
      </c>
      <c r="L52" s="17" t="s">
        <v>11</v>
      </c>
      <c r="M52" s="17" t="s">
        <v>13</v>
      </c>
      <c r="N52" s="81" t="b">
        <f t="shared" si="2"/>
        <v>1</v>
      </c>
    </row>
    <row r="53" spans="1:14" x14ac:dyDescent="0.15">
      <c r="A53" s="16"/>
      <c r="B53" s="72"/>
      <c r="C53" s="32"/>
      <c r="D53" s="32" t="s">
        <v>1360</v>
      </c>
      <c r="E53" s="32"/>
      <c r="F53" s="32"/>
      <c r="G53" s="32"/>
      <c r="H53" s="73"/>
      <c r="K53" s="17" t="s">
        <v>13</v>
      </c>
      <c r="L53" s="17" t="s">
        <v>13</v>
      </c>
      <c r="M53" s="17" t="s">
        <v>11</v>
      </c>
      <c r="N53" s="81" t="b">
        <f t="shared" si="2"/>
        <v>1</v>
      </c>
    </row>
    <row r="54" spans="1:14" x14ac:dyDescent="0.15">
      <c r="A54" s="16"/>
      <c r="B54" s="74" t="s">
        <v>887</v>
      </c>
      <c r="C54" s="62"/>
      <c r="D54" s="62" t="s">
        <v>1139</v>
      </c>
      <c r="E54" s="63"/>
      <c r="F54" s="62"/>
      <c r="G54" s="62"/>
      <c r="H54" s="75"/>
      <c r="K54" s="17" t="s">
        <v>13</v>
      </c>
      <c r="L54" s="17" t="s">
        <v>13</v>
      </c>
      <c r="M54" s="17" t="s">
        <v>12</v>
      </c>
      <c r="N54" s="81" t="b">
        <f t="shared" si="2"/>
        <v>1</v>
      </c>
    </row>
    <row r="55" spans="1:14" x14ac:dyDescent="0.15">
      <c r="A55" s="16"/>
      <c r="B55" s="16"/>
      <c r="K55" s="61" t="s">
        <v>13</v>
      </c>
      <c r="L55" s="61" t="s">
        <v>13</v>
      </c>
      <c r="M55" s="61" t="s">
        <v>13</v>
      </c>
      <c r="N55" s="83" t="b">
        <f t="shared" si="2"/>
        <v>1</v>
      </c>
    </row>
    <row r="56" spans="1:14" x14ac:dyDescent="0.15">
      <c r="A56" s="16"/>
      <c r="B56" s="16"/>
      <c r="C56" s="76" t="s">
        <v>1382</v>
      </c>
      <c r="F56" s="17"/>
      <c r="H56" s="17"/>
      <c r="K56" s="63" t="s">
        <v>13</v>
      </c>
      <c r="L56" s="63" t="s">
        <v>117</v>
      </c>
      <c r="M56" s="63" t="s">
        <v>11</v>
      </c>
      <c r="N56" s="84" t="b">
        <f t="shared" si="2"/>
        <v>0</v>
      </c>
    </row>
    <row r="57" spans="1:14" x14ac:dyDescent="0.15">
      <c r="D57" s="17"/>
      <c r="F57" s="17"/>
      <c r="H57" s="17"/>
    </row>
    <row r="58" spans="1:14" x14ac:dyDescent="0.15">
      <c r="C58" s="112" t="s">
        <v>103</v>
      </c>
      <c r="D58" s="112" t="s">
        <v>104</v>
      </c>
      <c r="E58" s="112" t="s">
        <v>105</v>
      </c>
      <c r="F58" s="113" t="s">
        <v>513</v>
      </c>
      <c r="G58" s="113"/>
      <c r="H58" s="113"/>
      <c r="I58" s="113"/>
    </row>
    <row r="59" spans="1:14" x14ac:dyDescent="0.15">
      <c r="C59" s="17" t="s">
        <v>62</v>
      </c>
      <c r="D59" s="17" t="s">
        <v>54</v>
      </c>
      <c r="E59" s="17" t="s">
        <v>42</v>
      </c>
      <c r="F59" s="81" t="b">
        <f t="shared" ref="F59:F67" si="3">SNPIsChild(E59,C59,D59)</f>
        <v>1</v>
      </c>
      <c r="H59" s="17"/>
    </row>
    <row r="60" spans="1:14" x14ac:dyDescent="0.15">
      <c r="C60" s="17" t="s">
        <v>62</v>
      </c>
      <c r="D60" s="17" t="s">
        <v>42</v>
      </c>
      <c r="E60" s="17" t="s">
        <v>42</v>
      </c>
      <c r="F60" s="81" t="b">
        <f t="shared" si="3"/>
        <v>1</v>
      </c>
      <c r="H60" s="17"/>
    </row>
    <row r="61" spans="1:14" x14ac:dyDescent="0.15">
      <c r="C61" s="17" t="s">
        <v>54</v>
      </c>
      <c r="D61" s="17" t="s">
        <v>54</v>
      </c>
      <c r="E61" s="17" t="s">
        <v>54</v>
      </c>
      <c r="F61" s="81" t="b">
        <f t="shared" si="3"/>
        <v>1</v>
      </c>
    </row>
    <row r="62" spans="1:14" x14ac:dyDescent="0.15">
      <c r="C62" s="17" t="s">
        <v>42</v>
      </c>
      <c r="D62" s="17" t="s">
        <v>42</v>
      </c>
      <c r="E62" s="17" t="s">
        <v>62</v>
      </c>
      <c r="F62" s="81" t="b">
        <f t="shared" si="3"/>
        <v>1</v>
      </c>
    </row>
    <row r="63" spans="1:14" x14ac:dyDescent="0.15">
      <c r="C63" s="17" t="s">
        <v>42</v>
      </c>
      <c r="D63" s="17" t="s">
        <v>42</v>
      </c>
      <c r="E63" s="17" t="s">
        <v>42</v>
      </c>
      <c r="F63" s="81" t="b">
        <f t="shared" si="3"/>
        <v>1</v>
      </c>
    </row>
    <row r="64" spans="1:14" x14ac:dyDescent="0.15">
      <c r="C64" s="17" t="s">
        <v>42</v>
      </c>
      <c r="D64" s="17" t="s">
        <v>42</v>
      </c>
      <c r="E64" s="17" t="s">
        <v>54</v>
      </c>
      <c r="F64" s="81" t="b">
        <f t="shared" si="3"/>
        <v>1</v>
      </c>
    </row>
    <row r="65" spans="1:18" x14ac:dyDescent="0.15">
      <c r="C65" s="17" t="s">
        <v>54</v>
      </c>
      <c r="D65" s="17" t="s">
        <v>42</v>
      </c>
      <c r="E65" s="17" t="s">
        <v>62</v>
      </c>
      <c r="F65" s="81" t="b">
        <f>SNPIsChild(E65,C65,D65)</f>
        <v>0</v>
      </c>
    </row>
    <row r="66" spans="1:18" x14ac:dyDescent="0.15">
      <c r="C66" s="17" t="s">
        <v>54</v>
      </c>
      <c r="D66" s="17" t="s">
        <v>42</v>
      </c>
      <c r="E66" s="17" t="s">
        <v>62</v>
      </c>
      <c r="F66" s="81" t="b">
        <f t="shared" si="3"/>
        <v>0</v>
      </c>
    </row>
    <row r="67" spans="1:18" x14ac:dyDescent="0.15">
      <c r="C67" s="63" t="s">
        <v>62</v>
      </c>
      <c r="D67" s="63" t="s">
        <v>42</v>
      </c>
      <c r="E67" s="63" t="s">
        <v>54</v>
      </c>
      <c r="F67" s="84" t="b">
        <f t="shared" si="3"/>
        <v>0</v>
      </c>
    </row>
    <row r="70" spans="1:18" x14ac:dyDescent="0.15">
      <c r="A70" s="66" t="s">
        <v>514</v>
      </c>
      <c r="B70" s="67" t="s">
        <v>717</v>
      </c>
      <c r="C70" s="67"/>
      <c r="D70" s="67"/>
      <c r="E70" s="67"/>
      <c r="F70" s="67"/>
      <c r="G70" s="68"/>
      <c r="H70" s="67"/>
      <c r="I70" s="67"/>
      <c r="J70" s="68"/>
      <c r="K70" s="67"/>
      <c r="L70" s="67"/>
      <c r="M70" s="67"/>
      <c r="N70" s="67"/>
      <c r="O70" s="67"/>
      <c r="P70" s="67"/>
      <c r="Q70" s="67"/>
    </row>
    <row r="71" spans="1:18" x14ac:dyDescent="0.15">
      <c r="B71" s="14" t="s">
        <v>718</v>
      </c>
    </row>
    <row r="72" spans="1:18" x14ac:dyDescent="0.15">
      <c r="B72" s="14" t="s">
        <v>1140</v>
      </c>
    </row>
    <row r="73" spans="1:18" x14ac:dyDescent="0.15">
      <c r="B73" s="14" t="s">
        <v>719</v>
      </c>
    </row>
    <row r="75" spans="1:18" x14ac:dyDescent="0.15">
      <c r="B75" s="69" t="s">
        <v>879</v>
      </c>
      <c r="C75" s="58"/>
      <c r="D75" s="70" t="s">
        <v>1361</v>
      </c>
      <c r="E75" s="59"/>
      <c r="F75" s="58"/>
      <c r="G75" s="58"/>
      <c r="H75" s="58"/>
      <c r="I75" s="71"/>
      <c r="K75" s="69" t="s">
        <v>879</v>
      </c>
      <c r="L75" s="58"/>
      <c r="M75" s="70" t="s">
        <v>1362</v>
      </c>
      <c r="N75" s="59"/>
      <c r="O75" s="58"/>
      <c r="P75" s="58"/>
      <c r="Q75" s="58"/>
      <c r="R75" s="71"/>
    </row>
    <row r="76" spans="1:18" x14ac:dyDescent="0.15">
      <c r="B76" s="72" t="s">
        <v>1042</v>
      </c>
      <c r="C76" s="32"/>
      <c r="D76" s="32" t="s">
        <v>1354</v>
      </c>
      <c r="E76" s="61"/>
      <c r="F76" s="32"/>
      <c r="G76" s="32"/>
      <c r="H76" s="32"/>
      <c r="I76" s="73"/>
      <c r="K76" s="72" t="s">
        <v>1042</v>
      </c>
      <c r="L76" s="32"/>
      <c r="M76" s="32" t="s">
        <v>1363</v>
      </c>
      <c r="N76" s="61"/>
      <c r="O76" s="32"/>
      <c r="P76" s="32"/>
      <c r="Q76" s="32"/>
      <c r="R76" s="73"/>
    </row>
    <row r="77" spans="1:18" x14ac:dyDescent="0.15">
      <c r="B77" s="72"/>
      <c r="C77" s="32"/>
      <c r="D77" s="32" t="s">
        <v>1364</v>
      </c>
      <c r="E77" s="61"/>
      <c r="F77" s="32"/>
      <c r="G77" s="32"/>
      <c r="H77" s="32"/>
      <c r="I77" s="73"/>
      <c r="K77" s="72"/>
      <c r="L77" s="32"/>
      <c r="M77" s="32" t="s">
        <v>1365</v>
      </c>
      <c r="N77" s="61"/>
      <c r="O77" s="32"/>
      <c r="P77" s="32"/>
      <c r="Q77" s="32"/>
      <c r="R77" s="73"/>
    </row>
    <row r="78" spans="1:18" x14ac:dyDescent="0.15">
      <c r="B78" s="72"/>
      <c r="C78" s="32"/>
      <c r="D78" s="32" t="s">
        <v>1366</v>
      </c>
      <c r="E78" s="61"/>
      <c r="F78" s="32"/>
      <c r="G78" s="32"/>
      <c r="H78" s="32"/>
      <c r="I78" s="73"/>
      <c r="K78" s="74" t="s">
        <v>887</v>
      </c>
      <c r="L78" s="62"/>
      <c r="M78" s="62" t="s">
        <v>1083</v>
      </c>
      <c r="N78" s="63"/>
      <c r="O78" s="62"/>
      <c r="P78" s="62"/>
      <c r="Q78" s="62"/>
      <c r="R78" s="75"/>
    </row>
    <row r="79" spans="1:18" x14ac:dyDescent="0.15">
      <c r="B79" s="74" t="s">
        <v>887</v>
      </c>
      <c r="C79" s="62"/>
      <c r="D79" s="62" t="s">
        <v>1083</v>
      </c>
      <c r="E79" s="63"/>
      <c r="F79" s="62"/>
      <c r="G79" s="62"/>
      <c r="H79" s="62"/>
      <c r="I79" s="75"/>
    </row>
    <row r="81" spans="1:17" x14ac:dyDescent="0.15">
      <c r="C81" s="76" t="s">
        <v>1381</v>
      </c>
      <c r="K81" s="76" t="s">
        <v>1382</v>
      </c>
    </row>
    <row r="83" spans="1:17" x14ac:dyDescent="0.15">
      <c r="C83" s="62"/>
      <c r="D83" s="57" t="s">
        <v>188</v>
      </c>
      <c r="E83" s="57" t="s">
        <v>189</v>
      </c>
      <c r="F83" s="57" t="s">
        <v>190</v>
      </c>
      <c r="G83" s="57" t="s">
        <v>210</v>
      </c>
      <c r="H83" s="57" t="s">
        <v>211</v>
      </c>
      <c r="L83" s="57" t="s">
        <v>188</v>
      </c>
      <c r="M83" s="57" t="s">
        <v>189</v>
      </c>
      <c r="N83" s="57" t="s">
        <v>190</v>
      </c>
      <c r="O83" s="57" t="s">
        <v>210</v>
      </c>
      <c r="P83" s="57" t="s">
        <v>211</v>
      </c>
    </row>
    <row r="84" spans="1:17" x14ac:dyDescent="0.25">
      <c r="C84" s="118" t="s">
        <v>516</v>
      </c>
      <c r="D84" s="88" t="s">
        <v>229</v>
      </c>
      <c r="E84" s="88" t="s">
        <v>244</v>
      </c>
      <c r="F84" s="88" t="s">
        <v>235</v>
      </c>
      <c r="G84" s="88" t="s">
        <v>221</v>
      </c>
      <c r="H84" s="88" t="s">
        <v>246</v>
      </c>
      <c r="K84" s="118" t="s">
        <v>516</v>
      </c>
      <c r="L84" s="60" t="s">
        <v>46</v>
      </c>
      <c r="M84" s="60" t="s">
        <v>204</v>
      </c>
      <c r="N84" s="60" t="s">
        <v>46</v>
      </c>
      <c r="O84" s="60" t="s">
        <v>208</v>
      </c>
      <c r="P84" s="60" t="s">
        <v>116</v>
      </c>
    </row>
    <row r="85" spans="1:17" x14ac:dyDescent="0.25">
      <c r="C85" s="118" t="s">
        <v>517</v>
      </c>
      <c r="D85" s="88" t="s">
        <v>253</v>
      </c>
      <c r="E85" s="88" t="s">
        <v>252</v>
      </c>
      <c r="F85" s="88" t="s">
        <v>220</v>
      </c>
      <c r="G85" s="88" t="s">
        <v>221</v>
      </c>
      <c r="H85" s="88" t="s">
        <v>251</v>
      </c>
      <c r="K85" s="118" t="s">
        <v>517</v>
      </c>
      <c r="L85" s="60" t="s">
        <v>46</v>
      </c>
      <c r="M85" s="60" t="s">
        <v>207</v>
      </c>
      <c r="N85" s="60" t="s">
        <v>116</v>
      </c>
      <c r="O85" s="60" t="s">
        <v>205</v>
      </c>
      <c r="P85" s="60" t="s">
        <v>116</v>
      </c>
    </row>
    <row r="86" spans="1:17" x14ac:dyDescent="0.25">
      <c r="C86" s="119" t="s">
        <v>515</v>
      </c>
      <c r="D86" s="89" t="s">
        <v>218</v>
      </c>
      <c r="E86" s="89" t="s">
        <v>250</v>
      </c>
      <c r="F86" s="89" t="s">
        <v>239</v>
      </c>
      <c r="G86" s="89" t="s">
        <v>221</v>
      </c>
      <c r="H86" s="89" t="s">
        <v>228</v>
      </c>
      <c r="K86" s="119" t="s">
        <v>515</v>
      </c>
      <c r="L86" s="60" t="s">
        <v>116</v>
      </c>
      <c r="M86" s="60" t="s">
        <v>204</v>
      </c>
      <c r="N86" s="60" t="s">
        <v>116</v>
      </c>
      <c r="O86" s="60" t="s">
        <v>205</v>
      </c>
      <c r="P86" s="60" t="s">
        <v>116</v>
      </c>
    </row>
    <row r="87" spans="1:17" ht="18.75" x14ac:dyDescent="0.15">
      <c r="C87" s="120" t="s">
        <v>1367</v>
      </c>
      <c r="D87" s="80">
        <f>SSRChildProbability(D86,D84,D85,0)</f>
        <v>0.5</v>
      </c>
      <c r="E87" s="80">
        <f>SSRChildProbability(E86,E84,E85,0)</f>
        <v>0.25</v>
      </c>
      <c r="F87" s="80">
        <f>SSRChildProbability(F86,F84,F85,0)</f>
        <v>0.5</v>
      </c>
      <c r="G87" s="80">
        <f>SSRChildProbability(G86,G84,G85,0)</f>
        <v>1</v>
      </c>
      <c r="H87" s="80">
        <f>SSRChildProbability(H86,H84,H85,0)</f>
        <v>0.5</v>
      </c>
      <c r="K87" s="120" t="s">
        <v>1367</v>
      </c>
      <c r="L87" s="80">
        <f>SNPChildProbability(L86,L84,L85)</f>
        <v>0.25</v>
      </c>
      <c r="M87" s="80">
        <f>SNPChildProbability(M86,M84,M85)</f>
        <v>0.5</v>
      </c>
      <c r="N87" s="80">
        <f>SNPChildProbability(N86,N84,N85)</f>
        <v>0.5</v>
      </c>
      <c r="O87" s="80">
        <f>SNPChildProbability(O86,O84,O85)</f>
        <v>0.5</v>
      </c>
      <c r="P87" s="80">
        <f>SNPChildProbability(P86,P84,P85)</f>
        <v>1</v>
      </c>
    </row>
    <row r="90" spans="1:17" x14ac:dyDescent="0.15">
      <c r="A90" s="66" t="s">
        <v>398</v>
      </c>
      <c r="B90" s="67" t="s">
        <v>738</v>
      </c>
      <c r="C90" s="67"/>
      <c r="D90" s="67"/>
      <c r="E90" s="67"/>
      <c r="F90" s="67"/>
      <c r="G90" s="68"/>
      <c r="H90" s="67"/>
      <c r="I90" s="67"/>
      <c r="J90" s="68"/>
      <c r="K90" s="67"/>
      <c r="L90" s="67"/>
      <c r="M90" s="67"/>
      <c r="N90" s="67"/>
      <c r="O90" s="67"/>
      <c r="P90" s="67"/>
      <c r="Q90" s="67"/>
    </row>
    <row r="91" spans="1:17" s="53" customFormat="1" x14ac:dyDescent="0.15">
      <c r="A91" s="101"/>
      <c r="B91" s="53" t="s">
        <v>720</v>
      </c>
      <c r="G91" s="85"/>
      <c r="J91" s="85"/>
    </row>
    <row r="92" spans="1:17" s="53" customFormat="1" x14ac:dyDescent="0.15">
      <c r="A92" s="101"/>
      <c r="B92" s="53" t="s">
        <v>721</v>
      </c>
      <c r="G92" s="85"/>
      <c r="J92" s="85"/>
    </row>
    <row r="93" spans="1:17" s="53" customFormat="1" x14ac:dyDescent="0.15">
      <c r="A93" s="101"/>
      <c r="G93" s="85"/>
      <c r="J93" s="85"/>
    </row>
    <row r="95" spans="1:17" x14ac:dyDescent="0.15">
      <c r="C95" s="55" t="s">
        <v>1286</v>
      </c>
      <c r="D95" s="56"/>
      <c r="E95" s="56"/>
      <c r="F95" s="56"/>
      <c r="K95" s="55" t="s">
        <v>1287</v>
      </c>
      <c r="L95" s="56"/>
      <c r="M95" s="56"/>
      <c r="N95" s="56"/>
      <c r="O95" s="56"/>
      <c r="P95" s="56"/>
    </row>
    <row r="97" spans="3:16" x14ac:dyDescent="0.15">
      <c r="D97" s="57" t="s">
        <v>188</v>
      </c>
      <c r="E97" s="57" t="s">
        <v>189</v>
      </c>
      <c r="F97" s="57" t="s">
        <v>190</v>
      </c>
      <c r="G97" s="57" t="s">
        <v>210</v>
      </c>
      <c r="H97" s="57" t="s">
        <v>211</v>
      </c>
      <c r="L97" s="57" t="s">
        <v>188</v>
      </c>
      <c r="M97" s="57" t="s">
        <v>189</v>
      </c>
      <c r="N97" s="57" t="s">
        <v>190</v>
      </c>
      <c r="O97" s="57" t="s">
        <v>210</v>
      </c>
      <c r="P97" s="57" t="s">
        <v>211</v>
      </c>
    </row>
    <row r="98" spans="3:16" x14ac:dyDescent="0.25">
      <c r="C98" s="121" t="s">
        <v>191</v>
      </c>
      <c r="D98" s="88" t="s">
        <v>213</v>
      </c>
      <c r="E98" s="88" t="s">
        <v>214</v>
      </c>
      <c r="F98" s="88" t="s">
        <v>215</v>
      </c>
      <c r="G98" s="88" t="s">
        <v>216</v>
      </c>
      <c r="H98" s="88" t="s">
        <v>217</v>
      </c>
      <c r="K98" s="121" t="s">
        <v>191</v>
      </c>
      <c r="L98" s="60" t="s">
        <v>116</v>
      </c>
      <c r="M98" s="60" t="s">
        <v>204</v>
      </c>
      <c r="N98" s="60" t="s">
        <v>121</v>
      </c>
      <c r="O98" s="60" t="s">
        <v>205</v>
      </c>
      <c r="P98" s="60" t="s">
        <v>206</v>
      </c>
    </row>
    <row r="99" spans="3:16" x14ac:dyDescent="0.25">
      <c r="C99" s="122" t="s">
        <v>192</v>
      </c>
      <c r="D99" s="88" t="s">
        <v>218</v>
      </c>
      <c r="E99" s="88" t="s">
        <v>219</v>
      </c>
      <c r="F99" s="88" t="s">
        <v>220</v>
      </c>
      <c r="G99" s="88" t="s">
        <v>221</v>
      </c>
      <c r="H99" s="88" t="s">
        <v>217</v>
      </c>
      <c r="K99" s="122" t="s">
        <v>192</v>
      </c>
      <c r="L99" s="60" t="s">
        <v>46</v>
      </c>
      <c r="M99" s="60" t="s">
        <v>207</v>
      </c>
      <c r="N99" s="60" t="s">
        <v>116</v>
      </c>
      <c r="O99" s="60" t="s">
        <v>205</v>
      </c>
      <c r="P99" s="60" t="s">
        <v>116</v>
      </c>
    </row>
    <row r="100" spans="3:16" x14ac:dyDescent="0.25">
      <c r="C100" s="122" t="s">
        <v>193</v>
      </c>
      <c r="D100" s="88" t="s">
        <v>222</v>
      </c>
      <c r="E100" s="88" t="s">
        <v>223</v>
      </c>
      <c r="F100" s="88" t="s">
        <v>224</v>
      </c>
      <c r="G100" s="88" t="s">
        <v>221</v>
      </c>
      <c r="H100" s="88" t="s">
        <v>217</v>
      </c>
      <c r="K100" s="122" t="s">
        <v>193</v>
      </c>
      <c r="L100" s="60" t="s">
        <v>121</v>
      </c>
      <c r="M100" s="60" t="s">
        <v>207</v>
      </c>
      <c r="N100" s="60" t="s">
        <v>46</v>
      </c>
      <c r="O100" s="60" t="s">
        <v>205</v>
      </c>
      <c r="P100" s="60" t="s">
        <v>116</v>
      </c>
    </row>
    <row r="101" spans="3:16" x14ac:dyDescent="0.25">
      <c r="C101" s="122" t="s">
        <v>194</v>
      </c>
      <c r="D101" s="88" t="s">
        <v>225</v>
      </c>
      <c r="E101" s="88" t="s">
        <v>226</v>
      </c>
      <c r="F101" s="88" t="s">
        <v>227</v>
      </c>
      <c r="G101" s="88" t="s">
        <v>221</v>
      </c>
      <c r="H101" s="88" t="s">
        <v>228</v>
      </c>
      <c r="K101" s="122" t="s">
        <v>194</v>
      </c>
      <c r="L101" s="60" t="s">
        <v>121</v>
      </c>
      <c r="M101" s="60" t="s">
        <v>204</v>
      </c>
      <c r="N101" s="60" t="s">
        <v>46</v>
      </c>
      <c r="O101" s="60" t="s">
        <v>205</v>
      </c>
      <c r="P101" s="60" t="s">
        <v>206</v>
      </c>
    </row>
    <row r="102" spans="3:16" x14ac:dyDescent="0.25">
      <c r="C102" s="122" t="s">
        <v>195</v>
      </c>
      <c r="D102" s="88" t="s">
        <v>229</v>
      </c>
      <c r="E102" s="88" t="s">
        <v>230</v>
      </c>
      <c r="F102" s="88" t="s">
        <v>224</v>
      </c>
      <c r="G102" s="88" t="s">
        <v>221</v>
      </c>
      <c r="H102" s="88" t="s">
        <v>217</v>
      </c>
      <c r="K102" s="122" t="s">
        <v>195</v>
      </c>
      <c r="L102" s="60" t="s">
        <v>46</v>
      </c>
      <c r="M102" s="60" t="s">
        <v>208</v>
      </c>
      <c r="N102" s="60" t="s">
        <v>116</v>
      </c>
      <c r="O102" s="60" t="s">
        <v>208</v>
      </c>
      <c r="P102" s="60" t="s">
        <v>206</v>
      </c>
    </row>
    <row r="103" spans="3:16" x14ac:dyDescent="0.25">
      <c r="C103" s="122" t="s">
        <v>196</v>
      </c>
      <c r="D103" s="88" t="s">
        <v>222</v>
      </c>
      <c r="E103" s="88" t="s">
        <v>230</v>
      </c>
      <c r="F103" s="88" t="s">
        <v>231</v>
      </c>
      <c r="G103" s="88" t="s">
        <v>232</v>
      </c>
      <c r="H103" s="88" t="s">
        <v>217</v>
      </c>
      <c r="K103" s="122" t="s">
        <v>196</v>
      </c>
      <c r="L103" s="60" t="s">
        <v>46</v>
      </c>
      <c r="M103" s="60" t="s">
        <v>204</v>
      </c>
      <c r="N103" s="60" t="s">
        <v>209</v>
      </c>
      <c r="O103" s="60" t="s">
        <v>205</v>
      </c>
      <c r="P103" s="60" t="s">
        <v>116</v>
      </c>
    </row>
    <row r="104" spans="3:16" x14ac:dyDescent="0.25">
      <c r="C104" s="122" t="s">
        <v>197</v>
      </c>
      <c r="D104" s="88" t="s">
        <v>233</v>
      </c>
      <c r="E104" s="88" t="s">
        <v>234</v>
      </c>
      <c r="F104" s="88" t="s">
        <v>235</v>
      </c>
      <c r="G104" s="88" t="s">
        <v>236</v>
      </c>
      <c r="H104" s="88" t="s">
        <v>237</v>
      </c>
      <c r="K104" s="122" t="s">
        <v>197</v>
      </c>
      <c r="L104" s="60" t="s">
        <v>121</v>
      </c>
      <c r="M104" s="60" t="s">
        <v>207</v>
      </c>
      <c r="N104" s="60" t="s">
        <v>46</v>
      </c>
      <c r="O104" s="60" t="s">
        <v>205</v>
      </c>
      <c r="P104" s="60" t="s">
        <v>116</v>
      </c>
    </row>
    <row r="105" spans="3:16" x14ac:dyDescent="0.25">
      <c r="C105" s="122" t="s">
        <v>198</v>
      </c>
      <c r="D105" s="88" t="s">
        <v>238</v>
      </c>
      <c r="E105" s="88" t="s">
        <v>223</v>
      </c>
      <c r="F105" s="88" t="s">
        <v>239</v>
      </c>
      <c r="G105" s="88" t="s">
        <v>240</v>
      </c>
      <c r="H105" s="88" t="s">
        <v>241</v>
      </c>
      <c r="K105" s="122" t="s">
        <v>198</v>
      </c>
      <c r="L105" s="60" t="s">
        <v>116</v>
      </c>
      <c r="M105" s="60" t="s">
        <v>207</v>
      </c>
      <c r="N105" s="60" t="s">
        <v>46</v>
      </c>
      <c r="O105" s="60" t="s">
        <v>205</v>
      </c>
      <c r="P105" s="60" t="s">
        <v>116</v>
      </c>
    </row>
    <row r="106" spans="3:16" x14ac:dyDescent="0.25">
      <c r="C106" s="122" t="s">
        <v>199</v>
      </c>
      <c r="D106" s="88" t="s">
        <v>238</v>
      </c>
      <c r="E106" s="88" t="s">
        <v>234</v>
      </c>
      <c r="F106" s="88" t="s">
        <v>235</v>
      </c>
      <c r="G106" s="88" t="s">
        <v>240</v>
      </c>
      <c r="H106" s="88" t="s">
        <v>242</v>
      </c>
      <c r="K106" s="122" t="s">
        <v>199</v>
      </c>
      <c r="L106" s="60" t="s">
        <v>121</v>
      </c>
      <c r="M106" s="60" t="s">
        <v>204</v>
      </c>
      <c r="N106" s="60" t="s">
        <v>116</v>
      </c>
      <c r="O106" s="60" t="s">
        <v>205</v>
      </c>
      <c r="P106" s="60" t="s">
        <v>206</v>
      </c>
    </row>
    <row r="107" spans="3:16" x14ac:dyDescent="0.25">
      <c r="C107" s="122" t="s">
        <v>200</v>
      </c>
      <c r="D107" s="88" t="s">
        <v>243</v>
      </c>
      <c r="E107" s="88" t="s">
        <v>244</v>
      </c>
      <c r="F107" s="88" t="s">
        <v>245</v>
      </c>
      <c r="G107" s="88" t="s">
        <v>221</v>
      </c>
      <c r="H107" s="88" t="s">
        <v>246</v>
      </c>
      <c r="K107" s="122" t="s">
        <v>200</v>
      </c>
      <c r="L107" s="60" t="s">
        <v>46</v>
      </c>
      <c r="M107" s="60" t="s">
        <v>207</v>
      </c>
      <c r="N107" s="60" t="s">
        <v>116</v>
      </c>
      <c r="O107" s="60" t="s">
        <v>205</v>
      </c>
      <c r="P107" s="60" t="s">
        <v>206</v>
      </c>
    </row>
    <row r="108" spans="3:16" x14ac:dyDescent="0.25">
      <c r="C108" s="122" t="s">
        <v>201</v>
      </c>
      <c r="D108" s="88" t="s">
        <v>225</v>
      </c>
      <c r="E108" s="88" t="s">
        <v>247</v>
      </c>
      <c r="F108" s="88" t="s">
        <v>248</v>
      </c>
      <c r="G108" s="88" t="s">
        <v>221</v>
      </c>
      <c r="H108" s="88" t="s">
        <v>249</v>
      </c>
      <c r="K108" s="122" t="s">
        <v>201</v>
      </c>
      <c r="L108" s="60" t="s">
        <v>46</v>
      </c>
      <c r="M108" s="60" t="s">
        <v>208</v>
      </c>
      <c r="N108" s="60" t="s">
        <v>46</v>
      </c>
      <c r="O108" s="60" t="s">
        <v>208</v>
      </c>
      <c r="P108" s="60" t="s">
        <v>116</v>
      </c>
    </row>
    <row r="109" spans="3:16" x14ac:dyDescent="0.25">
      <c r="C109" s="122" t="s">
        <v>202</v>
      </c>
      <c r="D109" s="88" t="s">
        <v>218</v>
      </c>
      <c r="E109" s="88" t="s">
        <v>250</v>
      </c>
      <c r="F109" s="88" t="s">
        <v>235</v>
      </c>
      <c r="G109" s="88" t="s">
        <v>221</v>
      </c>
      <c r="H109" s="88" t="s">
        <v>228</v>
      </c>
      <c r="K109" s="122" t="s">
        <v>202</v>
      </c>
      <c r="L109" s="60" t="s">
        <v>121</v>
      </c>
      <c r="M109" s="60" t="s">
        <v>207</v>
      </c>
      <c r="N109" s="60" t="s">
        <v>116</v>
      </c>
      <c r="O109" s="60" t="s">
        <v>205</v>
      </c>
      <c r="P109" s="60" t="s">
        <v>116</v>
      </c>
    </row>
    <row r="110" spans="3:16" x14ac:dyDescent="0.25">
      <c r="C110" s="122" t="s">
        <v>264</v>
      </c>
      <c r="D110" s="88" t="s">
        <v>229</v>
      </c>
      <c r="E110" s="88" t="s">
        <v>244</v>
      </c>
      <c r="F110" s="88" t="s">
        <v>239</v>
      </c>
      <c r="G110" s="88" t="s">
        <v>221</v>
      </c>
      <c r="H110" s="88" t="s">
        <v>251</v>
      </c>
      <c r="K110" s="122" t="s">
        <v>264</v>
      </c>
      <c r="L110" s="60" t="s">
        <v>116</v>
      </c>
      <c r="M110" s="60" t="s">
        <v>204</v>
      </c>
      <c r="N110" s="60" t="s">
        <v>116</v>
      </c>
      <c r="O110" s="60" t="s">
        <v>205</v>
      </c>
      <c r="P110" s="60" t="s">
        <v>206</v>
      </c>
    </row>
    <row r="111" spans="3:16" x14ac:dyDescent="0.25">
      <c r="C111" s="122" t="s">
        <v>265</v>
      </c>
      <c r="D111" s="88" t="s">
        <v>218</v>
      </c>
      <c r="E111" s="88" t="s">
        <v>252</v>
      </c>
      <c r="F111" s="88" t="s">
        <v>235</v>
      </c>
      <c r="G111" s="88" t="s">
        <v>221</v>
      </c>
      <c r="H111" s="88" t="s">
        <v>251</v>
      </c>
      <c r="K111" s="122" t="s">
        <v>265</v>
      </c>
      <c r="L111" s="60" t="s">
        <v>46</v>
      </c>
      <c r="M111" s="60" t="s">
        <v>207</v>
      </c>
      <c r="N111" s="60" t="s">
        <v>46</v>
      </c>
      <c r="O111" s="60" t="s">
        <v>205</v>
      </c>
      <c r="P111" s="60" t="s">
        <v>206</v>
      </c>
    </row>
    <row r="112" spans="3:16" x14ac:dyDescent="0.25">
      <c r="C112" s="122" t="s">
        <v>266</v>
      </c>
      <c r="D112" s="88" t="s">
        <v>253</v>
      </c>
      <c r="E112" s="88" t="s">
        <v>250</v>
      </c>
      <c r="F112" s="88" t="s">
        <v>235</v>
      </c>
      <c r="G112" s="88" t="s">
        <v>221</v>
      </c>
      <c r="H112" s="88" t="s">
        <v>228</v>
      </c>
      <c r="K112" s="122" t="s">
        <v>266</v>
      </c>
      <c r="L112" s="60" t="s">
        <v>121</v>
      </c>
      <c r="M112" s="60" t="s">
        <v>208</v>
      </c>
      <c r="N112" s="60" t="s">
        <v>116</v>
      </c>
      <c r="O112" s="60" t="s">
        <v>208</v>
      </c>
      <c r="P112" s="60" t="s">
        <v>206</v>
      </c>
    </row>
    <row r="113" spans="3:16" x14ac:dyDescent="0.25">
      <c r="C113" s="122" t="s">
        <v>267</v>
      </c>
      <c r="D113" s="88" t="s">
        <v>253</v>
      </c>
      <c r="E113" s="88" t="s">
        <v>250</v>
      </c>
      <c r="F113" s="88" t="s">
        <v>235</v>
      </c>
      <c r="G113" s="88" t="s">
        <v>221</v>
      </c>
      <c r="H113" s="88" t="s">
        <v>228</v>
      </c>
      <c r="K113" s="122" t="s">
        <v>267</v>
      </c>
      <c r="L113" s="60" t="s">
        <v>121</v>
      </c>
      <c r="M113" s="60" t="s">
        <v>207</v>
      </c>
      <c r="N113" s="60" t="s">
        <v>116</v>
      </c>
      <c r="O113" s="60" t="s">
        <v>116</v>
      </c>
      <c r="P113" s="60" t="s">
        <v>116</v>
      </c>
    </row>
    <row r="114" spans="3:16" x14ac:dyDescent="0.25">
      <c r="C114" s="122" t="s">
        <v>268</v>
      </c>
      <c r="D114" s="88" t="s">
        <v>254</v>
      </c>
      <c r="E114" s="88" t="s">
        <v>250</v>
      </c>
      <c r="F114" s="88" t="s">
        <v>239</v>
      </c>
      <c r="G114" s="88" t="s">
        <v>221</v>
      </c>
      <c r="H114" s="88" t="s">
        <v>251</v>
      </c>
      <c r="K114" s="122" t="s">
        <v>268</v>
      </c>
      <c r="L114" s="60" t="s">
        <v>46</v>
      </c>
      <c r="M114" s="60" t="s">
        <v>207</v>
      </c>
      <c r="N114" s="60" t="s">
        <v>116</v>
      </c>
      <c r="O114" s="60" t="s">
        <v>205</v>
      </c>
      <c r="P114" s="60" t="s">
        <v>116</v>
      </c>
    </row>
    <row r="115" spans="3:16" x14ac:dyDescent="0.25">
      <c r="C115" s="122" t="s">
        <v>269</v>
      </c>
      <c r="D115" s="88" t="s">
        <v>218</v>
      </c>
      <c r="E115" s="88" t="s">
        <v>252</v>
      </c>
      <c r="F115" s="88" t="s">
        <v>235</v>
      </c>
      <c r="G115" s="88" t="s">
        <v>221</v>
      </c>
      <c r="H115" s="88" t="s">
        <v>251</v>
      </c>
      <c r="K115" s="122" t="s">
        <v>269</v>
      </c>
      <c r="L115" s="60" t="s">
        <v>116</v>
      </c>
      <c r="M115" s="60" t="s">
        <v>207</v>
      </c>
      <c r="N115" s="60" t="s">
        <v>116</v>
      </c>
      <c r="O115" s="60" t="s">
        <v>205</v>
      </c>
      <c r="P115" s="60" t="s">
        <v>206</v>
      </c>
    </row>
    <row r="116" spans="3:16" x14ac:dyDescent="0.25">
      <c r="C116" s="122" t="s">
        <v>270</v>
      </c>
      <c r="D116" s="88" t="s">
        <v>218</v>
      </c>
      <c r="E116" s="88" t="s">
        <v>252</v>
      </c>
      <c r="F116" s="88" t="s">
        <v>235</v>
      </c>
      <c r="G116" s="88" t="s">
        <v>221</v>
      </c>
      <c r="H116" s="88" t="s">
        <v>251</v>
      </c>
      <c r="K116" s="122" t="s">
        <v>270</v>
      </c>
      <c r="L116" s="60" t="s">
        <v>116</v>
      </c>
      <c r="M116" s="60" t="s">
        <v>204</v>
      </c>
      <c r="N116" s="60" t="s">
        <v>116</v>
      </c>
      <c r="O116" s="60" t="s">
        <v>208</v>
      </c>
      <c r="P116" s="60" t="s">
        <v>206</v>
      </c>
    </row>
    <row r="117" spans="3:16" x14ac:dyDescent="0.25">
      <c r="C117" s="122" t="s">
        <v>271</v>
      </c>
      <c r="D117" s="88" t="s">
        <v>229</v>
      </c>
      <c r="E117" s="88" t="s">
        <v>250</v>
      </c>
      <c r="F117" s="88" t="s">
        <v>235</v>
      </c>
      <c r="G117" s="88" t="s">
        <v>221</v>
      </c>
      <c r="H117" s="88" t="s">
        <v>251</v>
      </c>
      <c r="K117" s="122" t="s">
        <v>271</v>
      </c>
      <c r="L117" s="60" t="s">
        <v>46</v>
      </c>
      <c r="M117" s="60" t="s">
        <v>204</v>
      </c>
      <c r="N117" s="60" t="s">
        <v>46</v>
      </c>
      <c r="O117" s="60" t="s">
        <v>208</v>
      </c>
      <c r="P117" s="60" t="s">
        <v>206</v>
      </c>
    </row>
    <row r="118" spans="3:16" x14ac:dyDescent="0.25">
      <c r="C118" s="122" t="s">
        <v>272</v>
      </c>
      <c r="D118" s="88" t="s">
        <v>255</v>
      </c>
      <c r="E118" s="88" t="s">
        <v>252</v>
      </c>
      <c r="F118" s="88" t="s">
        <v>239</v>
      </c>
      <c r="G118" s="88" t="s">
        <v>232</v>
      </c>
      <c r="H118" s="88" t="s">
        <v>217</v>
      </c>
      <c r="K118" s="122" t="s">
        <v>272</v>
      </c>
      <c r="L118" s="60" t="s">
        <v>121</v>
      </c>
      <c r="M118" s="60" t="s">
        <v>207</v>
      </c>
      <c r="N118" s="60" t="s">
        <v>46</v>
      </c>
      <c r="O118" s="60" t="s">
        <v>205</v>
      </c>
      <c r="P118" s="60" t="s">
        <v>116</v>
      </c>
    </row>
    <row r="119" spans="3:16" x14ac:dyDescent="0.25">
      <c r="C119" s="122" t="s">
        <v>273</v>
      </c>
      <c r="D119" s="88" t="s">
        <v>256</v>
      </c>
      <c r="E119" s="88" t="s">
        <v>230</v>
      </c>
      <c r="F119" s="88" t="s">
        <v>257</v>
      </c>
      <c r="G119" s="88" t="s">
        <v>232</v>
      </c>
      <c r="H119" s="88" t="s">
        <v>217</v>
      </c>
      <c r="K119" s="122" t="s">
        <v>273</v>
      </c>
      <c r="L119" s="60" t="s">
        <v>116</v>
      </c>
      <c r="M119" s="60" t="s">
        <v>207</v>
      </c>
      <c r="N119" s="60" t="s">
        <v>46</v>
      </c>
      <c r="O119" s="60" t="s">
        <v>208</v>
      </c>
      <c r="P119" s="60" t="s">
        <v>206</v>
      </c>
    </row>
    <row r="120" spans="3:16" x14ac:dyDescent="0.25">
      <c r="C120" s="122" t="s">
        <v>274</v>
      </c>
      <c r="D120" s="88" t="s">
        <v>222</v>
      </c>
      <c r="E120" s="88" t="s">
        <v>223</v>
      </c>
      <c r="F120" s="88" t="s">
        <v>224</v>
      </c>
      <c r="G120" s="88" t="s">
        <v>221</v>
      </c>
      <c r="H120" s="88" t="s">
        <v>217</v>
      </c>
      <c r="K120" s="122" t="s">
        <v>274</v>
      </c>
      <c r="L120" s="60" t="s">
        <v>46</v>
      </c>
      <c r="M120" s="60" t="s">
        <v>204</v>
      </c>
      <c r="N120" s="60" t="s">
        <v>46</v>
      </c>
      <c r="O120" s="60" t="s">
        <v>205</v>
      </c>
      <c r="P120" s="60" t="s">
        <v>206</v>
      </c>
    </row>
    <row r="121" spans="3:16" x14ac:dyDescent="0.25">
      <c r="C121" s="122" t="s">
        <v>275</v>
      </c>
      <c r="D121" s="88" t="s">
        <v>258</v>
      </c>
      <c r="E121" s="88" t="s">
        <v>244</v>
      </c>
      <c r="F121" s="88" t="s">
        <v>224</v>
      </c>
      <c r="G121" s="88" t="s">
        <v>221</v>
      </c>
      <c r="H121" s="88" t="s">
        <v>217</v>
      </c>
      <c r="K121" s="122" t="s">
        <v>275</v>
      </c>
      <c r="L121" s="60" t="s">
        <v>116</v>
      </c>
      <c r="M121" s="60" t="s">
        <v>204</v>
      </c>
      <c r="N121" s="60" t="s">
        <v>46</v>
      </c>
      <c r="O121" s="60" t="s">
        <v>205</v>
      </c>
      <c r="P121" s="60" t="s">
        <v>116</v>
      </c>
    </row>
    <row r="122" spans="3:16" x14ac:dyDescent="0.25">
      <c r="C122" s="122" t="s">
        <v>276</v>
      </c>
      <c r="D122" s="88" t="s">
        <v>259</v>
      </c>
      <c r="E122" s="88" t="s">
        <v>260</v>
      </c>
      <c r="F122" s="88" t="s">
        <v>261</v>
      </c>
      <c r="G122" s="88" t="s">
        <v>221</v>
      </c>
      <c r="H122" s="88" t="s">
        <v>262</v>
      </c>
      <c r="K122" s="122" t="s">
        <v>276</v>
      </c>
      <c r="L122" s="60" t="s">
        <v>116</v>
      </c>
      <c r="M122" s="60" t="s">
        <v>208</v>
      </c>
      <c r="N122" s="60" t="s">
        <v>46</v>
      </c>
      <c r="O122" s="60" t="s">
        <v>208</v>
      </c>
      <c r="P122" s="60" t="s">
        <v>116</v>
      </c>
    </row>
    <row r="123" spans="3:16" x14ac:dyDescent="0.25">
      <c r="C123" s="122" t="s">
        <v>277</v>
      </c>
      <c r="D123" s="88" t="s">
        <v>218</v>
      </c>
      <c r="E123" s="88" t="s">
        <v>244</v>
      </c>
      <c r="F123" s="88" t="s">
        <v>215</v>
      </c>
      <c r="G123" s="88" t="s">
        <v>232</v>
      </c>
      <c r="H123" s="88" t="s">
        <v>217</v>
      </c>
      <c r="K123" s="122" t="s">
        <v>277</v>
      </c>
      <c r="L123" s="60" t="s">
        <v>121</v>
      </c>
      <c r="M123" s="60" t="s">
        <v>204</v>
      </c>
      <c r="N123" s="60" t="s">
        <v>46</v>
      </c>
      <c r="O123" s="60" t="s">
        <v>208</v>
      </c>
      <c r="P123" s="60" t="s">
        <v>206</v>
      </c>
    </row>
    <row r="124" spans="3:16" x14ac:dyDescent="0.25">
      <c r="C124" s="122" t="s">
        <v>278</v>
      </c>
      <c r="D124" s="88" t="s">
        <v>218</v>
      </c>
      <c r="E124" s="88" t="s">
        <v>244</v>
      </c>
      <c r="F124" s="88" t="s">
        <v>239</v>
      </c>
      <c r="G124" s="88" t="s">
        <v>232</v>
      </c>
      <c r="H124" s="88" t="s">
        <v>228</v>
      </c>
      <c r="K124" s="122" t="s">
        <v>278</v>
      </c>
      <c r="L124" s="60" t="s">
        <v>121</v>
      </c>
      <c r="M124" s="60" t="s">
        <v>208</v>
      </c>
      <c r="N124" s="60" t="s">
        <v>116</v>
      </c>
      <c r="O124" s="60" t="s">
        <v>208</v>
      </c>
      <c r="P124" s="60" t="s">
        <v>206</v>
      </c>
    </row>
    <row r="125" spans="3:16" x14ac:dyDescent="0.25">
      <c r="C125" s="123" t="s">
        <v>279</v>
      </c>
      <c r="D125" s="89" t="s">
        <v>263</v>
      </c>
      <c r="E125" s="89" t="s">
        <v>250</v>
      </c>
      <c r="F125" s="89" t="s">
        <v>239</v>
      </c>
      <c r="G125" s="89" t="s">
        <v>232</v>
      </c>
      <c r="H125" s="89" t="s">
        <v>246</v>
      </c>
      <c r="K125" s="123" t="s">
        <v>279</v>
      </c>
      <c r="L125" s="64" t="s">
        <v>46</v>
      </c>
      <c r="M125" s="64" t="s">
        <v>204</v>
      </c>
      <c r="N125" s="64" t="s">
        <v>116</v>
      </c>
      <c r="O125" s="64" t="s">
        <v>205</v>
      </c>
      <c r="P125" s="64" t="s">
        <v>116</v>
      </c>
    </row>
    <row r="127" spans="3:16" x14ac:dyDescent="0.25">
      <c r="C127" s="78" t="s">
        <v>515</v>
      </c>
      <c r="D127" s="124" t="s">
        <v>218</v>
      </c>
      <c r="E127" s="124" t="s">
        <v>250</v>
      </c>
      <c r="F127" s="124" t="s">
        <v>239</v>
      </c>
      <c r="G127" s="124" t="s">
        <v>221</v>
      </c>
      <c r="H127" s="124" t="s">
        <v>228</v>
      </c>
      <c r="K127" s="78" t="s">
        <v>515</v>
      </c>
      <c r="L127" s="125" t="s">
        <v>520</v>
      </c>
      <c r="M127" s="125" t="s">
        <v>204</v>
      </c>
      <c r="N127" s="125" t="s">
        <v>116</v>
      </c>
      <c r="O127" s="125" t="s">
        <v>205</v>
      </c>
      <c r="P127" s="125" t="s">
        <v>116</v>
      </c>
    </row>
    <row r="129" spans="1:18" x14ac:dyDescent="0.15">
      <c r="B129" s="69" t="s">
        <v>879</v>
      </c>
      <c r="C129" s="58"/>
      <c r="D129" s="70" t="s">
        <v>1368</v>
      </c>
      <c r="E129" s="59"/>
      <c r="F129" s="58"/>
      <c r="G129" s="58"/>
      <c r="H129" s="58"/>
      <c r="I129" s="71"/>
      <c r="K129" s="69" t="s">
        <v>879</v>
      </c>
      <c r="L129" s="58"/>
      <c r="M129" s="70" t="s">
        <v>1369</v>
      </c>
      <c r="N129" s="59"/>
      <c r="O129" s="58"/>
      <c r="P129" s="58"/>
      <c r="Q129" s="58"/>
      <c r="R129" s="71"/>
    </row>
    <row r="130" spans="1:18" x14ac:dyDescent="0.15">
      <c r="B130" s="72" t="s">
        <v>1042</v>
      </c>
      <c r="C130" s="32"/>
      <c r="D130" s="32" t="s">
        <v>1370</v>
      </c>
      <c r="E130" s="61"/>
      <c r="F130" s="32"/>
      <c r="G130" s="32"/>
      <c r="H130" s="32"/>
      <c r="I130" s="73"/>
      <c r="K130" s="72" t="s">
        <v>1042</v>
      </c>
      <c r="L130" s="32"/>
      <c r="M130" s="32" t="s">
        <v>1371</v>
      </c>
      <c r="N130" s="61"/>
      <c r="O130" s="32"/>
      <c r="P130" s="32"/>
      <c r="Q130" s="32"/>
      <c r="R130" s="73"/>
    </row>
    <row r="131" spans="1:18" x14ac:dyDescent="0.15">
      <c r="B131" s="72"/>
      <c r="C131" s="32"/>
      <c r="D131" s="32" t="s">
        <v>1372</v>
      </c>
      <c r="E131" s="61"/>
      <c r="F131" s="32"/>
      <c r="G131" s="32"/>
      <c r="H131" s="32"/>
      <c r="I131" s="73"/>
      <c r="K131" s="72"/>
      <c r="L131" s="32"/>
      <c r="M131" s="32" t="s">
        <v>1363</v>
      </c>
      <c r="N131" s="61"/>
      <c r="O131" s="32"/>
      <c r="P131" s="32"/>
      <c r="Q131" s="32"/>
      <c r="R131" s="73"/>
    </row>
    <row r="132" spans="1:18" x14ac:dyDescent="0.15">
      <c r="B132" s="74" t="s">
        <v>887</v>
      </c>
      <c r="C132" s="62"/>
      <c r="D132" s="62" t="s">
        <v>1084</v>
      </c>
      <c r="E132" s="63"/>
      <c r="F132" s="62"/>
      <c r="G132" s="62"/>
      <c r="H132" s="62"/>
      <c r="I132" s="75"/>
      <c r="K132" s="74" t="s">
        <v>887</v>
      </c>
      <c r="L132" s="62"/>
      <c r="M132" s="62" t="s">
        <v>1084</v>
      </c>
      <c r="N132" s="63"/>
      <c r="O132" s="62"/>
      <c r="P132" s="62"/>
      <c r="Q132" s="62"/>
      <c r="R132" s="75"/>
    </row>
    <row r="134" spans="1:18" x14ac:dyDescent="0.15">
      <c r="C134" s="76" t="s">
        <v>1291</v>
      </c>
      <c r="K134" s="76" t="s">
        <v>1292</v>
      </c>
    </row>
    <row r="136" spans="1:18" x14ac:dyDescent="0.15">
      <c r="C136" s="126" t="s">
        <v>518</v>
      </c>
      <c r="D136" s="127">
        <f>SSRGTProbability(D98:D125,D127)</f>
        <v>0.18176020408163265</v>
      </c>
      <c r="E136" s="127">
        <f>SSRGTProbability(E98:E125,E127)</f>
        <v>0.19929846938775511</v>
      </c>
      <c r="F136" s="127">
        <f>SSRGTProbability(F98:F125,F127)</f>
        <v>0.15497448979591838</v>
      </c>
      <c r="G136" s="127">
        <f>SSRGTProbability(G98:G125,G127)</f>
        <v>0.58960459183673475</v>
      </c>
      <c r="H136" s="127">
        <f>SSRGTProbability(H98:H125,H127)</f>
        <v>0.125</v>
      </c>
      <c r="K136" s="126" t="s">
        <v>519</v>
      </c>
      <c r="L136" s="128">
        <f>SNPGTProbability(L98:L125,L127)</f>
        <v>0.28698979591836732</v>
      </c>
      <c r="M136" s="128">
        <f>SNPGTProbability(M98:M125,M127)</f>
        <v>0.46875</v>
      </c>
      <c r="N136" s="128">
        <f>SNPGTProbability(N98:N125,N127)</f>
        <v>0.48501275510204078</v>
      </c>
      <c r="O136" s="128">
        <f>SNPGTProbability(O98:O125,O127)</f>
        <v>0.45918367346938782</v>
      </c>
      <c r="P136" s="128">
        <f>SNPGTProbability(P98:P125,P127)</f>
        <v>0.53603316326530603</v>
      </c>
    </row>
    <row r="139" spans="1:18" x14ac:dyDescent="0.15">
      <c r="A139" s="66" t="s">
        <v>399</v>
      </c>
      <c r="B139" s="67" t="s">
        <v>722</v>
      </c>
      <c r="C139" s="67"/>
      <c r="D139" s="67"/>
      <c r="E139" s="67"/>
      <c r="F139" s="67"/>
      <c r="G139" s="68"/>
      <c r="H139" s="67"/>
      <c r="I139" s="67"/>
      <c r="J139" s="68"/>
      <c r="K139" s="67"/>
      <c r="L139" s="67"/>
      <c r="M139" s="67"/>
      <c r="N139" s="67"/>
      <c r="O139" s="67"/>
      <c r="P139" s="67"/>
      <c r="Q139" s="67"/>
    </row>
    <row r="140" spans="1:18" x14ac:dyDescent="0.15">
      <c r="B140" s="14" t="s">
        <v>723</v>
      </c>
    </row>
    <row r="141" spans="1:18" x14ac:dyDescent="0.15">
      <c r="B141" s="14" t="s">
        <v>724</v>
      </c>
    </row>
    <row r="143" spans="1:18" x14ac:dyDescent="0.15">
      <c r="B143" s="69" t="s">
        <v>879</v>
      </c>
      <c r="C143" s="58"/>
      <c r="D143" s="70" t="s">
        <v>1373</v>
      </c>
      <c r="E143" s="59"/>
      <c r="F143" s="58"/>
      <c r="G143" s="58"/>
      <c r="H143" s="58"/>
      <c r="I143" s="71"/>
      <c r="K143" s="69" t="s">
        <v>879</v>
      </c>
      <c r="L143" s="58"/>
      <c r="M143" s="70" t="s">
        <v>1374</v>
      </c>
      <c r="N143" s="59"/>
      <c r="O143" s="58"/>
      <c r="P143" s="58"/>
      <c r="Q143" s="58"/>
      <c r="R143" s="71"/>
    </row>
    <row r="144" spans="1:18" x14ac:dyDescent="0.15">
      <c r="B144" s="72" t="s">
        <v>1042</v>
      </c>
      <c r="C144" s="32"/>
      <c r="D144" s="32" t="s">
        <v>1375</v>
      </c>
      <c r="E144" s="61"/>
      <c r="F144" s="32"/>
      <c r="G144" s="32"/>
      <c r="H144" s="32"/>
      <c r="I144" s="73"/>
      <c r="K144" s="72" t="s">
        <v>1042</v>
      </c>
      <c r="L144" s="32"/>
      <c r="M144" s="32" t="s">
        <v>1376</v>
      </c>
      <c r="N144" s="61"/>
      <c r="O144" s="32"/>
      <c r="P144" s="32"/>
      <c r="Q144" s="32"/>
      <c r="R144" s="73"/>
    </row>
    <row r="145" spans="1:18" x14ac:dyDescent="0.15">
      <c r="B145" s="72"/>
      <c r="C145" s="32"/>
      <c r="D145" s="32" t="s">
        <v>1377</v>
      </c>
      <c r="E145" s="61"/>
      <c r="F145" s="32"/>
      <c r="G145" s="32"/>
      <c r="H145" s="32"/>
      <c r="I145" s="73"/>
      <c r="K145" s="72"/>
      <c r="L145" s="32"/>
      <c r="M145" s="32" t="s">
        <v>1378</v>
      </c>
      <c r="N145" s="61"/>
      <c r="O145" s="32"/>
      <c r="P145" s="32"/>
      <c r="Q145" s="32"/>
      <c r="R145" s="73"/>
    </row>
    <row r="146" spans="1:18" x14ac:dyDescent="0.15">
      <c r="B146" s="72"/>
      <c r="C146" s="32"/>
      <c r="D146" s="32" t="s">
        <v>1379</v>
      </c>
      <c r="E146" s="61"/>
      <c r="F146" s="32"/>
      <c r="G146" s="32"/>
      <c r="H146" s="32"/>
      <c r="I146" s="73"/>
      <c r="K146" s="72"/>
      <c r="L146" s="32"/>
      <c r="M146" s="32" t="s">
        <v>1380</v>
      </c>
      <c r="N146" s="32"/>
      <c r="O146" s="32"/>
      <c r="P146" s="32"/>
      <c r="Q146" s="32"/>
      <c r="R146" s="73"/>
    </row>
    <row r="147" spans="1:18" x14ac:dyDescent="0.15">
      <c r="B147" s="74" t="s">
        <v>887</v>
      </c>
      <c r="C147" s="62"/>
      <c r="D147" s="62" t="s">
        <v>1085</v>
      </c>
      <c r="E147" s="63"/>
      <c r="F147" s="62"/>
      <c r="G147" s="62"/>
      <c r="H147" s="62"/>
      <c r="I147" s="75"/>
      <c r="K147" s="74" t="s">
        <v>887</v>
      </c>
      <c r="L147" s="62"/>
      <c r="M147" s="62" t="s">
        <v>1085</v>
      </c>
      <c r="N147" s="63"/>
      <c r="O147" s="62"/>
      <c r="P147" s="62"/>
      <c r="Q147" s="62"/>
      <c r="R147" s="75"/>
    </row>
    <row r="149" spans="1:18" x14ac:dyDescent="0.15">
      <c r="C149" s="76" t="s">
        <v>1291</v>
      </c>
      <c r="K149" s="76" t="s">
        <v>1292</v>
      </c>
    </row>
    <row r="151" spans="1:18" x14ac:dyDescent="0.15">
      <c r="C151" s="62"/>
      <c r="D151" s="57" t="s">
        <v>188</v>
      </c>
      <c r="E151" s="57" t="s">
        <v>189</v>
      </c>
      <c r="F151" s="57" t="s">
        <v>190</v>
      </c>
      <c r="G151" s="57" t="s">
        <v>210</v>
      </c>
      <c r="H151" s="57" t="s">
        <v>211</v>
      </c>
      <c r="K151" s="62"/>
      <c r="L151" s="57" t="s">
        <v>188</v>
      </c>
      <c r="M151" s="57" t="s">
        <v>189</v>
      </c>
      <c r="N151" s="57" t="s">
        <v>190</v>
      </c>
      <c r="O151" s="57" t="s">
        <v>210</v>
      </c>
      <c r="P151" s="57" t="s">
        <v>211</v>
      </c>
    </row>
    <row r="152" spans="1:18" x14ac:dyDescent="0.25">
      <c r="C152" s="118" t="s">
        <v>521</v>
      </c>
      <c r="D152" s="88" t="s">
        <v>229</v>
      </c>
      <c r="E152" s="88" t="s">
        <v>244</v>
      </c>
      <c r="F152" s="88" t="s">
        <v>235</v>
      </c>
      <c r="G152" s="88" t="s">
        <v>221</v>
      </c>
      <c r="H152" s="88" t="s">
        <v>246</v>
      </c>
      <c r="K152" s="118" t="s">
        <v>521</v>
      </c>
      <c r="L152" s="60" t="s">
        <v>46</v>
      </c>
      <c r="M152" s="60" t="s">
        <v>204</v>
      </c>
      <c r="N152" s="60" t="s">
        <v>46</v>
      </c>
      <c r="O152" s="60" t="s">
        <v>208</v>
      </c>
      <c r="P152" s="60" t="s">
        <v>116</v>
      </c>
    </row>
    <row r="153" spans="1:18" x14ac:dyDescent="0.25">
      <c r="C153" s="119" t="s">
        <v>515</v>
      </c>
      <c r="D153" s="89" t="s">
        <v>218</v>
      </c>
      <c r="E153" s="89" t="s">
        <v>250</v>
      </c>
      <c r="F153" s="89" t="s">
        <v>239</v>
      </c>
      <c r="G153" s="89" t="s">
        <v>221</v>
      </c>
      <c r="H153" s="89" t="s">
        <v>228</v>
      </c>
      <c r="K153" s="119" t="s">
        <v>515</v>
      </c>
      <c r="L153" s="64" t="s">
        <v>116</v>
      </c>
      <c r="M153" s="64" t="s">
        <v>204</v>
      </c>
      <c r="N153" s="64" t="s">
        <v>116</v>
      </c>
      <c r="O153" s="64" t="s">
        <v>205</v>
      </c>
      <c r="P153" s="64" t="s">
        <v>116</v>
      </c>
    </row>
    <row r="155" spans="1:18" x14ac:dyDescent="0.15">
      <c r="C155" s="126" t="s">
        <v>522</v>
      </c>
      <c r="D155" s="128">
        <f>SSRParentageProbability(D153,D152,D98:D125)</f>
        <v>0.26785714285714285</v>
      </c>
      <c r="E155" s="128">
        <f>SSRParentageProbability(E153,E152,E98:E125)</f>
        <v>0.22321428571428573</v>
      </c>
      <c r="F155" s="128">
        <f>SSRParentageProbability(F153,F152,F98:F125)</f>
        <v>0.16071428571428573</v>
      </c>
      <c r="G155" s="128">
        <f>SSRParentageProbability(G153,G152,G98:G125)</f>
        <v>0.7678571428571429</v>
      </c>
      <c r="H155" s="128">
        <f>SSRParentageProbability(H153,H152,H98:H125)</f>
        <v>0.25</v>
      </c>
      <c r="K155" s="126" t="s">
        <v>636</v>
      </c>
      <c r="L155" s="128">
        <f>SNPParentageProbability(L153,L152,L98:L125)</f>
        <v>0.23214285714285715</v>
      </c>
      <c r="M155" s="128">
        <f>SNPParentageProbability(M153,M152,M98:M125)</f>
        <v>0.5</v>
      </c>
      <c r="N155" s="128">
        <f>SNPParentageProbability(N153,N152,N98:N125)</f>
        <v>0.3482142857142857</v>
      </c>
      <c r="O155" s="128">
        <f>SNPParentageProbability(O153,O152,O98:O125)</f>
        <v>0.35714285714285715</v>
      </c>
      <c r="P155" s="128">
        <f>SNPParentageProbability(P153,P152,P98:P125)</f>
        <v>0.7321428571428571</v>
      </c>
    </row>
    <row r="160" spans="1:18" x14ac:dyDescent="0.15">
      <c r="A160" s="268"/>
      <c r="B160" s="268" t="s">
        <v>1641</v>
      </c>
      <c r="C160" s="269"/>
      <c r="D160" s="269"/>
      <c r="E160" s="269"/>
      <c r="F160" s="269"/>
      <c r="G160" s="270"/>
      <c r="H160" s="269"/>
      <c r="I160" s="269"/>
      <c r="J160" s="270"/>
      <c r="K160" s="269"/>
      <c r="L160" s="269"/>
      <c r="M160" s="269"/>
      <c r="N160" s="269"/>
      <c r="O160" s="269"/>
      <c r="P160" s="269"/>
      <c r="Q160" s="269"/>
    </row>
    <row r="161" spans="1:31" x14ac:dyDescent="0.15">
      <c r="A161" s="101"/>
      <c r="B161" s="53"/>
      <c r="C161" s="278" t="s">
        <v>1614</v>
      </c>
      <c r="D161" s="271" t="s">
        <v>1286</v>
      </c>
      <c r="E161" s="53"/>
      <c r="F161" s="53"/>
      <c r="G161" s="85"/>
      <c r="H161" s="53"/>
      <c r="I161" s="53"/>
      <c r="J161" s="85"/>
      <c r="K161" s="53"/>
      <c r="L161" s="53"/>
      <c r="M161" s="53"/>
      <c r="N161" s="53"/>
      <c r="O161" s="53"/>
      <c r="P161" s="53"/>
      <c r="Q161" s="53"/>
      <c r="R161" s="53"/>
      <c r="S161" s="53"/>
      <c r="T161" s="53"/>
      <c r="U161" s="53"/>
      <c r="V161" s="53"/>
      <c r="W161" s="53"/>
      <c r="X161" s="53"/>
      <c r="Y161" s="53"/>
    </row>
    <row r="162" spans="1:31" x14ac:dyDescent="0.15">
      <c r="C162" s="277" t="s">
        <v>1615</v>
      </c>
      <c r="D162" s="266">
        <v>0.5</v>
      </c>
    </row>
    <row r="163" spans="1:31" x14ac:dyDescent="0.15">
      <c r="C163" s="277" t="s">
        <v>1640</v>
      </c>
      <c r="D163" s="281" t="s">
        <v>1645</v>
      </c>
    </row>
    <row r="164" spans="1:31" x14ac:dyDescent="0.15">
      <c r="C164" s="16"/>
      <c r="D164" s="281" t="s">
        <v>1643</v>
      </c>
    </row>
    <row r="165" spans="1:31" x14ac:dyDescent="0.15">
      <c r="C165" s="16"/>
      <c r="D165" s="281" t="s">
        <v>1644</v>
      </c>
    </row>
    <row r="166" spans="1:31" x14ac:dyDescent="0.15">
      <c r="C166" s="16"/>
      <c r="D166" s="276"/>
    </row>
    <row r="168" spans="1:31" x14ac:dyDescent="0.15">
      <c r="B168" s="265" t="s">
        <v>1613</v>
      </c>
      <c r="C168" s="265"/>
      <c r="D168" s="265">
        <v>0</v>
      </c>
      <c r="E168" s="265">
        <v>1</v>
      </c>
      <c r="F168" s="265">
        <v>2</v>
      </c>
      <c r="G168" s="265">
        <v>3</v>
      </c>
      <c r="H168" s="265">
        <v>4</v>
      </c>
      <c r="I168" s="265">
        <v>5</v>
      </c>
      <c r="J168" s="265">
        <v>6</v>
      </c>
      <c r="K168" s="265">
        <v>7</v>
      </c>
      <c r="L168" s="265">
        <v>8</v>
      </c>
      <c r="M168" s="265">
        <v>9</v>
      </c>
      <c r="N168" s="265">
        <v>10</v>
      </c>
      <c r="O168" s="265">
        <v>11</v>
      </c>
      <c r="P168" s="265">
        <v>12</v>
      </c>
      <c r="Q168" s="265">
        <v>13</v>
      </c>
      <c r="R168" s="265">
        <v>14</v>
      </c>
      <c r="S168" s="265">
        <v>15</v>
      </c>
      <c r="T168" s="265">
        <v>16</v>
      </c>
      <c r="U168" s="265">
        <v>17</v>
      </c>
      <c r="V168" s="265">
        <v>18</v>
      </c>
      <c r="W168" s="265">
        <v>19</v>
      </c>
      <c r="X168" s="265">
        <v>20</v>
      </c>
      <c r="Y168" s="265">
        <v>21</v>
      </c>
      <c r="Z168" s="265">
        <v>22</v>
      </c>
      <c r="AA168" s="265">
        <v>23</v>
      </c>
      <c r="AB168" s="265">
        <v>24</v>
      </c>
      <c r="AC168" s="265">
        <v>25</v>
      </c>
      <c r="AD168" s="265">
        <v>26</v>
      </c>
      <c r="AE168" s="265">
        <v>27</v>
      </c>
    </row>
    <row r="169" spans="1:31" ht="74.25" customHeight="1" x14ac:dyDescent="0.15">
      <c r="B169" s="272"/>
      <c r="C169" s="62"/>
      <c r="D169" s="263" t="s">
        <v>191</v>
      </c>
      <c r="E169" s="263" t="s">
        <v>192</v>
      </c>
      <c r="F169" s="263" t="s">
        <v>193</v>
      </c>
      <c r="G169" s="263" t="s">
        <v>194</v>
      </c>
      <c r="H169" s="263" t="s">
        <v>195</v>
      </c>
      <c r="I169" s="263" t="s">
        <v>196</v>
      </c>
      <c r="J169" s="263" t="s">
        <v>197</v>
      </c>
      <c r="K169" s="263" t="s">
        <v>198</v>
      </c>
      <c r="L169" s="263" t="s">
        <v>199</v>
      </c>
      <c r="M169" s="263" t="s">
        <v>200</v>
      </c>
      <c r="N169" s="263" t="s">
        <v>201</v>
      </c>
      <c r="O169" s="263" t="s">
        <v>202</v>
      </c>
      <c r="P169" s="263" t="s">
        <v>264</v>
      </c>
      <c r="Q169" s="263" t="s">
        <v>265</v>
      </c>
      <c r="R169" s="263" t="s">
        <v>266</v>
      </c>
      <c r="S169" s="263" t="s">
        <v>267</v>
      </c>
      <c r="T169" s="263" t="s">
        <v>268</v>
      </c>
      <c r="U169" s="263" t="s">
        <v>269</v>
      </c>
      <c r="V169" s="263" t="s">
        <v>270</v>
      </c>
      <c r="W169" s="263" t="s">
        <v>271</v>
      </c>
      <c r="X169" s="263" t="s">
        <v>272</v>
      </c>
      <c r="Y169" s="263" t="s">
        <v>273</v>
      </c>
      <c r="Z169" s="263" t="s">
        <v>274</v>
      </c>
      <c r="AA169" s="263" t="s">
        <v>275</v>
      </c>
      <c r="AB169" s="263" t="s">
        <v>276</v>
      </c>
      <c r="AC169" s="263" t="s">
        <v>277</v>
      </c>
      <c r="AD169" s="263" t="s">
        <v>278</v>
      </c>
      <c r="AE169" s="263" t="s">
        <v>279</v>
      </c>
    </row>
    <row r="170" spans="1:31" x14ac:dyDescent="0.15">
      <c r="B170" s="222">
        <v>0</v>
      </c>
      <c r="C170" s="122" t="s">
        <v>191</v>
      </c>
      <c r="D170" s="264" t="str">
        <f ca="1">IF($B170=D$168,"", SSRMatchedRatio(OFFSET($D$98:$H$98,$B170,0),OFFSET($D$98:$H$98,D$168,0)))</f>
        <v/>
      </c>
      <c r="E170" s="264">
        <f t="shared" ref="E170:AE179" ca="1" si="4">IF($B170=E$168,"", SSRMatchedRatio(OFFSET($D$98:$H$98,$B170,0),OFFSET($D$98:$H$98,E$168,0)))</f>
        <v>0.2</v>
      </c>
      <c r="F170" s="264">
        <f t="shared" ca="1" si="4"/>
        <v>0.2</v>
      </c>
      <c r="G170" s="264">
        <f t="shared" ca="1" si="4"/>
        <v>0</v>
      </c>
      <c r="H170" s="264">
        <f t="shared" ca="1" si="4"/>
        <v>0.2</v>
      </c>
      <c r="I170" s="264">
        <f t="shared" ca="1" si="4"/>
        <v>0.2</v>
      </c>
      <c r="J170" s="264">
        <f t="shared" ca="1" si="4"/>
        <v>0</v>
      </c>
      <c r="K170" s="264">
        <f t="shared" ca="1" si="4"/>
        <v>0</v>
      </c>
      <c r="L170" s="264">
        <f t="shared" ca="1" si="4"/>
        <v>0</v>
      </c>
      <c r="M170" s="264">
        <f t="shared" ca="1" si="4"/>
        <v>0</v>
      </c>
      <c r="N170" s="264">
        <f t="shared" ca="1" si="4"/>
        <v>0</v>
      </c>
      <c r="O170" s="264">
        <f t="shared" ca="1" si="4"/>
        <v>0</v>
      </c>
      <c r="P170" s="264">
        <f t="shared" ca="1" si="4"/>
        <v>0</v>
      </c>
      <c r="Q170" s="264">
        <f t="shared" ca="1" si="4"/>
        <v>0</v>
      </c>
      <c r="R170" s="264">
        <f t="shared" ca="1" si="4"/>
        <v>0</v>
      </c>
      <c r="S170" s="264">
        <f t="shared" ca="1" si="4"/>
        <v>0</v>
      </c>
      <c r="T170" s="264">
        <f t="shared" ca="1" si="4"/>
        <v>0</v>
      </c>
      <c r="U170" s="264">
        <f t="shared" ca="1" si="4"/>
        <v>0</v>
      </c>
      <c r="V170" s="264">
        <f t="shared" ca="1" si="4"/>
        <v>0</v>
      </c>
      <c r="W170" s="264">
        <f t="shared" ca="1" si="4"/>
        <v>0</v>
      </c>
      <c r="X170" s="264">
        <f t="shared" ca="1" si="4"/>
        <v>0.2</v>
      </c>
      <c r="Y170" s="264">
        <f t="shared" ca="1" si="4"/>
        <v>0.2</v>
      </c>
      <c r="Z170" s="264">
        <f t="shared" ca="1" si="4"/>
        <v>0.2</v>
      </c>
      <c r="AA170" s="264">
        <f t="shared" ca="1" si="4"/>
        <v>0.2</v>
      </c>
      <c r="AB170" s="264">
        <f t="shared" ca="1" si="4"/>
        <v>0</v>
      </c>
      <c r="AC170" s="264">
        <f t="shared" ca="1" si="4"/>
        <v>0.4</v>
      </c>
      <c r="AD170" s="264">
        <f t="shared" ca="1" si="4"/>
        <v>0</v>
      </c>
      <c r="AE170" s="264">
        <f t="shared" ca="1" si="4"/>
        <v>0</v>
      </c>
    </row>
    <row r="171" spans="1:31" x14ac:dyDescent="0.15">
      <c r="B171" s="222">
        <v>1</v>
      </c>
      <c r="C171" s="122" t="s">
        <v>192</v>
      </c>
      <c r="D171" s="264">
        <f t="shared" ref="D171:S195" ca="1" si="5">IF($B171=D$168,"", SSRMatchedRatio(OFFSET($D$98:$H$98,$B171,0),OFFSET($D$98:$H$98,D$168,0)))</f>
        <v>0.2</v>
      </c>
      <c r="E171" s="264" t="str">
        <f t="shared" ca="1" si="4"/>
        <v/>
      </c>
      <c r="F171" s="264">
        <f t="shared" ca="1" si="4"/>
        <v>0.4</v>
      </c>
      <c r="G171" s="264">
        <f t="shared" ca="1" si="4"/>
        <v>0.2</v>
      </c>
      <c r="H171" s="264">
        <f t="shared" ca="1" si="4"/>
        <v>0.4</v>
      </c>
      <c r="I171" s="264">
        <f t="shared" ca="1" si="4"/>
        <v>0.2</v>
      </c>
      <c r="J171" s="264">
        <f t="shared" ca="1" si="4"/>
        <v>0</v>
      </c>
      <c r="K171" s="264">
        <f t="shared" ca="1" si="4"/>
        <v>0</v>
      </c>
      <c r="L171" s="264">
        <f t="shared" ca="1" si="4"/>
        <v>0</v>
      </c>
      <c r="M171" s="264">
        <f t="shared" ca="1" si="4"/>
        <v>0.2</v>
      </c>
      <c r="N171" s="264">
        <f t="shared" ca="1" si="4"/>
        <v>0.2</v>
      </c>
      <c r="O171" s="264">
        <f t="shared" ca="1" si="4"/>
        <v>0.4</v>
      </c>
      <c r="P171" s="264">
        <f t="shared" ca="1" si="4"/>
        <v>0.2</v>
      </c>
      <c r="Q171" s="264">
        <f t="shared" ca="1" si="4"/>
        <v>0.4</v>
      </c>
      <c r="R171" s="264">
        <f t="shared" ca="1" si="4"/>
        <v>0.2</v>
      </c>
      <c r="S171" s="264">
        <f t="shared" ca="1" si="4"/>
        <v>0.2</v>
      </c>
      <c r="T171" s="264">
        <f t="shared" ca="1" si="4"/>
        <v>0.2</v>
      </c>
      <c r="U171" s="264">
        <f t="shared" ca="1" si="4"/>
        <v>0.4</v>
      </c>
      <c r="V171" s="264">
        <f t="shared" ca="1" si="4"/>
        <v>0.4</v>
      </c>
      <c r="W171" s="264">
        <f t="shared" ca="1" si="4"/>
        <v>0.2</v>
      </c>
      <c r="X171" s="264">
        <f t="shared" ca="1" si="4"/>
        <v>0.2</v>
      </c>
      <c r="Y171" s="264">
        <f t="shared" ca="1" si="4"/>
        <v>0.2</v>
      </c>
      <c r="Z171" s="264">
        <f t="shared" ca="1" si="4"/>
        <v>0.4</v>
      </c>
      <c r="AA171" s="264">
        <f t="shared" ca="1" si="4"/>
        <v>0.4</v>
      </c>
      <c r="AB171" s="264">
        <f t="shared" ca="1" si="4"/>
        <v>0.2</v>
      </c>
      <c r="AC171" s="264">
        <f t="shared" ca="1" si="4"/>
        <v>0.4</v>
      </c>
      <c r="AD171" s="264">
        <f t="shared" ca="1" si="4"/>
        <v>0.2</v>
      </c>
      <c r="AE171" s="264">
        <f t="shared" ca="1" si="4"/>
        <v>0</v>
      </c>
    </row>
    <row r="172" spans="1:31" x14ac:dyDescent="0.15">
      <c r="B172" s="222">
        <v>2</v>
      </c>
      <c r="C172" s="122" t="s">
        <v>193</v>
      </c>
      <c r="D172" s="264">
        <f t="shared" ca="1" si="5"/>
        <v>0.2</v>
      </c>
      <c r="E172" s="264">
        <f t="shared" ca="1" si="4"/>
        <v>0.4</v>
      </c>
      <c r="F172" s="264" t="str">
        <f t="shared" ca="1" si="4"/>
        <v/>
      </c>
      <c r="G172" s="264">
        <f t="shared" ca="1" si="4"/>
        <v>0.2</v>
      </c>
      <c r="H172" s="264">
        <f t="shared" ca="1" si="4"/>
        <v>0.6</v>
      </c>
      <c r="I172" s="264">
        <f t="shared" ca="1" si="4"/>
        <v>0.4</v>
      </c>
      <c r="J172" s="264">
        <f t="shared" ca="1" si="4"/>
        <v>0</v>
      </c>
      <c r="K172" s="264">
        <f t="shared" ca="1" si="4"/>
        <v>0.2</v>
      </c>
      <c r="L172" s="264">
        <f t="shared" ca="1" si="4"/>
        <v>0</v>
      </c>
      <c r="M172" s="264">
        <f t="shared" ca="1" si="4"/>
        <v>0.2</v>
      </c>
      <c r="N172" s="264">
        <f t="shared" ca="1" si="4"/>
        <v>0.2</v>
      </c>
      <c r="O172" s="264">
        <f t="shared" ca="1" si="4"/>
        <v>0.2</v>
      </c>
      <c r="P172" s="264">
        <f t="shared" ca="1" si="4"/>
        <v>0.2</v>
      </c>
      <c r="Q172" s="264">
        <f t="shared" ca="1" si="4"/>
        <v>0.2</v>
      </c>
      <c r="R172" s="264">
        <f t="shared" ca="1" si="4"/>
        <v>0.2</v>
      </c>
      <c r="S172" s="264">
        <f t="shared" ca="1" si="4"/>
        <v>0.2</v>
      </c>
      <c r="T172" s="264">
        <f t="shared" ca="1" si="4"/>
        <v>0.2</v>
      </c>
      <c r="U172" s="264">
        <f t="shared" ca="1" si="4"/>
        <v>0.2</v>
      </c>
      <c r="V172" s="264">
        <f t="shared" ca="1" si="4"/>
        <v>0.2</v>
      </c>
      <c r="W172" s="264">
        <f t="shared" ca="1" si="4"/>
        <v>0.2</v>
      </c>
      <c r="X172" s="264">
        <f t="shared" ca="1" si="4"/>
        <v>0.2</v>
      </c>
      <c r="Y172" s="264">
        <f t="shared" ca="1" si="4"/>
        <v>0.2</v>
      </c>
      <c r="Z172" s="264">
        <f t="shared" ca="1" si="4"/>
        <v>1</v>
      </c>
      <c r="AA172" s="264">
        <f t="shared" ca="1" si="4"/>
        <v>0.6</v>
      </c>
      <c r="AB172" s="264">
        <f t="shared" ca="1" si="4"/>
        <v>0.2</v>
      </c>
      <c r="AC172" s="264">
        <f t="shared" ca="1" si="4"/>
        <v>0.2</v>
      </c>
      <c r="AD172" s="264">
        <f t="shared" ca="1" si="4"/>
        <v>0</v>
      </c>
      <c r="AE172" s="264">
        <f t="shared" ca="1" si="4"/>
        <v>0</v>
      </c>
    </row>
    <row r="173" spans="1:31" x14ac:dyDescent="0.15">
      <c r="B173" s="222">
        <v>3</v>
      </c>
      <c r="C173" s="122" t="s">
        <v>194</v>
      </c>
      <c r="D173" s="264">
        <f t="shared" ca="1" si="5"/>
        <v>0</v>
      </c>
      <c r="E173" s="264">
        <f t="shared" ca="1" si="4"/>
        <v>0.2</v>
      </c>
      <c r="F173" s="264">
        <f t="shared" ca="1" si="4"/>
        <v>0.2</v>
      </c>
      <c r="G173" s="264" t="str">
        <f t="shared" ca="1" si="4"/>
        <v/>
      </c>
      <c r="H173" s="264">
        <f t="shared" ca="1" si="4"/>
        <v>0.2</v>
      </c>
      <c r="I173" s="264">
        <f t="shared" ca="1" si="4"/>
        <v>0</v>
      </c>
      <c r="J173" s="264">
        <f t="shared" ca="1" si="4"/>
        <v>0</v>
      </c>
      <c r="K173" s="264">
        <f t="shared" ca="1" si="4"/>
        <v>0</v>
      </c>
      <c r="L173" s="264">
        <f t="shared" ca="1" si="4"/>
        <v>0</v>
      </c>
      <c r="M173" s="264">
        <f t="shared" ca="1" si="4"/>
        <v>0.2</v>
      </c>
      <c r="N173" s="264">
        <f t="shared" ca="1" si="4"/>
        <v>0.4</v>
      </c>
      <c r="O173" s="264">
        <f t="shared" ca="1" si="4"/>
        <v>0.4</v>
      </c>
      <c r="P173" s="264">
        <f t="shared" ca="1" si="4"/>
        <v>0.2</v>
      </c>
      <c r="Q173" s="264">
        <f t="shared" ca="1" si="4"/>
        <v>0.2</v>
      </c>
      <c r="R173" s="264">
        <f t="shared" ca="1" si="4"/>
        <v>0.4</v>
      </c>
      <c r="S173" s="264">
        <f t="shared" ca="1" si="4"/>
        <v>0.4</v>
      </c>
      <c r="T173" s="264">
        <f t="shared" ca="1" si="4"/>
        <v>0.2</v>
      </c>
      <c r="U173" s="264">
        <f t="shared" ca="1" si="4"/>
        <v>0.2</v>
      </c>
      <c r="V173" s="264">
        <f t="shared" ca="1" si="4"/>
        <v>0.2</v>
      </c>
      <c r="W173" s="264">
        <f t="shared" ca="1" si="4"/>
        <v>0.2</v>
      </c>
      <c r="X173" s="264">
        <f t="shared" ca="1" si="4"/>
        <v>0</v>
      </c>
      <c r="Y173" s="264">
        <f t="shared" ca="1" si="4"/>
        <v>0</v>
      </c>
      <c r="Z173" s="264">
        <f t="shared" ca="1" si="4"/>
        <v>0.2</v>
      </c>
      <c r="AA173" s="264">
        <f t="shared" ca="1" si="4"/>
        <v>0.2</v>
      </c>
      <c r="AB173" s="264">
        <f t="shared" ca="1" si="4"/>
        <v>0.2</v>
      </c>
      <c r="AC173" s="264">
        <f t="shared" ca="1" si="4"/>
        <v>0</v>
      </c>
      <c r="AD173" s="264">
        <f t="shared" ca="1" si="4"/>
        <v>0.2</v>
      </c>
      <c r="AE173" s="264">
        <f t="shared" ca="1" si="4"/>
        <v>0</v>
      </c>
    </row>
    <row r="174" spans="1:31" x14ac:dyDescent="0.15">
      <c r="B174" s="222">
        <v>4</v>
      </c>
      <c r="C174" s="122" t="s">
        <v>195</v>
      </c>
      <c r="D174" s="264">
        <f t="shared" ca="1" si="5"/>
        <v>0.2</v>
      </c>
      <c r="E174" s="264">
        <f t="shared" ca="1" si="4"/>
        <v>0.4</v>
      </c>
      <c r="F174" s="264">
        <f t="shared" ca="1" si="4"/>
        <v>0.6</v>
      </c>
      <c r="G174" s="264">
        <f t="shared" ca="1" si="4"/>
        <v>0.2</v>
      </c>
      <c r="H174" s="264" t="str">
        <f t="shared" ca="1" si="4"/>
        <v/>
      </c>
      <c r="I174" s="264">
        <f t="shared" ca="1" si="4"/>
        <v>0.4</v>
      </c>
      <c r="J174" s="264">
        <f t="shared" ca="1" si="4"/>
        <v>0</v>
      </c>
      <c r="K174" s="264">
        <f t="shared" ca="1" si="4"/>
        <v>0</v>
      </c>
      <c r="L174" s="264">
        <f t="shared" ca="1" si="4"/>
        <v>0</v>
      </c>
      <c r="M174" s="264">
        <f t="shared" ca="1" si="4"/>
        <v>0.2</v>
      </c>
      <c r="N174" s="264">
        <f t="shared" ca="1" si="4"/>
        <v>0.2</v>
      </c>
      <c r="O174" s="264">
        <f t="shared" ca="1" si="4"/>
        <v>0.2</v>
      </c>
      <c r="P174" s="264">
        <f t="shared" ca="1" si="4"/>
        <v>0.4</v>
      </c>
      <c r="Q174" s="264">
        <f t="shared" ca="1" si="4"/>
        <v>0.2</v>
      </c>
      <c r="R174" s="264">
        <f t="shared" ca="1" si="4"/>
        <v>0.2</v>
      </c>
      <c r="S174" s="264">
        <f t="shared" ca="1" si="4"/>
        <v>0.2</v>
      </c>
      <c r="T174" s="264">
        <f t="shared" ca="1" si="4"/>
        <v>0.2</v>
      </c>
      <c r="U174" s="264">
        <f t="shared" ca="1" si="4"/>
        <v>0.2</v>
      </c>
      <c r="V174" s="264">
        <f t="shared" ca="1" si="4"/>
        <v>0.2</v>
      </c>
      <c r="W174" s="264">
        <f t="shared" ca="1" si="4"/>
        <v>0.4</v>
      </c>
      <c r="X174" s="264">
        <f t="shared" ca="1" si="4"/>
        <v>0.2</v>
      </c>
      <c r="Y174" s="264">
        <f t="shared" ca="1" si="4"/>
        <v>0.4</v>
      </c>
      <c r="Z174" s="264">
        <f t="shared" ca="1" si="4"/>
        <v>0.6</v>
      </c>
      <c r="AA174" s="264">
        <f t="shared" ca="1" si="4"/>
        <v>0.6</v>
      </c>
      <c r="AB174" s="264">
        <f t="shared" ca="1" si="4"/>
        <v>0.2</v>
      </c>
      <c r="AC174" s="264">
        <f t="shared" ca="1" si="4"/>
        <v>0.2</v>
      </c>
      <c r="AD174" s="264">
        <f t="shared" ca="1" si="4"/>
        <v>0</v>
      </c>
      <c r="AE174" s="264">
        <f t="shared" ca="1" si="4"/>
        <v>0</v>
      </c>
    </row>
    <row r="175" spans="1:31" x14ac:dyDescent="0.15">
      <c r="B175" s="222">
        <v>5</v>
      </c>
      <c r="C175" s="122" t="s">
        <v>196</v>
      </c>
      <c r="D175" s="264">
        <f t="shared" ca="1" si="5"/>
        <v>0.2</v>
      </c>
      <c r="E175" s="264">
        <f t="shared" ca="1" si="4"/>
        <v>0.2</v>
      </c>
      <c r="F175" s="264">
        <f t="shared" ca="1" si="4"/>
        <v>0.4</v>
      </c>
      <c r="G175" s="264">
        <f t="shared" ca="1" si="4"/>
        <v>0</v>
      </c>
      <c r="H175" s="264">
        <f t="shared" ca="1" si="4"/>
        <v>0.4</v>
      </c>
      <c r="I175" s="264" t="str">
        <f t="shared" ca="1" si="4"/>
        <v/>
      </c>
      <c r="J175" s="264">
        <f t="shared" ca="1" si="4"/>
        <v>0</v>
      </c>
      <c r="K175" s="264">
        <f t="shared" ca="1" si="4"/>
        <v>0</v>
      </c>
      <c r="L175" s="264">
        <f t="shared" ca="1" si="4"/>
        <v>0</v>
      </c>
      <c r="M175" s="264">
        <f t="shared" ca="1" si="4"/>
        <v>0</v>
      </c>
      <c r="N175" s="264">
        <f t="shared" ca="1" si="4"/>
        <v>0</v>
      </c>
      <c r="O175" s="264">
        <f t="shared" ca="1" si="4"/>
        <v>0</v>
      </c>
      <c r="P175" s="264">
        <f t="shared" ca="1" si="4"/>
        <v>0</v>
      </c>
      <c r="Q175" s="264">
        <f t="shared" ca="1" si="4"/>
        <v>0</v>
      </c>
      <c r="R175" s="264">
        <f t="shared" ca="1" si="4"/>
        <v>0</v>
      </c>
      <c r="S175" s="264">
        <f t="shared" ca="1" si="4"/>
        <v>0</v>
      </c>
      <c r="T175" s="264">
        <f t="shared" ca="1" si="4"/>
        <v>0</v>
      </c>
      <c r="U175" s="264">
        <f t="shared" ca="1" si="4"/>
        <v>0</v>
      </c>
      <c r="V175" s="264">
        <f t="shared" ca="1" si="4"/>
        <v>0</v>
      </c>
      <c r="W175" s="264">
        <f t="shared" ca="1" si="4"/>
        <v>0</v>
      </c>
      <c r="X175" s="264">
        <f t="shared" ca="1" si="4"/>
        <v>0.4</v>
      </c>
      <c r="Y175" s="264">
        <f t="shared" ca="1" si="4"/>
        <v>0.6</v>
      </c>
      <c r="Z175" s="264">
        <f t="shared" ca="1" si="4"/>
        <v>0.4</v>
      </c>
      <c r="AA175" s="264">
        <f t="shared" ca="1" si="4"/>
        <v>0.2</v>
      </c>
      <c r="AB175" s="264">
        <f t="shared" ca="1" si="4"/>
        <v>0</v>
      </c>
      <c r="AC175" s="264">
        <f t="shared" ca="1" si="4"/>
        <v>0.4</v>
      </c>
      <c r="AD175" s="264">
        <f t="shared" ca="1" si="4"/>
        <v>0.2</v>
      </c>
      <c r="AE175" s="264">
        <f t="shared" ca="1" si="4"/>
        <v>0.2</v>
      </c>
    </row>
    <row r="176" spans="1:31" x14ac:dyDescent="0.15">
      <c r="B176" s="222">
        <v>6</v>
      </c>
      <c r="C176" s="122" t="s">
        <v>197</v>
      </c>
      <c r="D176" s="264">
        <f t="shared" ca="1" si="5"/>
        <v>0</v>
      </c>
      <c r="E176" s="264">
        <f t="shared" ca="1" si="4"/>
        <v>0</v>
      </c>
      <c r="F176" s="264">
        <f t="shared" ca="1" si="4"/>
        <v>0</v>
      </c>
      <c r="G176" s="264">
        <f t="shared" ca="1" si="4"/>
        <v>0</v>
      </c>
      <c r="H176" s="264">
        <f t="shared" ca="1" si="4"/>
        <v>0</v>
      </c>
      <c r="I176" s="264">
        <f t="shared" ca="1" si="4"/>
        <v>0</v>
      </c>
      <c r="J176" s="264" t="str">
        <f t="shared" ca="1" si="4"/>
        <v/>
      </c>
      <c r="K176" s="264">
        <f t="shared" ca="1" si="4"/>
        <v>0</v>
      </c>
      <c r="L176" s="264">
        <f t="shared" ca="1" si="4"/>
        <v>0.4</v>
      </c>
      <c r="M176" s="264">
        <f t="shared" ca="1" si="4"/>
        <v>0</v>
      </c>
      <c r="N176" s="264">
        <f t="shared" ca="1" si="4"/>
        <v>0</v>
      </c>
      <c r="O176" s="264">
        <f t="shared" ca="1" si="4"/>
        <v>0.2</v>
      </c>
      <c r="P176" s="264">
        <f t="shared" ca="1" si="4"/>
        <v>0</v>
      </c>
      <c r="Q176" s="264">
        <f t="shared" ca="1" si="4"/>
        <v>0.2</v>
      </c>
      <c r="R176" s="264">
        <f t="shared" ca="1" si="4"/>
        <v>0.2</v>
      </c>
      <c r="S176" s="264">
        <f t="shared" ca="1" si="4"/>
        <v>0.2</v>
      </c>
      <c r="T176" s="264">
        <f t="shared" ca="1" si="4"/>
        <v>0</v>
      </c>
      <c r="U176" s="264">
        <f t="shared" ca="1" si="4"/>
        <v>0.2</v>
      </c>
      <c r="V176" s="264">
        <f t="shared" ca="1" si="4"/>
        <v>0.2</v>
      </c>
      <c r="W176" s="264">
        <f t="shared" ca="1" si="4"/>
        <v>0.2</v>
      </c>
      <c r="X176" s="264">
        <f t="shared" ca="1" si="4"/>
        <v>0</v>
      </c>
      <c r="Y176" s="264">
        <f t="shared" ca="1" si="4"/>
        <v>0</v>
      </c>
      <c r="Z176" s="264">
        <f t="shared" ca="1" si="4"/>
        <v>0</v>
      </c>
      <c r="AA176" s="264">
        <f t="shared" ca="1" si="4"/>
        <v>0</v>
      </c>
      <c r="AB176" s="264">
        <f t="shared" ca="1" si="4"/>
        <v>0</v>
      </c>
      <c r="AC176" s="264">
        <f t="shared" ca="1" si="4"/>
        <v>0</v>
      </c>
      <c r="AD176" s="264">
        <f t="shared" ca="1" si="4"/>
        <v>0</v>
      </c>
      <c r="AE176" s="264">
        <f t="shared" ca="1" si="4"/>
        <v>0</v>
      </c>
    </row>
    <row r="177" spans="2:31" x14ac:dyDescent="0.15">
      <c r="B177" s="222">
        <v>7</v>
      </c>
      <c r="C177" s="122" t="s">
        <v>198</v>
      </c>
      <c r="D177" s="264">
        <f t="shared" ca="1" si="5"/>
        <v>0</v>
      </c>
      <c r="E177" s="264">
        <f t="shared" ca="1" si="4"/>
        <v>0</v>
      </c>
      <c r="F177" s="264">
        <f t="shared" ca="1" si="4"/>
        <v>0.2</v>
      </c>
      <c r="G177" s="264">
        <f t="shared" ca="1" si="4"/>
        <v>0</v>
      </c>
      <c r="H177" s="264">
        <f t="shared" ca="1" si="4"/>
        <v>0</v>
      </c>
      <c r="I177" s="264">
        <f t="shared" ca="1" si="4"/>
        <v>0</v>
      </c>
      <c r="J177" s="264">
        <f t="shared" ca="1" si="4"/>
        <v>0</v>
      </c>
      <c r="K177" s="264" t="str">
        <f t="shared" ca="1" si="4"/>
        <v/>
      </c>
      <c r="L177" s="264">
        <f t="shared" ca="1" si="4"/>
        <v>0.4</v>
      </c>
      <c r="M177" s="264">
        <f t="shared" ca="1" si="4"/>
        <v>0</v>
      </c>
      <c r="N177" s="264">
        <f t="shared" ca="1" si="4"/>
        <v>0</v>
      </c>
      <c r="O177" s="264">
        <f t="shared" ca="1" si="4"/>
        <v>0</v>
      </c>
      <c r="P177" s="264">
        <f t="shared" ca="1" si="4"/>
        <v>0.2</v>
      </c>
      <c r="Q177" s="264">
        <f t="shared" ca="1" si="4"/>
        <v>0</v>
      </c>
      <c r="R177" s="264">
        <f t="shared" ca="1" si="4"/>
        <v>0</v>
      </c>
      <c r="S177" s="264">
        <f t="shared" ca="1" si="4"/>
        <v>0</v>
      </c>
      <c r="T177" s="264">
        <f t="shared" ca="1" si="4"/>
        <v>0.2</v>
      </c>
      <c r="U177" s="264">
        <f t="shared" ca="1" si="4"/>
        <v>0</v>
      </c>
      <c r="V177" s="264">
        <f t="shared" ca="1" si="4"/>
        <v>0</v>
      </c>
      <c r="W177" s="264">
        <f t="shared" ca="1" si="4"/>
        <v>0</v>
      </c>
      <c r="X177" s="264">
        <f t="shared" ca="1" si="4"/>
        <v>0.2</v>
      </c>
      <c r="Y177" s="264">
        <f ca="1">IF($B177=Y$168,"", SSRMatchedRatio(OFFSET($D$98:$H$98,$B177,0),OFFSET($D$98:$H$98,Y$168,0)))</f>
        <v>0</v>
      </c>
      <c r="Z177" s="264">
        <f t="shared" ca="1" si="4"/>
        <v>0.2</v>
      </c>
      <c r="AA177" s="264">
        <f t="shared" ca="1" si="4"/>
        <v>0</v>
      </c>
      <c r="AB177" s="264">
        <f t="shared" ca="1" si="4"/>
        <v>0</v>
      </c>
      <c r="AC177" s="264">
        <f t="shared" ca="1" si="4"/>
        <v>0</v>
      </c>
      <c r="AD177" s="264">
        <f t="shared" ca="1" si="4"/>
        <v>0.2</v>
      </c>
      <c r="AE177" s="264">
        <f t="shared" ca="1" si="4"/>
        <v>0.2</v>
      </c>
    </row>
    <row r="178" spans="2:31" x14ac:dyDescent="0.15">
      <c r="B178" s="222">
        <v>8</v>
      </c>
      <c r="C178" s="122" t="s">
        <v>199</v>
      </c>
      <c r="D178" s="264">
        <f t="shared" ca="1" si="5"/>
        <v>0</v>
      </c>
      <c r="E178" s="264">
        <f t="shared" ca="1" si="4"/>
        <v>0</v>
      </c>
      <c r="F178" s="264">
        <f t="shared" ca="1" si="4"/>
        <v>0</v>
      </c>
      <c r="G178" s="264">
        <f t="shared" ca="1" si="4"/>
        <v>0</v>
      </c>
      <c r="H178" s="264">
        <f t="shared" ca="1" si="4"/>
        <v>0</v>
      </c>
      <c r="I178" s="264">
        <f t="shared" ca="1" si="4"/>
        <v>0</v>
      </c>
      <c r="J178" s="264">
        <f t="shared" ca="1" si="4"/>
        <v>0.4</v>
      </c>
      <c r="K178" s="264">
        <f t="shared" ca="1" si="4"/>
        <v>0.4</v>
      </c>
      <c r="L178" s="264" t="str">
        <f t="shared" ca="1" si="4"/>
        <v/>
      </c>
      <c r="M178" s="264">
        <f t="shared" ca="1" si="4"/>
        <v>0</v>
      </c>
      <c r="N178" s="264">
        <f t="shared" ca="1" si="4"/>
        <v>0</v>
      </c>
      <c r="O178" s="264">
        <f t="shared" ca="1" si="4"/>
        <v>0.2</v>
      </c>
      <c r="P178" s="264">
        <f t="shared" ca="1" si="4"/>
        <v>0</v>
      </c>
      <c r="Q178" s="264">
        <f t="shared" ca="1" si="4"/>
        <v>0.2</v>
      </c>
      <c r="R178" s="264">
        <f t="shared" ca="1" si="4"/>
        <v>0.2</v>
      </c>
      <c r="S178" s="264">
        <f t="shared" ca="1" si="4"/>
        <v>0.2</v>
      </c>
      <c r="T178" s="264">
        <f t="shared" ca="1" si="4"/>
        <v>0</v>
      </c>
      <c r="U178" s="264">
        <f t="shared" ca="1" si="4"/>
        <v>0.2</v>
      </c>
      <c r="V178" s="264">
        <f t="shared" ca="1" si="4"/>
        <v>0.2</v>
      </c>
      <c r="W178" s="264">
        <f t="shared" ca="1" si="4"/>
        <v>0.2</v>
      </c>
      <c r="X178" s="264">
        <f t="shared" ca="1" si="4"/>
        <v>0</v>
      </c>
      <c r="Y178" s="264">
        <f t="shared" ca="1" si="4"/>
        <v>0</v>
      </c>
      <c r="Z178" s="264">
        <f t="shared" ca="1" si="4"/>
        <v>0</v>
      </c>
      <c r="AA178" s="264">
        <f t="shared" ca="1" si="4"/>
        <v>0</v>
      </c>
      <c r="AB178" s="264">
        <f t="shared" ca="1" si="4"/>
        <v>0</v>
      </c>
      <c r="AC178" s="264">
        <f t="shared" ca="1" si="4"/>
        <v>0</v>
      </c>
      <c r="AD178" s="264">
        <f t="shared" ca="1" si="4"/>
        <v>0</v>
      </c>
      <c r="AE178" s="264">
        <f t="shared" ca="1" si="4"/>
        <v>0</v>
      </c>
    </row>
    <row r="179" spans="2:31" x14ac:dyDescent="0.15">
      <c r="B179" s="222">
        <v>9</v>
      </c>
      <c r="C179" s="122" t="s">
        <v>200</v>
      </c>
      <c r="D179" s="264">
        <f t="shared" ca="1" si="5"/>
        <v>0</v>
      </c>
      <c r="E179" s="264">
        <f t="shared" ca="1" si="4"/>
        <v>0.2</v>
      </c>
      <c r="F179" s="264">
        <f t="shared" ca="1" si="4"/>
        <v>0.2</v>
      </c>
      <c r="G179" s="264">
        <f t="shared" ca="1" si="4"/>
        <v>0.2</v>
      </c>
      <c r="H179" s="264">
        <f t="shared" ca="1" si="4"/>
        <v>0.2</v>
      </c>
      <c r="I179" s="264">
        <f t="shared" ca="1" si="4"/>
        <v>0</v>
      </c>
      <c r="J179" s="264">
        <f t="shared" ca="1" si="4"/>
        <v>0</v>
      </c>
      <c r="K179" s="264">
        <f t="shared" ca="1" si="4"/>
        <v>0</v>
      </c>
      <c r="L179" s="264">
        <f t="shared" ca="1" si="4"/>
        <v>0</v>
      </c>
      <c r="M179" s="264" t="str">
        <f t="shared" ca="1" si="4"/>
        <v/>
      </c>
      <c r="N179" s="264">
        <f t="shared" ca="1" si="4"/>
        <v>0.2</v>
      </c>
      <c r="O179" s="264">
        <f t="shared" ca="1" si="4"/>
        <v>0.2</v>
      </c>
      <c r="P179" s="264">
        <f t="shared" ca="1" si="4"/>
        <v>0.4</v>
      </c>
      <c r="Q179" s="264">
        <f t="shared" ref="Q179:AE197" ca="1" si="6">IF($B179=Q$168,"", SSRMatchedRatio(OFFSET($D$98:$H$98,$B179,0),OFFSET($D$98:$H$98,Q$168,0)))</f>
        <v>0.2</v>
      </c>
      <c r="R179" s="264">
        <f t="shared" ca="1" si="6"/>
        <v>0.2</v>
      </c>
      <c r="S179" s="264">
        <f t="shared" ca="1" si="6"/>
        <v>0.2</v>
      </c>
      <c r="T179" s="264">
        <f t="shared" ca="1" si="6"/>
        <v>0.2</v>
      </c>
      <c r="U179" s="264">
        <f t="shared" ca="1" si="6"/>
        <v>0.2</v>
      </c>
      <c r="V179" s="264">
        <f t="shared" ca="1" si="6"/>
        <v>0.2</v>
      </c>
      <c r="W179" s="264">
        <f t="shared" ca="1" si="6"/>
        <v>0.2</v>
      </c>
      <c r="X179" s="264">
        <f t="shared" ca="1" si="6"/>
        <v>0</v>
      </c>
      <c r="Y179" s="264">
        <f t="shared" ca="1" si="6"/>
        <v>0</v>
      </c>
      <c r="Z179" s="264">
        <f t="shared" ca="1" si="6"/>
        <v>0.2</v>
      </c>
      <c r="AA179" s="264">
        <f t="shared" ca="1" si="6"/>
        <v>0.4</v>
      </c>
      <c r="AB179" s="264">
        <f t="shared" ca="1" si="6"/>
        <v>0.2</v>
      </c>
      <c r="AC179" s="264">
        <f t="shared" ca="1" si="6"/>
        <v>0.2</v>
      </c>
      <c r="AD179" s="264">
        <f t="shared" ca="1" si="6"/>
        <v>0.2</v>
      </c>
      <c r="AE179" s="264">
        <f t="shared" ca="1" si="6"/>
        <v>0.2</v>
      </c>
    </row>
    <row r="180" spans="2:31" x14ac:dyDescent="0.15">
      <c r="B180" s="222">
        <v>10</v>
      </c>
      <c r="C180" s="122" t="s">
        <v>201</v>
      </c>
      <c r="D180" s="264">
        <f t="shared" ca="1" si="5"/>
        <v>0</v>
      </c>
      <c r="E180" s="264">
        <f t="shared" ca="1" si="5"/>
        <v>0.2</v>
      </c>
      <c r="F180" s="264">
        <f t="shared" ca="1" si="5"/>
        <v>0.2</v>
      </c>
      <c r="G180" s="264">
        <f t="shared" ca="1" si="5"/>
        <v>0.4</v>
      </c>
      <c r="H180" s="264">
        <f t="shared" ca="1" si="5"/>
        <v>0.2</v>
      </c>
      <c r="I180" s="264">
        <f t="shared" ca="1" si="5"/>
        <v>0</v>
      </c>
      <c r="J180" s="264">
        <f t="shared" ca="1" si="5"/>
        <v>0</v>
      </c>
      <c r="K180" s="264">
        <f t="shared" ca="1" si="5"/>
        <v>0</v>
      </c>
      <c r="L180" s="264">
        <f t="shared" ca="1" si="5"/>
        <v>0</v>
      </c>
      <c r="M180" s="264">
        <f t="shared" ca="1" si="5"/>
        <v>0.2</v>
      </c>
      <c r="N180" s="264" t="str">
        <f t="shared" ca="1" si="5"/>
        <v/>
      </c>
      <c r="O180" s="264">
        <f t="shared" ca="1" si="5"/>
        <v>0.2</v>
      </c>
      <c r="P180" s="264">
        <f t="shared" ca="1" si="5"/>
        <v>0.2</v>
      </c>
      <c r="Q180" s="264">
        <f t="shared" ca="1" si="5"/>
        <v>0.2</v>
      </c>
      <c r="R180" s="264">
        <f t="shared" ca="1" si="5"/>
        <v>0.2</v>
      </c>
      <c r="S180" s="264">
        <f t="shared" ca="1" si="5"/>
        <v>0.2</v>
      </c>
      <c r="T180" s="264">
        <f t="shared" ca="1" si="6"/>
        <v>0.2</v>
      </c>
      <c r="U180" s="264">
        <f t="shared" ca="1" si="6"/>
        <v>0.2</v>
      </c>
      <c r="V180" s="264">
        <f t="shared" ca="1" si="6"/>
        <v>0.2</v>
      </c>
      <c r="W180" s="264">
        <f t="shared" ca="1" si="6"/>
        <v>0.2</v>
      </c>
      <c r="X180" s="264">
        <f t="shared" ca="1" si="6"/>
        <v>0</v>
      </c>
      <c r="Y180" s="264">
        <f t="shared" ca="1" si="6"/>
        <v>0</v>
      </c>
      <c r="Z180" s="264">
        <f t="shared" ca="1" si="6"/>
        <v>0.2</v>
      </c>
      <c r="AA180" s="264">
        <f t="shared" ca="1" si="6"/>
        <v>0.2</v>
      </c>
      <c r="AB180" s="264">
        <f t="shared" ca="1" si="6"/>
        <v>0.2</v>
      </c>
      <c r="AC180" s="264">
        <f t="shared" ca="1" si="6"/>
        <v>0</v>
      </c>
      <c r="AD180" s="264">
        <f t="shared" ca="1" si="6"/>
        <v>0</v>
      </c>
      <c r="AE180" s="264">
        <f t="shared" ca="1" si="6"/>
        <v>0</v>
      </c>
    </row>
    <row r="181" spans="2:31" x14ac:dyDescent="0.15">
      <c r="B181" s="222">
        <v>11</v>
      </c>
      <c r="C181" s="122" t="s">
        <v>202</v>
      </c>
      <c r="D181" s="264">
        <f t="shared" ca="1" si="5"/>
        <v>0</v>
      </c>
      <c r="E181" s="264">
        <f t="shared" ca="1" si="5"/>
        <v>0.4</v>
      </c>
      <c r="F181" s="264">
        <f t="shared" ca="1" si="5"/>
        <v>0.2</v>
      </c>
      <c r="G181" s="264">
        <f t="shared" ca="1" si="5"/>
        <v>0.4</v>
      </c>
      <c r="H181" s="264">
        <f t="shared" ca="1" si="5"/>
        <v>0.2</v>
      </c>
      <c r="I181" s="264">
        <f t="shared" ca="1" si="5"/>
        <v>0</v>
      </c>
      <c r="J181" s="264">
        <f t="shared" ca="1" si="5"/>
        <v>0.2</v>
      </c>
      <c r="K181" s="264">
        <f t="shared" ca="1" si="5"/>
        <v>0</v>
      </c>
      <c r="L181" s="264">
        <f t="shared" ca="1" si="5"/>
        <v>0.2</v>
      </c>
      <c r="M181" s="264">
        <f t="shared" ca="1" si="5"/>
        <v>0.2</v>
      </c>
      <c r="N181" s="264">
        <f t="shared" ca="1" si="5"/>
        <v>0.2</v>
      </c>
      <c r="O181" s="264" t="str">
        <f t="shared" ca="1" si="5"/>
        <v/>
      </c>
      <c r="P181" s="264">
        <f t="shared" ca="1" si="5"/>
        <v>0.2</v>
      </c>
      <c r="Q181" s="264">
        <f t="shared" ca="1" si="5"/>
        <v>0.6</v>
      </c>
      <c r="R181" s="264">
        <f t="shared" ca="1" si="5"/>
        <v>0.8</v>
      </c>
      <c r="S181" s="264">
        <f t="shared" ca="1" si="5"/>
        <v>0.8</v>
      </c>
      <c r="T181" s="264">
        <f t="shared" ca="1" si="6"/>
        <v>0.4</v>
      </c>
      <c r="U181" s="264">
        <f t="shared" ca="1" si="6"/>
        <v>0.6</v>
      </c>
      <c r="V181" s="264">
        <f t="shared" ca="1" si="6"/>
        <v>0.6</v>
      </c>
      <c r="W181" s="264">
        <f t="shared" ca="1" si="6"/>
        <v>0.6</v>
      </c>
      <c r="X181" s="264">
        <f t="shared" ca="1" si="6"/>
        <v>0</v>
      </c>
      <c r="Y181" s="264">
        <f t="shared" ca="1" si="6"/>
        <v>0</v>
      </c>
      <c r="Z181" s="264">
        <f t="shared" ca="1" si="6"/>
        <v>0.2</v>
      </c>
      <c r="AA181" s="264">
        <f t="shared" ca="1" si="6"/>
        <v>0.2</v>
      </c>
      <c r="AB181" s="264">
        <f t="shared" ca="1" si="6"/>
        <v>0.2</v>
      </c>
      <c r="AC181" s="264">
        <f t="shared" ca="1" si="6"/>
        <v>0.2</v>
      </c>
      <c r="AD181" s="264">
        <f t="shared" ca="1" si="6"/>
        <v>0.4</v>
      </c>
      <c r="AE181" s="264">
        <f t="shared" ca="1" si="6"/>
        <v>0.2</v>
      </c>
    </row>
    <row r="182" spans="2:31" x14ac:dyDescent="0.15">
      <c r="B182" s="222">
        <v>12</v>
      </c>
      <c r="C182" s="122" t="s">
        <v>264</v>
      </c>
      <c r="D182" s="264">
        <f t="shared" ca="1" si="5"/>
        <v>0</v>
      </c>
      <c r="E182" s="264">
        <f t="shared" ca="1" si="5"/>
        <v>0.2</v>
      </c>
      <c r="F182" s="264">
        <f t="shared" ca="1" si="5"/>
        <v>0.2</v>
      </c>
      <c r="G182" s="264">
        <f t="shared" ca="1" si="5"/>
        <v>0.2</v>
      </c>
      <c r="H182" s="264">
        <f t="shared" ca="1" si="5"/>
        <v>0.4</v>
      </c>
      <c r="I182" s="264">
        <f t="shared" ca="1" si="5"/>
        <v>0</v>
      </c>
      <c r="J182" s="264">
        <f t="shared" ca="1" si="5"/>
        <v>0</v>
      </c>
      <c r="K182" s="264">
        <f t="shared" ca="1" si="5"/>
        <v>0.2</v>
      </c>
      <c r="L182" s="264">
        <f t="shared" ca="1" si="5"/>
        <v>0</v>
      </c>
      <c r="M182" s="264">
        <f t="shared" ca="1" si="5"/>
        <v>0.4</v>
      </c>
      <c r="N182" s="264">
        <f t="shared" ca="1" si="5"/>
        <v>0.2</v>
      </c>
      <c r="O182" s="264">
        <f t="shared" ca="1" si="5"/>
        <v>0.2</v>
      </c>
      <c r="P182" s="264" t="str">
        <f t="shared" ca="1" si="5"/>
        <v/>
      </c>
      <c r="Q182" s="264">
        <f t="shared" ca="1" si="5"/>
        <v>0.4</v>
      </c>
      <c r="R182" s="264">
        <f t="shared" ca="1" si="5"/>
        <v>0.2</v>
      </c>
      <c r="S182" s="264">
        <f t="shared" ca="1" si="5"/>
        <v>0.2</v>
      </c>
      <c r="T182" s="264">
        <f t="shared" ca="1" si="6"/>
        <v>0.6</v>
      </c>
      <c r="U182" s="264">
        <f t="shared" ca="1" si="6"/>
        <v>0.4</v>
      </c>
      <c r="V182" s="264">
        <f t="shared" ca="1" si="6"/>
        <v>0.4</v>
      </c>
      <c r="W182" s="264">
        <f t="shared" ca="1" si="6"/>
        <v>0.6</v>
      </c>
      <c r="X182" s="264">
        <f t="shared" ca="1" si="6"/>
        <v>0.2</v>
      </c>
      <c r="Y182" s="264">
        <f t="shared" ca="1" si="6"/>
        <v>0</v>
      </c>
      <c r="Z182" s="264">
        <f t="shared" ca="1" si="6"/>
        <v>0.2</v>
      </c>
      <c r="AA182" s="264">
        <f t="shared" ca="1" si="6"/>
        <v>0.4</v>
      </c>
      <c r="AB182" s="264">
        <f t="shared" ca="1" si="6"/>
        <v>0.2</v>
      </c>
      <c r="AC182" s="264">
        <f t="shared" ca="1" si="6"/>
        <v>0.2</v>
      </c>
      <c r="AD182" s="264">
        <f t="shared" ca="1" si="6"/>
        <v>0.4</v>
      </c>
      <c r="AE182" s="264">
        <f t="shared" ca="1" si="6"/>
        <v>0.2</v>
      </c>
    </row>
    <row r="183" spans="2:31" x14ac:dyDescent="0.15">
      <c r="B183" s="222">
        <v>13</v>
      </c>
      <c r="C183" s="122" t="s">
        <v>265</v>
      </c>
      <c r="D183" s="264">
        <f t="shared" ca="1" si="5"/>
        <v>0</v>
      </c>
      <c r="E183" s="264">
        <f t="shared" ca="1" si="5"/>
        <v>0.4</v>
      </c>
      <c r="F183" s="264">
        <f t="shared" ca="1" si="5"/>
        <v>0.2</v>
      </c>
      <c r="G183" s="264">
        <f t="shared" ca="1" si="5"/>
        <v>0.2</v>
      </c>
      <c r="H183" s="264">
        <f t="shared" ca="1" si="5"/>
        <v>0.2</v>
      </c>
      <c r="I183" s="264">
        <f t="shared" ca="1" si="5"/>
        <v>0</v>
      </c>
      <c r="J183" s="264">
        <f t="shared" ca="1" si="5"/>
        <v>0.2</v>
      </c>
      <c r="K183" s="264">
        <f t="shared" ca="1" si="5"/>
        <v>0</v>
      </c>
      <c r="L183" s="264">
        <f t="shared" ca="1" si="5"/>
        <v>0.2</v>
      </c>
      <c r="M183" s="264">
        <f t="shared" ca="1" si="5"/>
        <v>0.2</v>
      </c>
      <c r="N183" s="264">
        <f t="shared" ca="1" si="5"/>
        <v>0.2</v>
      </c>
      <c r="O183" s="264">
        <f t="shared" ca="1" si="5"/>
        <v>0.6</v>
      </c>
      <c r="P183" s="264">
        <f t="shared" ca="1" si="5"/>
        <v>0.4</v>
      </c>
      <c r="Q183" s="264" t="str">
        <f t="shared" ca="1" si="5"/>
        <v/>
      </c>
      <c r="R183" s="264">
        <f t="shared" ca="1" si="5"/>
        <v>0.4</v>
      </c>
      <c r="S183" s="264">
        <f t="shared" ca="1" si="5"/>
        <v>0.4</v>
      </c>
      <c r="T183" s="264">
        <f t="shared" ca="1" si="6"/>
        <v>0.4</v>
      </c>
      <c r="U183" s="264">
        <f t="shared" ca="1" si="6"/>
        <v>1</v>
      </c>
      <c r="V183" s="264">
        <f t="shared" ca="1" si="6"/>
        <v>1</v>
      </c>
      <c r="W183" s="264">
        <f t="shared" ca="1" si="6"/>
        <v>0.6</v>
      </c>
      <c r="X183" s="264">
        <f t="shared" ca="1" si="6"/>
        <v>0.2</v>
      </c>
      <c r="Y183" s="264">
        <f t="shared" ca="1" si="6"/>
        <v>0</v>
      </c>
      <c r="Z183" s="264">
        <f t="shared" ca="1" si="6"/>
        <v>0.2</v>
      </c>
      <c r="AA183" s="264">
        <f t="shared" ca="1" si="6"/>
        <v>0.2</v>
      </c>
      <c r="AB183" s="264">
        <f t="shared" ca="1" si="6"/>
        <v>0.2</v>
      </c>
      <c r="AC183" s="264">
        <f t="shared" ca="1" si="6"/>
        <v>0.2</v>
      </c>
      <c r="AD183" s="264">
        <f t="shared" ca="1" si="6"/>
        <v>0.2</v>
      </c>
      <c r="AE183" s="264">
        <f t="shared" ca="1" si="6"/>
        <v>0</v>
      </c>
    </row>
    <row r="184" spans="2:31" x14ac:dyDescent="0.15">
      <c r="B184" s="222">
        <v>14</v>
      </c>
      <c r="C184" s="122" t="s">
        <v>266</v>
      </c>
      <c r="D184" s="264">
        <f t="shared" ca="1" si="5"/>
        <v>0</v>
      </c>
      <c r="E184" s="264">
        <f t="shared" ca="1" si="5"/>
        <v>0.2</v>
      </c>
      <c r="F184" s="264">
        <f t="shared" ca="1" si="5"/>
        <v>0.2</v>
      </c>
      <c r="G184" s="264">
        <f t="shared" ca="1" si="5"/>
        <v>0.4</v>
      </c>
      <c r="H184" s="264">
        <f t="shared" ca="1" si="5"/>
        <v>0.2</v>
      </c>
      <c r="I184" s="264">
        <f t="shared" ca="1" si="5"/>
        <v>0</v>
      </c>
      <c r="J184" s="264">
        <f t="shared" ca="1" si="5"/>
        <v>0.2</v>
      </c>
      <c r="K184" s="264">
        <f t="shared" ca="1" si="5"/>
        <v>0</v>
      </c>
      <c r="L184" s="264">
        <f t="shared" ca="1" si="5"/>
        <v>0.2</v>
      </c>
      <c r="M184" s="264">
        <f t="shared" ca="1" si="5"/>
        <v>0.2</v>
      </c>
      <c r="N184" s="264">
        <f t="shared" ca="1" si="5"/>
        <v>0.2</v>
      </c>
      <c r="O184" s="264">
        <f t="shared" ca="1" si="5"/>
        <v>0.8</v>
      </c>
      <c r="P184" s="264">
        <f t="shared" ca="1" si="5"/>
        <v>0.2</v>
      </c>
      <c r="Q184" s="264">
        <f t="shared" ca="1" si="5"/>
        <v>0.4</v>
      </c>
      <c r="R184" s="264" t="str">
        <f t="shared" ca="1" si="5"/>
        <v/>
      </c>
      <c r="S184" s="264">
        <f t="shared" ca="1" si="5"/>
        <v>1</v>
      </c>
      <c r="T184" s="264">
        <f t="shared" ca="1" si="6"/>
        <v>0.4</v>
      </c>
      <c r="U184" s="264">
        <f t="shared" ca="1" si="6"/>
        <v>0.4</v>
      </c>
      <c r="V184" s="264">
        <f t="shared" ca="1" si="6"/>
        <v>0.4</v>
      </c>
      <c r="W184" s="264">
        <f t="shared" ca="1" si="6"/>
        <v>0.6</v>
      </c>
      <c r="X184" s="264">
        <f t="shared" ca="1" si="6"/>
        <v>0</v>
      </c>
      <c r="Y184" s="264">
        <f t="shared" ca="1" si="6"/>
        <v>0</v>
      </c>
      <c r="Z184" s="264">
        <f t="shared" ca="1" si="6"/>
        <v>0.2</v>
      </c>
      <c r="AA184" s="264">
        <f t="shared" ca="1" si="6"/>
        <v>0.2</v>
      </c>
      <c r="AB184" s="264">
        <f t="shared" ca="1" si="6"/>
        <v>0.2</v>
      </c>
      <c r="AC184" s="264">
        <f t="shared" ca="1" si="6"/>
        <v>0</v>
      </c>
      <c r="AD184" s="264">
        <f t="shared" ca="1" si="6"/>
        <v>0.2</v>
      </c>
      <c r="AE184" s="264">
        <f t="shared" ca="1" si="6"/>
        <v>0.2</v>
      </c>
    </row>
    <row r="185" spans="2:31" x14ac:dyDescent="0.15">
      <c r="B185" s="222">
        <v>15</v>
      </c>
      <c r="C185" s="122" t="s">
        <v>267</v>
      </c>
      <c r="D185" s="264">
        <f t="shared" ca="1" si="5"/>
        <v>0</v>
      </c>
      <c r="E185" s="264">
        <f t="shared" ca="1" si="5"/>
        <v>0.2</v>
      </c>
      <c r="F185" s="264">
        <f t="shared" ca="1" si="5"/>
        <v>0.2</v>
      </c>
      <c r="G185" s="264">
        <f t="shared" ca="1" si="5"/>
        <v>0.4</v>
      </c>
      <c r="H185" s="264">
        <f t="shared" ca="1" si="5"/>
        <v>0.2</v>
      </c>
      <c r="I185" s="264">
        <f t="shared" ca="1" si="5"/>
        <v>0</v>
      </c>
      <c r="J185" s="264">
        <f t="shared" ca="1" si="5"/>
        <v>0.2</v>
      </c>
      <c r="K185" s="264">
        <f t="shared" ca="1" si="5"/>
        <v>0</v>
      </c>
      <c r="L185" s="264">
        <f t="shared" ca="1" si="5"/>
        <v>0.2</v>
      </c>
      <c r="M185" s="264">
        <f t="shared" ca="1" si="5"/>
        <v>0.2</v>
      </c>
      <c r="N185" s="264">
        <f t="shared" ca="1" si="5"/>
        <v>0.2</v>
      </c>
      <c r="O185" s="264">
        <f t="shared" ca="1" si="5"/>
        <v>0.8</v>
      </c>
      <c r="P185" s="264">
        <f t="shared" ca="1" si="5"/>
        <v>0.2</v>
      </c>
      <c r="Q185" s="264">
        <f t="shared" ca="1" si="5"/>
        <v>0.4</v>
      </c>
      <c r="R185" s="264">
        <f t="shared" ca="1" si="5"/>
        <v>1</v>
      </c>
      <c r="S185" s="264" t="str">
        <f t="shared" ca="1" si="5"/>
        <v/>
      </c>
      <c r="T185" s="264">
        <f t="shared" ca="1" si="6"/>
        <v>0.4</v>
      </c>
      <c r="U185" s="264">
        <f t="shared" ca="1" si="6"/>
        <v>0.4</v>
      </c>
      <c r="V185" s="264">
        <f t="shared" ca="1" si="6"/>
        <v>0.4</v>
      </c>
      <c r="W185" s="264">
        <f t="shared" ca="1" si="6"/>
        <v>0.6</v>
      </c>
      <c r="X185" s="264">
        <f t="shared" ca="1" si="6"/>
        <v>0</v>
      </c>
      <c r="Y185" s="264">
        <f t="shared" ca="1" si="6"/>
        <v>0</v>
      </c>
      <c r="Z185" s="264">
        <f t="shared" ca="1" si="6"/>
        <v>0.2</v>
      </c>
      <c r="AA185" s="264">
        <f t="shared" ca="1" si="6"/>
        <v>0.2</v>
      </c>
      <c r="AB185" s="264">
        <f t="shared" ca="1" si="6"/>
        <v>0.2</v>
      </c>
      <c r="AC185" s="264">
        <f t="shared" ca="1" si="6"/>
        <v>0</v>
      </c>
      <c r="AD185" s="264">
        <f t="shared" ca="1" si="6"/>
        <v>0.2</v>
      </c>
      <c r="AE185" s="264">
        <f t="shared" ca="1" si="6"/>
        <v>0.2</v>
      </c>
    </row>
    <row r="186" spans="2:31" x14ac:dyDescent="0.15">
      <c r="B186" s="222">
        <v>16</v>
      </c>
      <c r="C186" s="122" t="s">
        <v>268</v>
      </c>
      <c r="D186" s="264">
        <f t="shared" ca="1" si="5"/>
        <v>0</v>
      </c>
      <c r="E186" s="264">
        <f t="shared" ca="1" si="5"/>
        <v>0.2</v>
      </c>
      <c r="F186" s="264">
        <f t="shared" ca="1" si="5"/>
        <v>0.2</v>
      </c>
      <c r="G186" s="264">
        <f t="shared" ca="1" si="5"/>
        <v>0.2</v>
      </c>
      <c r="H186" s="264">
        <f t="shared" ca="1" si="5"/>
        <v>0.2</v>
      </c>
      <c r="I186" s="264">
        <f t="shared" ca="1" si="5"/>
        <v>0</v>
      </c>
      <c r="J186" s="264">
        <f t="shared" ca="1" si="5"/>
        <v>0</v>
      </c>
      <c r="K186" s="264">
        <f t="shared" ca="1" si="5"/>
        <v>0.2</v>
      </c>
      <c r="L186" s="264">
        <f t="shared" ca="1" si="5"/>
        <v>0</v>
      </c>
      <c r="M186" s="264">
        <f t="shared" ca="1" si="5"/>
        <v>0.2</v>
      </c>
      <c r="N186" s="264">
        <f t="shared" ca="1" si="5"/>
        <v>0.2</v>
      </c>
      <c r="O186" s="264">
        <f t="shared" ca="1" si="5"/>
        <v>0.4</v>
      </c>
      <c r="P186" s="264">
        <f t="shared" ca="1" si="5"/>
        <v>0.6</v>
      </c>
      <c r="Q186" s="264">
        <f t="shared" ca="1" si="5"/>
        <v>0.4</v>
      </c>
      <c r="R186" s="264">
        <f t="shared" ca="1" si="5"/>
        <v>0.4</v>
      </c>
      <c r="S186" s="264">
        <f t="shared" ca="1" si="5"/>
        <v>0.4</v>
      </c>
      <c r="T186" s="264" t="str">
        <f t="shared" ca="1" si="6"/>
        <v/>
      </c>
      <c r="U186" s="264">
        <f t="shared" ca="1" si="6"/>
        <v>0.4</v>
      </c>
      <c r="V186" s="264">
        <f t="shared" ca="1" si="6"/>
        <v>0.4</v>
      </c>
      <c r="W186" s="264">
        <f t="shared" ca="1" si="6"/>
        <v>0.6</v>
      </c>
      <c r="X186" s="264">
        <f t="shared" ca="1" si="6"/>
        <v>0.2</v>
      </c>
      <c r="Y186" s="264">
        <f t="shared" ca="1" si="6"/>
        <v>0</v>
      </c>
      <c r="Z186" s="264">
        <f t="shared" ca="1" si="6"/>
        <v>0.2</v>
      </c>
      <c r="AA186" s="264">
        <f t="shared" ca="1" si="6"/>
        <v>0.2</v>
      </c>
      <c r="AB186" s="264">
        <f t="shared" ca="1" si="6"/>
        <v>0.2</v>
      </c>
      <c r="AC186" s="264">
        <f t="shared" ca="1" si="6"/>
        <v>0</v>
      </c>
      <c r="AD186" s="264">
        <f t="shared" ca="1" si="6"/>
        <v>0.2</v>
      </c>
      <c r="AE186" s="264">
        <f t="shared" ca="1" si="6"/>
        <v>0.4</v>
      </c>
    </row>
    <row r="187" spans="2:31" x14ac:dyDescent="0.15">
      <c r="B187" s="222">
        <v>17</v>
      </c>
      <c r="C187" s="122" t="s">
        <v>269</v>
      </c>
      <c r="D187" s="264">
        <f t="shared" ca="1" si="5"/>
        <v>0</v>
      </c>
      <c r="E187" s="264">
        <f t="shared" ca="1" si="5"/>
        <v>0.4</v>
      </c>
      <c r="F187" s="264">
        <f t="shared" ca="1" si="5"/>
        <v>0.2</v>
      </c>
      <c r="G187" s="264">
        <f t="shared" ca="1" si="5"/>
        <v>0.2</v>
      </c>
      <c r="H187" s="264">
        <f t="shared" ca="1" si="5"/>
        <v>0.2</v>
      </c>
      <c r="I187" s="264">
        <f t="shared" ca="1" si="5"/>
        <v>0</v>
      </c>
      <c r="J187" s="264">
        <f t="shared" ca="1" si="5"/>
        <v>0.2</v>
      </c>
      <c r="K187" s="264">
        <f t="shared" ca="1" si="5"/>
        <v>0</v>
      </c>
      <c r="L187" s="264">
        <f t="shared" ca="1" si="5"/>
        <v>0.2</v>
      </c>
      <c r="M187" s="264">
        <f t="shared" ca="1" si="5"/>
        <v>0.2</v>
      </c>
      <c r="N187" s="264">
        <f t="shared" ca="1" si="5"/>
        <v>0.2</v>
      </c>
      <c r="O187" s="264">
        <f t="shared" ca="1" si="5"/>
        <v>0.6</v>
      </c>
      <c r="P187" s="264">
        <f t="shared" ca="1" si="5"/>
        <v>0.4</v>
      </c>
      <c r="Q187" s="264">
        <f t="shared" ca="1" si="5"/>
        <v>1</v>
      </c>
      <c r="R187" s="264">
        <f t="shared" ca="1" si="5"/>
        <v>0.4</v>
      </c>
      <c r="S187" s="264">
        <f t="shared" ca="1" si="5"/>
        <v>0.4</v>
      </c>
      <c r="T187" s="264">
        <f t="shared" ca="1" si="6"/>
        <v>0.4</v>
      </c>
      <c r="U187" s="264" t="str">
        <f t="shared" ca="1" si="6"/>
        <v/>
      </c>
      <c r="V187" s="264">
        <f t="shared" ca="1" si="6"/>
        <v>1</v>
      </c>
      <c r="W187" s="264">
        <f t="shared" ca="1" si="6"/>
        <v>0.6</v>
      </c>
      <c r="X187" s="264">
        <f t="shared" ca="1" si="6"/>
        <v>0.2</v>
      </c>
      <c r="Y187" s="264">
        <f t="shared" ca="1" si="6"/>
        <v>0</v>
      </c>
      <c r="Z187" s="264">
        <f t="shared" ca="1" si="6"/>
        <v>0.2</v>
      </c>
      <c r="AA187" s="264">
        <f t="shared" ca="1" si="6"/>
        <v>0.2</v>
      </c>
      <c r="AB187" s="264">
        <f t="shared" ca="1" si="6"/>
        <v>0.2</v>
      </c>
      <c r="AC187" s="264">
        <f t="shared" ca="1" si="6"/>
        <v>0.2</v>
      </c>
      <c r="AD187" s="264">
        <f t="shared" ca="1" si="6"/>
        <v>0.2</v>
      </c>
      <c r="AE187" s="264">
        <f t="shared" ca="1" si="6"/>
        <v>0</v>
      </c>
    </row>
    <row r="188" spans="2:31" x14ac:dyDescent="0.15">
      <c r="B188" s="222">
        <v>18</v>
      </c>
      <c r="C188" s="122" t="s">
        <v>270</v>
      </c>
      <c r="D188" s="264">
        <f t="shared" ca="1" si="5"/>
        <v>0</v>
      </c>
      <c r="E188" s="264">
        <f t="shared" ca="1" si="5"/>
        <v>0.4</v>
      </c>
      <c r="F188" s="264">
        <f t="shared" ca="1" si="5"/>
        <v>0.2</v>
      </c>
      <c r="G188" s="264">
        <f t="shared" ca="1" si="5"/>
        <v>0.2</v>
      </c>
      <c r="H188" s="264">
        <f t="shared" ca="1" si="5"/>
        <v>0.2</v>
      </c>
      <c r="I188" s="264">
        <f t="shared" ca="1" si="5"/>
        <v>0</v>
      </c>
      <c r="J188" s="264">
        <f t="shared" ca="1" si="5"/>
        <v>0.2</v>
      </c>
      <c r="K188" s="264">
        <f t="shared" ca="1" si="5"/>
        <v>0</v>
      </c>
      <c r="L188" s="264">
        <f t="shared" ca="1" si="5"/>
        <v>0.2</v>
      </c>
      <c r="M188" s="264">
        <f t="shared" ca="1" si="5"/>
        <v>0.2</v>
      </c>
      <c r="N188" s="264">
        <f t="shared" ca="1" si="5"/>
        <v>0.2</v>
      </c>
      <c r="O188" s="264">
        <f t="shared" ca="1" si="5"/>
        <v>0.6</v>
      </c>
      <c r="P188" s="264">
        <f t="shared" ca="1" si="5"/>
        <v>0.4</v>
      </c>
      <c r="Q188" s="264">
        <f t="shared" ca="1" si="5"/>
        <v>1</v>
      </c>
      <c r="R188" s="264">
        <f t="shared" ca="1" si="5"/>
        <v>0.4</v>
      </c>
      <c r="S188" s="264">
        <f t="shared" ca="1" si="5"/>
        <v>0.4</v>
      </c>
      <c r="T188" s="264">
        <f t="shared" ca="1" si="6"/>
        <v>0.4</v>
      </c>
      <c r="U188" s="264">
        <f t="shared" ca="1" si="6"/>
        <v>1</v>
      </c>
      <c r="V188" s="264" t="str">
        <f t="shared" ca="1" si="6"/>
        <v/>
      </c>
      <c r="W188" s="264">
        <f t="shared" ca="1" si="6"/>
        <v>0.6</v>
      </c>
      <c r="X188" s="264">
        <f t="shared" ca="1" si="6"/>
        <v>0.2</v>
      </c>
      <c r="Y188" s="264">
        <f t="shared" ca="1" si="6"/>
        <v>0</v>
      </c>
      <c r="Z188" s="264">
        <f t="shared" ca="1" si="6"/>
        <v>0.2</v>
      </c>
      <c r="AA188" s="264">
        <f t="shared" ca="1" si="6"/>
        <v>0.2</v>
      </c>
      <c r="AB188" s="264">
        <f t="shared" ca="1" si="6"/>
        <v>0.2</v>
      </c>
      <c r="AC188" s="264">
        <f t="shared" ca="1" si="6"/>
        <v>0.2</v>
      </c>
      <c r="AD188" s="264">
        <f t="shared" ca="1" si="6"/>
        <v>0.2</v>
      </c>
      <c r="AE188" s="264">
        <f t="shared" ca="1" si="6"/>
        <v>0</v>
      </c>
    </row>
    <row r="189" spans="2:31" x14ac:dyDescent="0.15">
      <c r="B189" s="222">
        <v>19</v>
      </c>
      <c r="C189" s="122" t="s">
        <v>271</v>
      </c>
      <c r="D189" s="264">
        <f t="shared" ca="1" si="5"/>
        <v>0</v>
      </c>
      <c r="E189" s="264">
        <f t="shared" ca="1" si="5"/>
        <v>0.2</v>
      </c>
      <c r="F189" s="264">
        <f t="shared" ca="1" si="5"/>
        <v>0.2</v>
      </c>
      <c r="G189" s="264">
        <f t="shared" ca="1" si="5"/>
        <v>0.2</v>
      </c>
      <c r="H189" s="264">
        <f t="shared" ca="1" si="5"/>
        <v>0.4</v>
      </c>
      <c r="I189" s="264">
        <f t="shared" ca="1" si="5"/>
        <v>0</v>
      </c>
      <c r="J189" s="264">
        <f t="shared" ca="1" si="5"/>
        <v>0.2</v>
      </c>
      <c r="K189" s="264">
        <f t="shared" ca="1" si="5"/>
        <v>0</v>
      </c>
      <c r="L189" s="264">
        <f t="shared" ca="1" si="5"/>
        <v>0.2</v>
      </c>
      <c r="M189" s="264">
        <f t="shared" ca="1" si="5"/>
        <v>0.2</v>
      </c>
      <c r="N189" s="264">
        <f t="shared" ca="1" si="5"/>
        <v>0.2</v>
      </c>
      <c r="O189" s="264">
        <f t="shared" ca="1" si="5"/>
        <v>0.6</v>
      </c>
      <c r="P189" s="264">
        <f t="shared" ca="1" si="5"/>
        <v>0.6</v>
      </c>
      <c r="Q189" s="264">
        <f t="shared" ca="1" si="5"/>
        <v>0.6</v>
      </c>
      <c r="R189" s="264">
        <f t="shared" ca="1" si="5"/>
        <v>0.6</v>
      </c>
      <c r="S189" s="264">
        <f t="shared" ca="1" si="5"/>
        <v>0.6</v>
      </c>
      <c r="T189" s="264">
        <f t="shared" ca="1" si="6"/>
        <v>0.6</v>
      </c>
      <c r="U189" s="264">
        <f t="shared" ca="1" si="6"/>
        <v>0.6</v>
      </c>
      <c r="V189" s="264">
        <f t="shared" ca="1" si="6"/>
        <v>0.6</v>
      </c>
      <c r="W189" s="264" t="str">
        <f t="shared" ca="1" si="6"/>
        <v/>
      </c>
      <c r="X189" s="264">
        <f t="shared" ca="1" si="6"/>
        <v>0</v>
      </c>
      <c r="Y189" s="264">
        <f t="shared" ca="1" si="6"/>
        <v>0</v>
      </c>
      <c r="Z189" s="264">
        <f t="shared" ca="1" si="6"/>
        <v>0.2</v>
      </c>
      <c r="AA189" s="264">
        <f t="shared" ca="1" si="6"/>
        <v>0.2</v>
      </c>
      <c r="AB189" s="264">
        <f t="shared" ca="1" si="6"/>
        <v>0.2</v>
      </c>
      <c r="AC189" s="264">
        <f t="shared" ca="1" si="6"/>
        <v>0</v>
      </c>
      <c r="AD189" s="264">
        <f t="shared" ca="1" si="6"/>
        <v>0</v>
      </c>
      <c r="AE189" s="264">
        <f t="shared" ca="1" si="6"/>
        <v>0.2</v>
      </c>
    </row>
    <row r="190" spans="2:31" x14ac:dyDescent="0.15">
      <c r="B190" s="222">
        <v>20</v>
      </c>
      <c r="C190" s="122" t="s">
        <v>272</v>
      </c>
      <c r="D190" s="264">
        <f t="shared" ca="1" si="5"/>
        <v>0.2</v>
      </c>
      <c r="E190" s="264">
        <f t="shared" ca="1" si="5"/>
        <v>0.2</v>
      </c>
      <c r="F190" s="264">
        <f t="shared" ca="1" si="5"/>
        <v>0.2</v>
      </c>
      <c r="G190" s="264">
        <f t="shared" ca="1" si="5"/>
        <v>0</v>
      </c>
      <c r="H190" s="264">
        <f t="shared" ca="1" si="5"/>
        <v>0.2</v>
      </c>
      <c r="I190" s="264">
        <f t="shared" ca="1" si="5"/>
        <v>0.4</v>
      </c>
      <c r="J190" s="264">
        <f t="shared" ca="1" si="5"/>
        <v>0</v>
      </c>
      <c r="K190" s="264">
        <f t="shared" ca="1" si="5"/>
        <v>0.2</v>
      </c>
      <c r="L190" s="264">
        <f t="shared" ca="1" si="5"/>
        <v>0</v>
      </c>
      <c r="M190" s="264">
        <f t="shared" ca="1" si="5"/>
        <v>0</v>
      </c>
      <c r="N190" s="264">
        <f t="shared" ca="1" si="5"/>
        <v>0</v>
      </c>
      <c r="O190" s="264">
        <f t="shared" ca="1" si="5"/>
        <v>0</v>
      </c>
      <c r="P190" s="264">
        <f t="shared" ca="1" si="5"/>
        <v>0.2</v>
      </c>
      <c r="Q190" s="264">
        <f t="shared" ca="1" si="5"/>
        <v>0.2</v>
      </c>
      <c r="R190" s="264">
        <f t="shared" ca="1" si="5"/>
        <v>0</v>
      </c>
      <c r="S190" s="264">
        <f t="shared" ca="1" si="5"/>
        <v>0</v>
      </c>
      <c r="T190" s="264">
        <f t="shared" ca="1" si="6"/>
        <v>0.2</v>
      </c>
      <c r="U190" s="264">
        <f t="shared" ca="1" si="6"/>
        <v>0.2</v>
      </c>
      <c r="V190" s="264">
        <f t="shared" ca="1" si="6"/>
        <v>0.2</v>
      </c>
      <c r="W190" s="264">
        <f t="shared" ca="1" si="6"/>
        <v>0</v>
      </c>
      <c r="X190" s="264" t="str">
        <f t="shared" ca="1" si="6"/>
        <v/>
      </c>
      <c r="Y190" s="264">
        <f t="shared" ca="1" si="6"/>
        <v>0.4</v>
      </c>
      <c r="Z190" s="264">
        <f t="shared" ca="1" si="6"/>
        <v>0.2</v>
      </c>
      <c r="AA190" s="264">
        <f t="shared" ca="1" si="6"/>
        <v>0.2</v>
      </c>
      <c r="AB190" s="264">
        <f t="shared" ca="1" si="6"/>
        <v>0</v>
      </c>
      <c r="AC190" s="264">
        <f t="shared" ca="1" si="6"/>
        <v>0.4</v>
      </c>
      <c r="AD190" s="264">
        <f t="shared" ca="1" si="6"/>
        <v>0.4</v>
      </c>
      <c r="AE190" s="264">
        <f t="shared" ca="1" si="6"/>
        <v>0.4</v>
      </c>
    </row>
    <row r="191" spans="2:31" x14ac:dyDescent="0.15">
      <c r="B191" s="222">
        <v>21</v>
      </c>
      <c r="C191" s="122" t="s">
        <v>273</v>
      </c>
      <c r="D191" s="264">
        <f t="shared" ca="1" si="5"/>
        <v>0.2</v>
      </c>
      <c r="E191" s="264">
        <f t="shared" ca="1" si="5"/>
        <v>0.2</v>
      </c>
      <c r="F191" s="264">
        <f t="shared" ca="1" si="5"/>
        <v>0.2</v>
      </c>
      <c r="G191" s="264">
        <f t="shared" ca="1" si="5"/>
        <v>0</v>
      </c>
      <c r="H191" s="264">
        <f t="shared" ca="1" si="5"/>
        <v>0.4</v>
      </c>
      <c r="I191" s="264">
        <f t="shared" ca="1" si="5"/>
        <v>0.6</v>
      </c>
      <c r="J191" s="264">
        <f t="shared" ca="1" si="5"/>
        <v>0</v>
      </c>
      <c r="K191" s="264">
        <f t="shared" ca="1" si="5"/>
        <v>0</v>
      </c>
      <c r="L191" s="264">
        <f t="shared" ca="1" si="5"/>
        <v>0</v>
      </c>
      <c r="M191" s="264">
        <f t="shared" ca="1" si="5"/>
        <v>0</v>
      </c>
      <c r="N191" s="264">
        <f t="shared" ca="1" si="5"/>
        <v>0</v>
      </c>
      <c r="O191" s="264">
        <f t="shared" ca="1" si="5"/>
        <v>0</v>
      </c>
      <c r="P191" s="264">
        <f t="shared" ca="1" si="5"/>
        <v>0</v>
      </c>
      <c r="Q191" s="264">
        <f t="shared" ca="1" si="5"/>
        <v>0</v>
      </c>
      <c r="R191" s="264">
        <f t="shared" ca="1" si="5"/>
        <v>0</v>
      </c>
      <c r="S191" s="264">
        <f t="shared" ca="1" si="5"/>
        <v>0</v>
      </c>
      <c r="T191" s="264">
        <f t="shared" ca="1" si="6"/>
        <v>0</v>
      </c>
      <c r="U191" s="264">
        <f t="shared" ca="1" si="6"/>
        <v>0</v>
      </c>
      <c r="V191" s="264">
        <f t="shared" ca="1" si="6"/>
        <v>0</v>
      </c>
      <c r="W191" s="264">
        <f t="shared" ca="1" si="6"/>
        <v>0</v>
      </c>
      <c r="X191" s="264">
        <f t="shared" ca="1" si="6"/>
        <v>0.4</v>
      </c>
      <c r="Y191" s="264" t="str">
        <f t="shared" ca="1" si="6"/>
        <v/>
      </c>
      <c r="Z191" s="264">
        <f t="shared" ca="1" si="6"/>
        <v>0.2</v>
      </c>
      <c r="AA191" s="264">
        <f t="shared" ca="1" si="6"/>
        <v>0.2</v>
      </c>
      <c r="AB191" s="264">
        <f t="shared" ca="1" si="6"/>
        <v>0</v>
      </c>
      <c r="AC191" s="264">
        <f t="shared" ca="1" si="6"/>
        <v>0.4</v>
      </c>
      <c r="AD191" s="264">
        <f t="shared" ca="1" si="6"/>
        <v>0.2</v>
      </c>
      <c r="AE191" s="264">
        <f t="shared" ca="1" si="6"/>
        <v>0.2</v>
      </c>
    </row>
    <row r="192" spans="2:31" x14ac:dyDescent="0.15">
      <c r="B192" s="222">
        <v>22</v>
      </c>
      <c r="C192" s="122" t="s">
        <v>274</v>
      </c>
      <c r="D192" s="264">
        <f t="shared" ca="1" si="5"/>
        <v>0.2</v>
      </c>
      <c r="E192" s="264">
        <f t="shared" ca="1" si="5"/>
        <v>0.4</v>
      </c>
      <c r="F192" s="264">
        <f t="shared" ca="1" si="5"/>
        <v>1</v>
      </c>
      <c r="G192" s="264">
        <f t="shared" ca="1" si="5"/>
        <v>0.2</v>
      </c>
      <c r="H192" s="264">
        <f t="shared" ca="1" si="5"/>
        <v>0.6</v>
      </c>
      <c r="I192" s="264">
        <f t="shared" ca="1" si="5"/>
        <v>0.4</v>
      </c>
      <c r="J192" s="264">
        <f t="shared" ca="1" si="5"/>
        <v>0</v>
      </c>
      <c r="K192" s="264">
        <f t="shared" ca="1" si="5"/>
        <v>0.2</v>
      </c>
      <c r="L192" s="264">
        <f t="shared" ca="1" si="5"/>
        <v>0</v>
      </c>
      <c r="M192" s="264">
        <f t="shared" ca="1" si="5"/>
        <v>0.2</v>
      </c>
      <c r="N192" s="264">
        <f t="shared" ca="1" si="5"/>
        <v>0.2</v>
      </c>
      <c r="O192" s="264">
        <f t="shared" ca="1" si="5"/>
        <v>0.2</v>
      </c>
      <c r="P192" s="264">
        <f t="shared" ca="1" si="5"/>
        <v>0.2</v>
      </c>
      <c r="Q192" s="264">
        <f t="shared" ca="1" si="5"/>
        <v>0.2</v>
      </c>
      <c r="R192" s="264">
        <f t="shared" ca="1" si="5"/>
        <v>0.2</v>
      </c>
      <c r="S192" s="264">
        <f t="shared" ca="1" si="5"/>
        <v>0.2</v>
      </c>
      <c r="T192" s="264">
        <f t="shared" ca="1" si="6"/>
        <v>0.2</v>
      </c>
      <c r="U192" s="264">
        <f t="shared" ca="1" si="6"/>
        <v>0.2</v>
      </c>
      <c r="V192" s="264">
        <f t="shared" ca="1" si="6"/>
        <v>0.2</v>
      </c>
      <c r="W192" s="264">
        <f t="shared" ca="1" si="6"/>
        <v>0.2</v>
      </c>
      <c r="X192" s="264">
        <f t="shared" ca="1" si="6"/>
        <v>0.2</v>
      </c>
      <c r="Y192" s="264">
        <f t="shared" ca="1" si="6"/>
        <v>0.2</v>
      </c>
      <c r="Z192" s="264" t="str">
        <f t="shared" ca="1" si="6"/>
        <v/>
      </c>
      <c r="AA192" s="264">
        <f t="shared" ca="1" si="6"/>
        <v>0.6</v>
      </c>
      <c r="AB192" s="264">
        <f t="shared" ca="1" si="6"/>
        <v>0.2</v>
      </c>
      <c r="AC192" s="264">
        <f t="shared" ca="1" si="6"/>
        <v>0.2</v>
      </c>
      <c r="AD192" s="264">
        <f t="shared" ca="1" si="6"/>
        <v>0</v>
      </c>
      <c r="AE192" s="264">
        <f t="shared" ca="1" si="6"/>
        <v>0</v>
      </c>
    </row>
    <row r="193" spans="1:31" x14ac:dyDescent="0.15">
      <c r="B193" s="222">
        <v>23</v>
      </c>
      <c r="C193" s="122" t="s">
        <v>275</v>
      </c>
      <c r="D193" s="264">
        <f t="shared" ca="1" si="5"/>
        <v>0.2</v>
      </c>
      <c r="E193" s="264">
        <f t="shared" ca="1" si="5"/>
        <v>0.4</v>
      </c>
      <c r="F193" s="264">
        <f t="shared" ca="1" si="5"/>
        <v>0.6</v>
      </c>
      <c r="G193" s="264">
        <f t="shared" ca="1" si="5"/>
        <v>0.2</v>
      </c>
      <c r="H193" s="264">
        <f t="shared" ca="1" si="5"/>
        <v>0.6</v>
      </c>
      <c r="I193" s="264">
        <f t="shared" ca="1" si="5"/>
        <v>0.2</v>
      </c>
      <c r="J193" s="264">
        <f t="shared" ca="1" si="5"/>
        <v>0</v>
      </c>
      <c r="K193" s="264">
        <f t="shared" ca="1" si="5"/>
        <v>0</v>
      </c>
      <c r="L193" s="264">
        <f t="shared" ca="1" si="5"/>
        <v>0</v>
      </c>
      <c r="M193" s="264">
        <f t="shared" ca="1" si="5"/>
        <v>0.4</v>
      </c>
      <c r="N193" s="264">
        <f t="shared" ca="1" si="5"/>
        <v>0.2</v>
      </c>
      <c r="O193" s="264">
        <f t="shared" ca="1" si="5"/>
        <v>0.2</v>
      </c>
      <c r="P193" s="264">
        <f t="shared" ca="1" si="5"/>
        <v>0.4</v>
      </c>
      <c r="Q193" s="264">
        <f t="shared" ca="1" si="5"/>
        <v>0.2</v>
      </c>
      <c r="R193" s="264">
        <f t="shared" ca="1" si="5"/>
        <v>0.2</v>
      </c>
      <c r="S193" s="264">
        <f t="shared" ca="1" si="5"/>
        <v>0.2</v>
      </c>
      <c r="T193" s="264">
        <f t="shared" ca="1" si="6"/>
        <v>0.2</v>
      </c>
      <c r="U193" s="264">
        <f t="shared" ca="1" si="6"/>
        <v>0.2</v>
      </c>
      <c r="V193" s="264">
        <f t="shared" ca="1" si="6"/>
        <v>0.2</v>
      </c>
      <c r="W193" s="264">
        <f t="shared" ca="1" si="6"/>
        <v>0.2</v>
      </c>
      <c r="X193" s="264">
        <f t="shared" ca="1" si="6"/>
        <v>0.2</v>
      </c>
      <c r="Y193" s="264">
        <f t="shared" ca="1" si="6"/>
        <v>0.2</v>
      </c>
      <c r="Z193" s="264">
        <f t="shared" ca="1" si="6"/>
        <v>0.6</v>
      </c>
      <c r="AA193" s="264" t="str">
        <f t="shared" ca="1" si="6"/>
        <v/>
      </c>
      <c r="AB193" s="264">
        <f t="shared" ca="1" si="6"/>
        <v>0.2</v>
      </c>
      <c r="AC193" s="264">
        <f t="shared" ca="1" si="6"/>
        <v>0.4</v>
      </c>
      <c r="AD193" s="264">
        <f t="shared" ca="1" si="6"/>
        <v>0.2</v>
      </c>
      <c r="AE193" s="264">
        <f t="shared" ca="1" si="6"/>
        <v>0</v>
      </c>
    </row>
    <row r="194" spans="1:31" x14ac:dyDescent="0.15">
      <c r="B194" s="222">
        <v>24</v>
      </c>
      <c r="C194" s="122" t="s">
        <v>276</v>
      </c>
      <c r="D194" s="264">
        <f t="shared" ca="1" si="5"/>
        <v>0</v>
      </c>
      <c r="E194" s="264">
        <f t="shared" ca="1" si="5"/>
        <v>0.2</v>
      </c>
      <c r="F194" s="264">
        <f t="shared" ca="1" si="5"/>
        <v>0.2</v>
      </c>
      <c r="G194" s="264">
        <f t="shared" ca="1" si="5"/>
        <v>0.2</v>
      </c>
      <c r="H194" s="264">
        <f t="shared" ca="1" si="5"/>
        <v>0.2</v>
      </c>
      <c r="I194" s="264">
        <f t="shared" ca="1" si="5"/>
        <v>0</v>
      </c>
      <c r="J194" s="264">
        <f t="shared" ca="1" si="5"/>
        <v>0</v>
      </c>
      <c r="K194" s="264">
        <f t="shared" ca="1" si="5"/>
        <v>0</v>
      </c>
      <c r="L194" s="264">
        <f t="shared" ca="1" si="5"/>
        <v>0</v>
      </c>
      <c r="M194" s="264">
        <f t="shared" ca="1" si="5"/>
        <v>0.2</v>
      </c>
      <c r="N194" s="264">
        <f t="shared" ca="1" si="5"/>
        <v>0.2</v>
      </c>
      <c r="O194" s="264">
        <f t="shared" ca="1" si="5"/>
        <v>0.2</v>
      </c>
      <c r="P194" s="264">
        <f t="shared" ca="1" si="5"/>
        <v>0.2</v>
      </c>
      <c r="Q194" s="264">
        <f t="shared" ca="1" si="5"/>
        <v>0.2</v>
      </c>
      <c r="R194" s="264">
        <f t="shared" ca="1" si="5"/>
        <v>0.2</v>
      </c>
      <c r="S194" s="264">
        <f t="shared" ca="1" si="5"/>
        <v>0.2</v>
      </c>
      <c r="T194" s="264">
        <f t="shared" ca="1" si="6"/>
        <v>0.2</v>
      </c>
      <c r="U194" s="264">
        <f t="shared" ca="1" si="6"/>
        <v>0.2</v>
      </c>
      <c r="V194" s="264">
        <f t="shared" ca="1" si="6"/>
        <v>0.2</v>
      </c>
      <c r="W194" s="264">
        <f t="shared" ca="1" si="6"/>
        <v>0.2</v>
      </c>
      <c r="X194" s="264">
        <f t="shared" ca="1" si="6"/>
        <v>0</v>
      </c>
      <c r="Y194" s="264">
        <f t="shared" ca="1" si="6"/>
        <v>0</v>
      </c>
      <c r="Z194" s="264">
        <f t="shared" ca="1" si="6"/>
        <v>0.2</v>
      </c>
      <c r="AA194" s="264">
        <f t="shared" ca="1" si="6"/>
        <v>0.2</v>
      </c>
      <c r="AB194" s="264" t="str">
        <f t="shared" ca="1" si="6"/>
        <v/>
      </c>
      <c r="AC194" s="264">
        <f t="shared" ca="1" si="6"/>
        <v>0</v>
      </c>
      <c r="AD194" s="264">
        <f t="shared" ca="1" si="6"/>
        <v>0</v>
      </c>
      <c r="AE194" s="264">
        <f t="shared" ca="1" si="6"/>
        <v>0</v>
      </c>
    </row>
    <row r="195" spans="1:31" x14ac:dyDescent="0.15">
      <c r="B195" s="222">
        <v>25</v>
      </c>
      <c r="C195" s="122" t="s">
        <v>277</v>
      </c>
      <c r="D195" s="264">
        <f t="shared" ca="1" si="5"/>
        <v>0.4</v>
      </c>
      <c r="E195" s="264">
        <f t="shared" ca="1" si="5"/>
        <v>0.4</v>
      </c>
      <c r="F195" s="264">
        <f t="shared" ca="1" si="5"/>
        <v>0.2</v>
      </c>
      <c r="G195" s="264">
        <f t="shared" ca="1" si="5"/>
        <v>0</v>
      </c>
      <c r="H195" s="264">
        <f t="shared" ca="1" si="5"/>
        <v>0.2</v>
      </c>
      <c r="I195" s="264">
        <f t="shared" ca="1" si="5"/>
        <v>0.4</v>
      </c>
      <c r="J195" s="264">
        <f t="shared" ref="J195:Y197" ca="1" si="7">IF($B195=J$168,"", SSRMatchedRatio(OFFSET($D$98:$H$98,$B195,0),OFFSET($D$98:$H$98,J$168,0)))</f>
        <v>0</v>
      </c>
      <c r="K195" s="264">
        <f t="shared" ca="1" si="7"/>
        <v>0</v>
      </c>
      <c r="L195" s="264">
        <f t="shared" ca="1" si="7"/>
        <v>0</v>
      </c>
      <c r="M195" s="264">
        <f t="shared" ca="1" si="7"/>
        <v>0.2</v>
      </c>
      <c r="N195" s="264">
        <f t="shared" ca="1" si="7"/>
        <v>0</v>
      </c>
      <c r="O195" s="264">
        <f t="shared" ca="1" si="7"/>
        <v>0.2</v>
      </c>
      <c r="P195" s="264">
        <f t="shared" ca="1" si="7"/>
        <v>0.2</v>
      </c>
      <c r="Q195" s="264">
        <f t="shared" ca="1" si="7"/>
        <v>0.2</v>
      </c>
      <c r="R195" s="264">
        <f t="shared" ca="1" si="7"/>
        <v>0</v>
      </c>
      <c r="S195" s="264">
        <f t="shared" ca="1" si="7"/>
        <v>0</v>
      </c>
      <c r="T195" s="264">
        <f t="shared" ca="1" si="7"/>
        <v>0</v>
      </c>
      <c r="U195" s="264">
        <f t="shared" ca="1" si="7"/>
        <v>0.2</v>
      </c>
      <c r="V195" s="264">
        <f t="shared" ca="1" si="7"/>
        <v>0.2</v>
      </c>
      <c r="W195" s="264">
        <f t="shared" ca="1" si="7"/>
        <v>0</v>
      </c>
      <c r="X195" s="264">
        <f t="shared" ca="1" si="7"/>
        <v>0.4</v>
      </c>
      <c r="Y195" s="264">
        <f t="shared" ca="1" si="7"/>
        <v>0.4</v>
      </c>
      <c r="Z195" s="264">
        <f t="shared" ca="1" si="6"/>
        <v>0.2</v>
      </c>
      <c r="AA195" s="264">
        <f t="shared" ca="1" si="6"/>
        <v>0.4</v>
      </c>
      <c r="AB195" s="264">
        <f t="shared" ca="1" si="6"/>
        <v>0</v>
      </c>
      <c r="AC195" s="264" t="str">
        <f t="shared" ca="1" si="6"/>
        <v/>
      </c>
      <c r="AD195" s="264">
        <f t="shared" ca="1" si="6"/>
        <v>0.6</v>
      </c>
      <c r="AE195" s="264">
        <f t="shared" ca="1" si="6"/>
        <v>0.2</v>
      </c>
    </row>
    <row r="196" spans="1:31" x14ac:dyDescent="0.15">
      <c r="B196" s="222">
        <v>26</v>
      </c>
      <c r="C196" s="122" t="s">
        <v>278</v>
      </c>
      <c r="D196" s="264">
        <f t="shared" ref="D196:S197" ca="1" si="8">IF($B196=D$168,"", SSRMatchedRatio(OFFSET($D$98:$H$98,$B196,0),OFFSET($D$98:$H$98,D$168,0)))</f>
        <v>0</v>
      </c>
      <c r="E196" s="264">
        <f t="shared" ca="1" si="8"/>
        <v>0.2</v>
      </c>
      <c r="F196" s="264">
        <f t="shared" ca="1" si="8"/>
        <v>0</v>
      </c>
      <c r="G196" s="264">
        <f t="shared" ca="1" si="8"/>
        <v>0.2</v>
      </c>
      <c r="H196" s="264">
        <f t="shared" ca="1" si="8"/>
        <v>0</v>
      </c>
      <c r="I196" s="264">
        <f t="shared" ca="1" si="8"/>
        <v>0.2</v>
      </c>
      <c r="J196" s="264">
        <f t="shared" ca="1" si="8"/>
        <v>0</v>
      </c>
      <c r="K196" s="264">
        <f t="shared" ca="1" si="8"/>
        <v>0.2</v>
      </c>
      <c r="L196" s="264">
        <f t="shared" ca="1" si="8"/>
        <v>0</v>
      </c>
      <c r="M196" s="264">
        <f t="shared" ca="1" si="8"/>
        <v>0.2</v>
      </c>
      <c r="N196" s="264">
        <f t="shared" ca="1" si="8"/>
        <v>0</v>
      </c>
      <c r="O196" s="264">
        <f t="shared" ca="1" si="8"/>
        <v>0.4</v>
      </c>
      <c r="P196" s="264">
        <f t="shared" ca="1" si="8"/>
        <v>0.4</v>
      </c>
      <c r="Q196" s="264">
        <f t="shared" ca="1" si="8"/>
        <v>0.2</v>
      </c>
      <c r="R196" s="264">
        <f t="shared" ca="1" si="8"/>
        <v>0.2</v>
      </c>
      <c r="S196" s="264">
        <f t="shared" ca="1" si="8"/>
        <v>0.2</v>
      </c>
      <c r="T196" s="264">
        <f t="shared" ca="1" si="7"/>
        <v>0.2</v>
      </c>
      <c r="U196" s="264">
        <f t="shared" ca="1" si="7"/>
        <v>0.2</v>
      </c>
      <c r="V196" s="264">
        <f t="shared" ca="1" si="7"/>
        <v>0.2</v>
      </c>
      <c r="W196" s="264">
        <f t="shared" ca="1" si="7"/>
        <v>0</v>
      </c>
      <c r="X196" s="264">
        <f t="shared" ca="1" si="7"/>
        <v>0.4</v>
      </c>
      <c r="Y196" s="264">
        <f t="shared" ca="1" si="7"/>
        <v>0.2</v>
      </c>
      <c r="Z196" s="264">
        <f t="shared" ca="1" si="6"/>
        <v>0</v>
      </c>
      <c r="AA196" s="264">
        <f t="shared" ca="1" si="6"/>
        <v>0.2</v>
      </c>
      <c r="AB196" s="264">
        <f t="shared" ca="1" si="6"/>
        <v>0</v>
      </c>
      <c r="AC196" s="264">
        <f t="shared" ca="1" si="6"/>
        <v>0.6</v>
      </c>
      <c r="AD196" s="264" t="str">
        <f t="shared" ca="1" si="6"/>
        <v/>
      </c>
      <c r="AE196" s="264">
        <f t="shared" ca="1" si="6"/>
        <v>0.4</v>
      </c>
    </row>
    <row r="197" spans="1:31" x14ac:dyDescent="0.15">
      <c r="B197" s="222">
        <v>27</v>
      </c>
      <c r="C197" s="123" t="s">
        <v>279</v>
      </c>
      <c r="D197" s="267">
        <f t="shared" ca="1" si="8"/>
        <v>0</v>
      </c>
      <c r="E197" s="267">
        <f t="shared" ca="1" si="8"/>
        <v>0</v>
      </c>
      <c r="F197" s="267">
        <f t="shared" ca="1" si="8"/>
        <v>0</v>
      </c>
      <c r="G197" s="267">
        <f t="shared" ca="1" si="8"/>
        <v>0</v>
      </c>
      <c r="H197" s="267">
        <f t="shared" ca="1" si="8"/>
        <v>0</v>
      </c>
      <c r="I197" s="267">
        <f t="shared" ca="1" si="8"/>
        <v>0.2</v>
      </c>
      <c r="J197" s="267">
        <f t="shared" ca="1" si="8"/>
        <v>0</v>
      </c>
      <c r="K197" s="267">
        <f t="shared" ca="1" si="8"/>
        <v>0.2</v>
      </c>
      <c r="L197" s="267">
        <f t="shared" ca="1" si="8"/>
        <v>0</v>
      </c>
      <c r="M197" s="267">
        <f t="shared" ca="1" si="8"/>
        <v>0.2</v>
      </c>
      <c r="N197" s="267">
        <f t="shared" ca="1" si="8"/>
        <v>0</v>
      </c>
      <c r="O197" s="267">
        <f t="shared" ca="1" si="8"/>
        <v>0.2</v>
      </c>
      <c r="P197" s="267">
        <f t="shared" ca="1" si="8"/>
        <v>0.2</v>
      </c>
      <c r="Q197" s="267">
        <f t="shared" ca="1" si="8"/>
        <v>0</v>
      </c>
      <c r="R197" s="267">
        <f t="shared" ca="1" si="8"/>
        <v>0.2</v>
      </c>
      <c r="S197" s="267">
        <f t="shared" ca="1" si="8"/>
        <v>0.2</v>
      </c>
      <c r="T197" s="267">
        <f t="shared" ca="1" si="7"/>
        <v>0.4</v>
      </c>
      <c r="U197" s="267">
        <f t="shared" ca="1" si="7"/>
        <v>0</v>
      </c>
      <c r="V197" s="267">
        <f t="shared" ca="1" si="7"/>
        <v>0</v>
      </c>
      <c r="W197" s="267">
        <f t="shared" ca="1" si="7"/>
        <v>0.2</v>
      </c>
      <c r="X197" s="267">
        <f t="shared" ca="1" si="7"/>
        <v>0.4</v>
      </c>
      <c r="Y197" s="267">
        <f t="shared" ca="1" si="7"/>
        <v>0.2</v>
      </c>
      <c r="Z197" s="267">
        <f t="shared" ca="1" si="6"/>
        <v>0</v>
      </c>
      <c r="AA197" s="267">
        <f t="shared" ca="1" si="6"/>
        <v>0</v>
      </c>
      <c r="AB197" s="267">
        <f t="shared" ca="1" si="6"/>
        <v>0</v>
      </c>
      <c r="AC197" s="267">
        <f t="shared" ca="1" si="6"/>
        <v>0.2</v>
      </c>
      <c r="AD197" s="267">
        <f t="shared" ca="1" si="6"/>
        <v>0.4</v>
      </c>
      <c r="AE197" s="267" t="str">
        <f t="shared" ca="1" si="6"/>
        <v/>
      </c>
    </row>
    <row r="200" spans="1:31" x14ac:dyDescent="0.15">
      <c r="A200" s="268"/>
      <c r="B200" s="268" t="s">
        <v>1642</v>
      </c>
      <c r="C200" s="269"/>
      <c r="D200" s="269"/>
      <c r="E200" s="269"/>
      <c r="F200" s="269"/>
      <c r="G200" s="270"/>
      <c r="H200" s="269"/>
      <c r="I200" s="269"/>
      <c r="J200" s="270"/>
      <c r="K200" s="269"/>
      <c r="L200" s="269"/>
      <c r="M200" s="269"/>
      <c r="N200" s="269"/>
      <c r="O200" s="269"/>
      <c r="P200" s="269"/>
      <c r="Q200" s="269"/>
    </row>
    <row r="201" spans="1:31" x14ac:dyDescent="0.15">
      <c r="A201" s="101"/>
      <c r="B201" s="53"/>
      <c r="C201" s="278" t="s">
        <v>1614</v>
      </c>
      <c r="D201" s="271" t="s">
        <v>1616</v>
      </c>
      <c r="E201" s="53"/>
      <c r="F201" s="53"/>
      <c r="G201" s="85"/>
      <c r="H201" s="53"/>
      <c r="I201" s="53"/>
      <c r="J201" s="85"/>
      <c r="K201" s="53"/>
      <c r="L201" s="53"/>
      <c r="M201" s="53"/>
      <c r="N201" s="53"/>
      <c r="O201" s="53"/>
      <c r="P201" s="53"/>
      <c r="Q201" s="53"/>
      <c r="R201" s="53"/>
      <c r="S201" s="53"/>
      <c r="T201" s="53"/>
      <c r="U201" s="53"/>
      <c r="V201" s="53"/>
      <c r="W201" s="53"/>
      <c r="X201" s="53"/>
      <c r="Y201" s="53"/>
    </row>
    <row r="202" spans="1:31" x14ac:dyDescent="0.15">
      <c r="C202" s="277" t="s">
        <v>1615</v>
      </c>
      <c r="D202" s="266">
        <v>0.7</v>
      </c>
    </row>
    <row r="203" spans="1:31" x14ac:dyDescent="0.15">
      <c r="C203" s="277" t="s">
        <v>1640</v>
      </c>
      <c r="D203" s="281" t="s">
        <v>1645</v>
      </c>
    </row>
    <row r="204" spans="1:31" x14ac:dyDescent="0.15">
      <c r="C204" s="16"/>
      <c r="D204" s="281" t="s">
        <v>1643</v>
      </c>
    </row>
    <row r="205" spans="1:31" x14ac:dyDescent="0.15">
      <c r="C205" s="16"/>
      <c r="D205" s="281" t="s">
        <v>1644</v>
      </c>
    </row>
    <row r="207" spans="1:31" x14ac:dyDescent="0.15">
      <c r="B207" s="265" t="s">
        <v>1613</v>
      </c>
      <c r="C207" s="265"/>
      <c r="D207" s="265">
        <v>0</v>
      </c>
      <c r="E207" s="265">
        <v>1</v>
      </c>
      <c r="F207" s="265">
        <v>2</v>
      </c>
      <c r="G207" s="265">
        <v>3</v>
      </c>
      <c r="H207" s="265">
        <v>4</v>
      </c>
      <c r="I207" s="265">
        <v>5</v>
      </c>
      <c r="J207" s="265">
        <v>6</v>
      </c>
      <c r="K207" s="265">
        <v>7</v>
      </c>
      <c r="L207" s="265">
        <v>8</v>
      </c>
      <c r="M207" s="265">
        <v>9</v>
      </c>
      <c r="N207" s="265">
        <v>10</v>
      </c>
      <c r="O207" s="265">
        <v>11</v>
      </c>
      <c r="P207" s="265">
        <v>12</v>
      </c>
      <c r="Q207" s="265">
        <v>13</v>
      </c>
      <c r="R207" s="265">
        <v>14</v>
      </c>
      <c r="S207" s="265">
        <v>15</v>
      </c>
      <c r="T207" s="265">
        <v>16</v>
      </c>
      <c r="U207" s="265">
        <v>17</v>
      </c>
      <c r="V207" s="265">
        <v>18</v>
      </c>
      <c r="W207" s="265">
        <v>19</v>
      </c>
      <c r="X207" s="265">
        <v>20</v>
      </c>
      <c r="Y207" s="265">
        <v>21</v>
      </c>
      <c r="Z207" s="265">
        <v>22</v>
      </c>
      <c r="AA207" s="265">
        <v>23</v>
      </c>
      <c r="AB207" s="265">
        <v>24</v>
      </c>
      <c r="AC207" s="265">
        <v>25</v>
      </c>
      <c r="AD207" s="265">
        <v>26</v>
      </c>
      <c r="AE207" s="265">
        <v>27</v>
      </c>
    </row>
    <row r="208" spans="1:31" ht="68.25" customHeight="1" x14ac:dyDescent="0.15">
      <c r="B208" s="272"/>
      <c r="C208" s="62"/>
      <c r="D208" s="263" t="s">
        <v>191</v>
      </c>
      <c r="E208" s="263" t="s">
        <v>192</v>
      </c>
      <c r="F208" s="263" t="s">
        <v>193</v>
      </c>
      <c r="G208" s="263" t="s">
        <v>194</v>
      </c>
      <c r="H208" s="263" t="s">
        <v>195</v>
      </c>
      <c r="I208" s="263" t="s">
        <v>196</v>
      </c>
      <c r="J208" s="263" t="s">
        <v>197</v>
      </c>
      <c r="K208" s="263" t="s">
        <v>198</v>
      </c>
      <c r="L208" s="263" t="s">
        <v>199</v>
      </c>
      <c r="M208" s="263" t="s">
        <v>200</v>
      </c>
      <c r="N208" s="263" t="s">
        <v>201</v>
      </c>
      <c r="O208" s="263" t="s">
        <v>202</v>
      </c>
      <c r="P208" s="263" t="s">
        <v>264</v>
      </c>
      <c r="Q208" s="263" t="s">
        <v>265</v>
      </c>
      <c r="R208" s="263" t="s">
        <v>266</v>
      </c>
      <c r="S208" s="263" t="s">
        <v>267</v>
      </c>
      <c r="T208" s="263" t="s">
        <v>268</v>
      </c>
      <c r="U208" s="263" t="s">
        <v>269</v>
      </c>
      <c r="V208" s="263" t="s">
        <v>270</v>
      </c>
      <c r="W208" s="263" t="s">
        <v>271</v>
      </c>
      <c r="X208" s="263" t="s">
        <v>272</v>
      </c>
      <c r="Y208" s="263" t="s">
        <v>273</v>
      </c>
      <c r="Z208" s="263" t="s">
        <v>274</v>
      </c>
      <c r="AA208" s="263" t="s">
        <v>275</v>
      </c>
      <c r="AB208" s="263" t="s">
        <v>276</v>
      </c>
      <c r="AC208" s="263" t="s">
        <v>277</v>
      </c>
      <c r="AD208" s="263" t="s">
        <v>278</v>
      </c>
      <c r="AE208" s="263" t="s">
        <v>279</v>
      </c>
    </row>
    <row r="209" spans="2:31" x14ac:dyDescent="0.15">
      <c r="B209" s="222">
        <v>0</v>
      </c>
      <c r="C209" s="122" t="s">
        <v>191</v>
      </c>
      <c r="D209" s="264" t="str">
        <f ca="1">IF($B209=D$207,"", SSRMatchedRatio(OFFSET($L$98:$P$98,$B209,0),OFFSET($L$98:$P$98,D$207,0)))</f>
        <v/>
      </c>
      <c r="E209" s="264">
        <f t="shared" ref="E209:AE218" ca="1" si="9">IF($B209=E$207,"", SSRMatchedRatio(OFFSET($L$98:$P$98,$B209,0),OFFSET($L$98:$P$98,E$207,0)))</f>
        <v>0.2</v>
      </c>
      <c r="F209" s="264">
        <f t="shared" ca="1" si="9"/>
        <v>0.2</v>
      </c>
      <c r="G209" s="264">
        <f t="shared" ca="1" si="9"/>
        <v>0.6</v>
      </c>
      <c r="H209" s="264">
        <f t="shared" ca="1" si="9"/>
        <v>0.2</v>
      </c>
      <c r="I209" s="264">
        <f t="shared" ca="1" si="9"/>
        <v>0.4</v>
      </c>
      <c r="J209" s="264">
        <f t="shared" ca="1" si="9"/>
        <v>0.2</v>
      </c>
      <c r="K209" s="264">
        <f t="shared" ca="1" si="9"/>
        <v>0.4</v>
      </c>
      <c r="L209" s="264">
        <f t="shared" ca="1" si="9"/>
        <v>0.6</v>
      </c>
      <c r="M209" s="264">
        <f t="shared" ca="1" si="9"/>
        <v>0.4</v>
      </c>
      <c r="N209" s="264">
        <f t="shared" ca="1" si="9"/>
        <v>0</v>
      </c>
      <c r="O209" s="264">
        <f t="shared" ca="1" si="9"/>
        <v>0.2</v>
      </c>
      <c r="P209" s="264">
        <f t="shared" ca="1" si="9"/>
        <v>0.8</v>
      </c>
      <c r="Q209" s="264">
        <f t="shared" ca="1" si="9"/>
        <v>0.4</v>
      </c>
      <c r="R209" s="264">
        <f t="shared" ca="1" si="9"/>
        <v>0.2</v>
      </c>
      <c r="S209" s="264">
        <f t="shared" ca="1" si="9"/>
        <v>0</v>
      </c>
      <c r="T209" s="264">
        <f t="shared" ca="1" si="9"/>
        <v>0.2</v>
      </c>
      <c r="U209" s="264">
        <f t="shared" ca="1" si="9"/>
        <v>0.6</v>
      </c>
      <c r="V209" s="264">
        <f t="shared" ca="1" si="9"/>
        <v>0.6</v>
      </c>
      <c r="W209" s="264">
        <f t="shared" ca="1" si="9"/>
        <v>0.4</v>
      </c>
      <c r="X209" s="264">
        <f t="shared" ca="1" si="9"/>
        <v>0.2</v>
      </c>
      <c r="Y209" s="264">
        <f t="shared" ca="1" si="9"/>
        <v>0.4</v>
      </c>
      <c r="Z209" s="264">
        <f t="shared" ca="1" si="9"/>
        <v>0.6</v>
      </c>
      <c r="AA209" s="264">
        <f t="shared" ca="1" si="9"/>
        <v>0.6</v>
      </c>
      <c r="AB209" s="264">
        <f t="shared" ca="1" si="9"/>
        <v>0.2</v>
      </c>
      <c r="AC209" s="264">
        <f t="shared" ca="1" si="9"/>
        <v>0.4</v>
      </c>
      <c r="AD209" s="264">
        <f t="shared" ca="1" si="9"/>
        <v>0.2</v>
      </c>
      <c r="AE209" s="264">
        <f t="shared" ca="1" si="9"/>
        <v>0.4</v>
      </c>
    </row>
    <row r="210" spans="2:31" x14ac:dyDescent="0.15">
      <c r="B210" s="222">
        <v>1</v>
      </c>
      <c r="C210" s="122" t="s">
        <v>192</v>
      </c>
      <c r="D210" s="264">
        <f t="shared" ref="D210:S234" ca="1" si="10">IF($B210=D$207,"", SSRMatchedRatio(OFFSET($L$98:$P$98,$B210,0),OFFSET($L$98:$P$98,D$207,0)))</f>
        <v>0.2</v>
      </c>
      <c r="E210" s="264" t="str">
        <f t="shared" ca="1" si="9"/>
        <v/>
      </c>
      <c r="F210" s="264">
        <f t="shared" ca="1" si="9"/>
        <v>0.6</v>
      </c>
      <c r="G210" s="264">
        <f t="shared" ca="1" si="9"/>
        <v>0.2</v>
      </c>
      <c r="H210" s="264">
        <f t="shared" ca="1" si="9"/>
        <v>0.4</v>
      </c>
      <c r="I210" s="264">
        <f t="shared" ca="1" si="9"/>
        <v>0.6</v>
      </c>
      <c r="J210" s="264">
        <f t="shared" ca="1" si="9"/>
        <v>0.6</v>
      </c>
      <c r="K210" s="264">
        <f t="shared" ca="1" si="9"/>
        <v>0.6</v>
      </c>
      <c r="L210" s="264">
        <f t="shared" ca="1" si="9"/>
        <v>0.4</v>
      </c>
      <c r="M210" s="264">
        <f t="shared" ca="1" si="9"/>
        <v>0.8</v>
      </c>
      <c r="N210" s="264">
        <f t="shared" ca="1" si="9"/>
        <v>0.4</v>
      </c>
      <c r="O210" s="264">
        <f t="shared" ca="1" si="9"/>
        <v>0.8</v>
      </c>
      <c r="P210" s="264">
        <f t="shared" ca="1" si="9"/>
        <v>0.4</v>
      </c>
      <c r="Q210" s="264">
        <f t="shared" ca="1" si="9"/>
        <v>0.6</v>
      </c>
      <c r="R210" s="264">
        <f t="shared" ca="1" si="9"/>
        <v>0.2</v>
      </c>
      <c r="S210" s="264">
        <f t="shared" ca="1" si="9"/>
        <v>0.6</v>
      </c>
      <c r="T210" s="264">
        <f t="shared" ca="1" si="9"/>
        <v>1</v>
      </c>
      <c r="U210" s="264">
        <f t="shared" ca="1" si="9"/>
        <v>0.6</v>
      </c>
      <c r="V210" s="264">
        <f t="shared" ca="1" si="9"/>
        <v>0.2</v>
      </c>
      <c r="W210" s="264">
        <f t="shared" ca="1" si="9"/>
        <v>0.2</v>
      </c>
      <c r="X210" s="264">
        <f t="shared" ca="1" si="9"/>
        <v>0.6</v>
      </c>
      <c r="Y210" s="264">
        <f t="shared" ca="1" si="9"/>
        <v>0.2</v>
      </c>
      <c r="Z210" s="264">
        <f t="shared" ca="1" si="9"/>
        <v>0.4</v>
      </c>
      <c r="AA210" s="264">
        <f t="shared" ca="1" si="9"/>
        <v>0.4</v>
      </c>
      <c r="AB210" s="264">
        <f t="shared" ca="1" si="9"/>
        <v>0.2</v>
      </c>
      <c r="AC210" s="264">
        <f t="shared" ca="1" si="9"/>
        <v>0</v>
      </c>
      <c r="AD210" s="264">
        <f t="shared" ca="1" si="9"/>
        <v>0.2</v>
      </c>
      <c r="AE210" s="264">
        <f t="shared" ca="1" si="9"/>
        <v>0.8</v>
      </c>
    </row>
    <row r="211" spans="2:31" x14ac:dyDescent="0.15">
      <c r="B211" s="222">
        <v>2</v>
      </c>
      <c r="C211" s="122" t="s">
        <v>193</v>
      </c>
      <c r="D211" s="264">
        <f t="shared" ca="1" si="10"/>
        <v>0.2</v>
      </c>
      <c r="E211" s="264">
        <f t="shared" ca="1" si="9"/>
        <v>0.6</v>
      </c>
      <c r="F211" s="264" t="str">
        <f t="shared" ca="1" si="9"/>
        <v/>
      </c>
      <c r="G211" s="264">
        <f t="shared" ca="1" si="9"/>
        <v>0.6</v>
      </c>
      <c r="H211" s="264">
        <f t="shared" ca="1" si="9"/>
        <v>0</v>
      </c>
      <c r="I211" s="264">
        <f t="shared" ca="1" si="9"/>
        <v>0.4</v>
      </c>
      <c r="J211" s="264">
        <f t="shared" ca="1" si="9"/>
        <v>1</v>
      </c>
      <c r="K211" s="264">
        <f t="shared" ca="1" si="9"/>
        <v>0.8</v>
      </c>
      <c r="L211" s="264">
        <f t="shared" ca="1" si="9"/>
        <v>0.4</v>
      </c>
      <c r="M211" s="264">
        <f t="shared" ca="1" si="9"/>
        <v>0.4</v>
      </c>
      <c r="N211" s="264">
        <f t="shared" ca="1" si="9"/>
        <v>0.4</v>
      </c>
      <c r="O211" s="264">
        <f t="shared" ca="1" si="9"/>
        <v>0.8</v>
      </c>
      <c r="P211" s="264">
        <f t="shared" ca="1" si="9"/>
        <v>0.2</v>
      </c>
      <c r="Q211" s="264">
        <f t="shared" ca="1" si="9"/>
        <v>0.6</v>
      </c>
      <c r="R211" s="264">
        <f t="shared" ca="1" si="9"/>
        <v>0.2</v>
      </c>
      <c r="S211" s="264">
        <f t="shared" ca="1" si="9"/>
        <v>0.6</v>
      </c>
      <c r="T211" s="264">
        <f t="shared" ca="1" si="9"/>
        <v>0.6</v>
      </c>
      <c r="U211" s="264">
        <f t="shared" ca="1" si="9"/>
        <v>0.4</v>
      </c>
      <c r="V211" s="264">
        <f t="shared" ca="1" si="9"/>
        <v>0</v>
      </c>
      <c r="W211" s="264">
        <f t="shared" ca="1" si="9"/>
        <v>0.2</v>
      </c>
      <c r="X211" s="264">
        <f t="shared" ca="1" si="9"/>
        <v>1</v>
      </c>
      <c r="Y211" s="264">
        <f t="shared" ca="1" si="9"/>
        <v>0.4</v>
      </c>
      <c r="Z211" s="264">
        <f t="shared" ca="1" si="9"/>
        <v>0.4</v>
      </c>
      <c r="AA211" s="264">
        <f t="shared" ca="1" si="9"/>
        <v>0.6</v>
      </c>
      <c r="AB211" s="264">
        <f t="shared" ca="1" si="9"/>
        <v>0.4</v>
      </c>
      <c r="AC211" s="264">
        <f t="shared" ca="1" si="9"/>
        <v>0.4</v>
      </c>
      <c r="AD211" s="264">
        <f t="shared" ca="1" si="9"/>
        <v>0.2</v>
      </c>
      <c r="AE211" s="264">
        <f t="shared" ca="1" si="9"/>
        <v>0.4</v>
      </c>
    </row>
    <row r="212" spans="2:31" x14ac:dyDescent="0.15">
      <c r="B212" s="222">
        <v>3</v>
      </c>
      <c r="C212" s="122" t="s">
        <v>194</v>
      </c>
      <c r="D212" s="264">
        <f t="shared" ca="1" si="10"/>
        <v>0.6</v>
      </c>
      <c r="E212" s="264">
        <f t="shared" ca="1" si="9"/>
        <v>0.2</v>
      </c>
      <c r="F212" s="264">
        <f t="shared" ca="1" si="9"/>
        <v>0.6</v>
      </c>
      <c r="G212" s="264" t="str">
        <f t="shared" ca="1" si="9"/>
        <v/>
      </c>
      <c r="H212" s="264">
        <f t="shared" ca="1" si="9"/>
        <v>0.2</v>
      </c>
      <c r="I212" s="264">
        <f t="shared" ca="1" si="9"/>
        <v>0.4</v>
      </c>
      <c r="J212" s="264">
        <f t="shared" ca="1" si="9"/>
        <v>0.6</v>
      </c>
      <c r="K212" s="264">
        <f t="shared" ca="1" si="9"/>
        <v>0.4</v>
      </c>
      <c r="L212" s="264">
        <f t="shared" ca="1" si="9"/>
        <v>0.8</v>
      </c>
      <c r="M212" s="264">
        <f t="shared" ca="1" si="9"/>
        <v>0.4</v>
      </c>
      <c r="N212" s="264">
        <f t="shared" ca="1" si="9"/>
        <v>0.2</v>
      </c>
      <c r="O212" s="264">
        <f t="shared" ca="1" si="9"/>
        <v>0.4</v>
      </c>
      <c r="P212" s="264">
        <f t="shared" ca="1" si="9"/>
        <v>0.6</v>
      </c>
      <c r="Q212" s="264">
        <f t="shared" ca="1" si="9"/>
        <v>0.6</v>
      </c>
      <c r="R212" s="264">
        <f t="shared" ca="1" si="9"/>
        <v>0.4</v>
      </c>
      <c r="S212" s="264">
        <f t="shared" ca="1" si="9"/>
        <v>0.2</v>
      </c>
      <c r="T212" s="264">
        <f t="shared" ca="1" si="9"/>
        <v>0.2</v>
      </c>
      <c r="U212" s="264">
        <f t="shared" ca="1" si="9"/>
        <v>0.4</v>
      </c>
      <c r="V212" s="264">
        <f t="shared" ca="1" si="9"/>
        <v>0.4</v>
      </c>
      <c r="W212" s="264">
        <f t="shared" ca="1" si="9"/>
        <v>0.6</v>
      </c>
      <c r="X212" s="264">
        <f t="shared" ca="1" si="9"/>
        <v>0.6</v>
      </c>
      <c r="Y212" s="264">
        <f t="shared" ca="1" si="9"/>
        <v>0.4</v>
      </c>
      <c r="Z212" s="264">
        <f t="shared" ca="1" si="9"/>
        <v>0.8</v>
      </c>
      <c r="AA212" s="264">
        <f t="shared" ca="1" si="9"/>
        <v>0.6</v>
      </c>
      <c r="AB212" s="264">
        <f t="shared" ca="1" si="9"/>
        <v>0.2</v>
      </c>
      <c r="AC212" s="264">
        <f t="shared" ca="1" si="9"/>
        <v>0.8</v>
      </c>
      <c r="AD212" s="264">
        <f t="shared" ca="1" si="9"/>
        <v>0.4</v>
      </c>
      <c r="AE212" s="264">
        <f t="shared" ca="1" si="9"/>
        <v>0.4</v>
      </c>
    </row>
    <row r="213" spans="2:31" x14ac:dyDescent="0.15">
      <c r="B213" s="222">
        <v>4</v>
      </c>
      <c r="C213" s="122" t="s">
        <v>195</v>
      </c>
      <c r="D213" s="264">
        <f t="shared" ca="1" si="10"/>
        <v>0.2</v>
      </c>
      <c r="E213" s="264">
        <f t="shared" ca="1" si="9"/>
        <v>0.4</v>
      </c>
      <c r="F213" s="264">
        <f t="shared" ca="1" si="9"/>
        <v>0</v>
      </c>
      <c r="G213" s="264">
        <f t="shared" ca="1" si="9"/>
        <v>0.2</v>
      </c>
      <c r="H213" s="264" t="str">
        <f t="shared" ca="1" si="9"/>
        <v/>
      </c>
      <c r="I213" s="264">
        <f t="shared" ca="1" si="9"/>
        <v>0.2</v>
      </c>
      <c r="J213" s="264">
        <f t="shared" ca="1" si="9"/>
        <v>0</v>
      </c>
      <c r="K213" s="264">
        <f t="shared" ca="1" si="9"/>
        <v>0</v>
      </c>
      <c r="L213" s="264">
        <f t="shared" ca="1" si="9"/>
        <v>0.4</v>
      </c>
      <c r="M213" s="264">
        <f t="shared" ca="1" si="9"/>
        <v>0.6</v>
      </c>
      <c r="N213" s="264">
        <f t="shared" ca="1" si="9"/>
        <v>0.6</v>
      </c>
      <c r="O213" s="264">
        <f t="shared" ca="1" si="9"/>
        <v>0.2</v>
      </c>
      <c r="P213" s="264">
        <f t="shared" ca="1" si="9"/>
        <v>0.4</v>
      </c>
      <c r="Q213" s="264">
        <f t="shared" ca="1" si="9"/>
        <v>0.4</v>
      </c>
      <c r="R213" s="264">
        <f t="shared" ca="1" si="9"/>
        <v>0.8</v>
      </c>
      <c r="S213" s="264">
        <f t="shared" ca="1" si="9"/>
        <v>0.2</v>
      </c>
      <c r="T213" s="264">
        <f t="shared" ca="1" si="9"/>
        <v>0.4</v>
      </c>
      <c r="U213" s="264">
        <f t="shared" ca="1" si="9"/>
        <v>0.4</v>
      </c>
      <c r="V213" s="264">
        <f t="shared" ca="1" si="9"/>
        <v>0.6</v>
      </c>
      <c r="W213" s="264">
        <f t="shared" ca="1" si="9"/>
        <v>0.6</v>
      </c>
      <c r="X213" s="264">
        <f t="shared" ca="1" si="9"/>
        <v>0</v>
      </c>
      <c r="Y213" s="264">
        <f t="shared" ca="1" si="9"/>
        <v>0.4</v>
      </c>
      <c r="Z213" s="264">
        <f t="shared" ca="1" si="9"/>
        <v>0.4</v>
      </c>
      <c r="AA213" s="264">
        <f t="shared" ca="1" si="9"/>
        <v>0</v>
      </c>
      <c r="AB213" s="264">
        <f t="shared" ca="1" si="9"/>
        <v>0.4</v>
      </c>
      <c r="AC213" s="264">
        <f t="shared" ca="1" si="9"/>
        <v>0.4</v>
      </c>
      <c r="AD213" s="264">
        <f t="shared" ca="1" si="9"/>
        <v>0.8</v>
      </c>
      <c r="AE213" s="264">
        <f t="shared" ca="1" si="9"/>
        <v>0.4</v>
      </c>
    </row>
    <row r="214" spans="2:31" x14ac:dyDescent="0.15">
      <c r="B214" s="222">
        <v>5</v>
      </c>
      <c r="C214" s="122" t="s">
        <v>196</v>
      </c>
      <c r="D214" s="264">
        <f t="shared" ca="1" si="10"/>
        <v>0.4</v>
      </c>
      <c r="E214" s="264">
        <f t="shared" ca="1" si="9"/>
        <v>0.6</v>
      </c>
      <c r="F214" s="264">
        <f t="shared" ca="1" si="9"/>
        <v>0.4</v>
      </c>
      <c r="G214" s="264">
        <f t="shared" ca="1" si="9"/>
        <v>0.4</v>
      </c>
      <c r="H214" s="264">
        <f t="shared" ca="1" si="9"/>
        <v>0.2</v>
      </c>
      <c r="I214" s="264" t="str">
        <f t="shared" ca="1" si="9"/>
        <v/>
      </c>
      <c r="J214" s="264">
        <f t="shared" ca="1" si="9"/>
        <v>0.4</v>
      </c>
      <c r="K214" s="264">
        <f t="shared" ca="1" si="9"/>
        <v>0.4</v>
      </c>
      <c r="L214" s="264">
        <f t="shared" ca="1" si="9"/>
        <v>0.4</v>
      </c>
      <c r="M214" s="264">
        <f t="shared" ca="1" si="9"/>
        <v>0.4</v>
      </c>
      <c r="N214" s="264">
        <f t="shared" ca="1" si="9"/>
        <v>0.4</v>
      </c>
      <c r="O214" s="264">
        <f t="shared" ca="1" si="9"/>
        <v>0.4</v>
      </c>
      <c r="P214" s="264">
        <f t="shared" ca="1" si="9"/>
        <v>0.4</v>
      </c>
      <c r="Q214" s="264">
        <f t="shared" ca="1" si="9"/>
        <v>0.4</v>
      </c>
      <c r="R214" s="264">
        <f t="shared" ca="1" si="9"/>
        <v>0</v>
      </c>
      <c r="S214" s="264">
        <f t="shared" ca="1" si="9"/>
        <v>0.2</v>
      </c>
      <c r="T214" s="264">
        <f t="shared" ca="1" si="9"/>
        <v>0.6</v>
      </c>
      <c r="U214" s="264">
        <f t="shared" ca="1" si="9"/>
        <v>0.2</v>
      </c>
      <c r="V214" s="264">
        <f t="shared" ca="1" si="9"/>
        <v>0.2</v>
      </c>
      <c r="W214" s="264">
        <f t="shared" ca="1" si="9"/>
        <v>0.4</v>
      </c>
      <c r="X214" s="264">
        <f t="shared" ca="1" si="9"/>
        <v>0.4</v>
      </c>
      <c r="Y214" s="264">
        <f t="shared" ca="1" si="9"/>
        <v>0</v>
      </c>
      <c r="Z214" s="264">
        <f t="shared" ca="1" si="9"/>
        <v>0.6</v>
      </c>
      <c r="AA214" s="264">
        <f t="shared" ca="1" si="9"/>
        <v>0.6</v>
      </c>
      <c r="AB214" s="264">
        <f t="shared" ca="1" si="9"/>
        <v>0.2</v>
      </c>
      <c r="AC214" s="264">
        <f t="shared" ca="1" si="9"/>
        <v>0.2</v>
      </c>
      <c r="AD214" s="264">
        <f t="shared" ca="1" si="9"/>
        <v>0</v>
      </c>
      <c r="AE214" s="264">
        <f t="shared" ca="1" si="9"/>
        <v>0.8</v>
      </c>
    </row>
    <row r="215" spans="2:31" x14ac:dyDescent="0.15">
      <c r="B215" s="222">
        <v>6</v>
      </c>
      <c r="C215" s="122" t="s">
        <v>197</v>
      </c>
      <c r="D215" s="264">
        <f t="shared" ca="1" si="10"/>
        <v>0.2</v>
      </c>
      <c r="E215" s="264">
        <f t="shared" ca="1" si="9"/>
        <v>0.6</v>
      </c>
      <c r="F215" s="264">
        <f t="shared" ca="1" si="9"/>
        <v>1</v>
      </c>
      <c r="G215" s="264">
        <f t="shared" ca="1" si="9"/>
        <v>0.6</v>
      </c>
      <c r="H215" s="264">
        <f t="shared" ca="1" si="9"/>
        <v>0</v>
      </c>
      <c r="I215" s="264">
        <f t="shared" ca="1" si="9"/>
        <v>0.4</v>
      </c>
      <c r="J215" s="264" t="str">
        <f t="shared" ca="1" si="9"/>
        <v/>
      </c>
      <c r="K215" s="264">
        <f t="shared" ca="1" si="9"/>
        <v>0.8</v>
      </c>
      <c r="L215" s="264">
        <f t="shared" ca="1" si="9"/>
        <v>0.4</v>
      </c>
      <c r="M215" s="264">
        <f t="shared" ca="1" si="9"/>
        <v>0.4</v>
      </c>
      <c r="N215" s="264">
        <f t="shared" ca="1" si="9"/>
        <v>0.4</v>
      </c>
      <c r="O215" s="264">
        <f t="shared" ca="1" si="9"/>
        <v>0.8</v>
      </c>
      <c r="P215" s="264">
        <f t="shared" ca="1" si="9"/>
        <v>0.2</v>
      </c>
      <c r="Q215" s="264">
        <f t="shared" ca="1" si="9"/>
        <v>0.6</v>
      </c>
      <c r="R215" s="264">
        <f t="shared" ca="1" si="9"/>
        <v>0.2</v>
      </c>
      <c r="S215" s="264">
        <f t="shared" ca="1" si="9"/>
        <v>0.6</v>
      </c>
      <c r="T215" s="264">
        <f t="shared" ca="1" si="9"/>
        <v>0.6</v>
      </c>
      <c r="U215" s="264">
        <f t="shared" ca="1" si="9"/>
        <v>0.4</v>
      </c>
      <c r="V215" s="264">
        <f t="shared" ca="1" si="9"/>
        <v>0</v>
      </c>
      <c r="W215" s="264">
        <f t="shared" ca="1" si="9"/>
        <v>0.2</v>
      </c>
      <c r="X215" s="264">
        <f t="shared" ca="1" si="9"/>
        <v>1</v>
      </c>
      <c r="Y215" s="264">
        <f t="shared" ca="1" si="9"/>
        <v>0.4</v>
      </c>
      <c r="Z215" s="264">
        <f t="shared" ca="1" si="9"/>
        <v>0.4</v>
      </c>
      <c r="AA215" s="264">
        <f t="shared" ca="1" si="9"/>
        <v>0.6</v>
      </c>
      <c r="AB215" s="264">
        <f t="shared" ca="1" si="9"/>
        <v>0.4</v>
      </c>
      <c r="AC215" s="264">
        <f t="shared" ca="1" si="9"/>
        <v>0.4</v>
      </c>
      <c r="AD215" s="264">
        <f t="shared" ca="1" si="9"/>
        <v>0.2</v>
      </c>
      <c r="AE215" s="264">
        <f t="shared" ca="1" si="9"/>
        <v>0.4</v>
      </c>
    </row>
    <row r="216" spans="2:31" x14ac:dyDescent="0.15">
      <c r="B216" s="222">
        <v>7</v>
      </c>
      <c r="C216" s="122" t="s">
        <v>198</v>
      </c>
      <c r="D216" s="264">
        <f t="shared" ca="1" si="10"/>
        <v>0.4</v>
      </c>
      <c r="E216" s="264">
        <f t="shared" ca="1" si="9"/>
        <v>0.6</v>
      </c>
      <c r="F216" s="264">
        <f t="shared" ca="1" si="9"/>
        <v>0.8</v>
      </c>
      <c r="G216" s="264">
        <f t="shared" ca="1" si="9"/>
        <v>0.4</v>
      </c>
      <c r="H216" s="264">
        <f t="shared" ca="1" si="9"/>
        <v>0</v>
      </c>
      <c r="I216" s="264">
        <f t="shared" ca="1" si="9"/>
        <v>0.4</v>
      </c>
      <c r="J216" s="264">
        <f t="shared" ca="1" si="9"/>
        <v>0.8</v>
      </c>
      <c r="K216" s="264" t="str">
        <f t="shared" ca="1" si="9"/>
        <v/>
      </c>
      <c r="L216" s="264">
        <f t="shared" ca="1" si="9"/>
        <v>0.2</v>
      </c>
      <c r="M216" s="264">
        <f t="shared" ca="1" si="9"/>
        <v>0.4</v>
      </c>
      <c r="N216" s="264">
        <f t="shared" ca="1" si="9"/>
        <v>0.4</v>
      </c>
      <c r="O216" s="264">
        <f t="shared" ca="1" si="9"/>
        <v>0.6</v>
      </c>
      <c r="P216" s="264">
        <f t="shared" ca="1" si="9"/>
        <v>0.4</v>
      </c>
      <c r="Q216" s="264">
        <f t="shared" ca="1" si="9"/>
        <v>0.6</v>
      </c>
      <c r="R216" s="264">
        <f t="shared" ca="1" si="9"/>
        <v>0</v>
      </c>
      <c r="S216" s="264">
        <f t="shared" ca="1" si="9"/>
        <v>0.4</v>
      </c>
      <c r="T216" s="264">
        <f t="shared" ca="1" si="9"/>
        <v>0.6</v>
      </c>
      <c r="U216" s="264">
        <f t="shared" ca="1" si="9"/>
        <v>0.6</v>
      </c>
      <c r="V216" s="264">
        <f t="shared" ca="1" si="9"/>
        <v>0.2</v>
      </c>
      <c r="W216" s="264">
        <f t="shared" ca="1" si="9"/>
        <v>0.2</v>
      </c>
      <c r="X216" s="264">
        <f t="shared" ca="1" si="9"/>
        <v>0.8</v>
      </c>
      <c r="Y216" s="264">
        <f t="shared" ca="1" si="9"/>
        <v>0.6</v>
      </c>
      <c r="Z216" s="264">
        <f t="shared" ca="1" si="9"/>
        <v>0.4</v>
      </c>
      <c r="AA216" s="264">
        <f t="shared" ca="1" si="9"/>
        <v>0.8</v>
      </c>
      <c r="AB216" s="264">
        <f t="shared" ca="1" si="9"/>
        <v>0.6</v>
      </c>
      <c r="AC216" s="264">
        <f t="shared" ca="1" si="9"/>
        <v>0.2</v>
      </c>
      <c r="AD216" s="264">
        <f t="shared" ca="1" si="9"/>
        <v>0</v>
      </c>
      <c r="AE216" s="264">
        <f t="shared" ca="1" si="9"/>
        <v>0.4</v>
      </c>
    </row>
    <row r="217" spans="2:31" x14ac:dyDescent="0.15">
      <c r="B217" s="222">
        <v>8</v>
      </c>
      <c r="C217" s="122" t="s">
        <v>199</v>
      </c>
      <c r="D217" s="264">
        <f t="shared" ca="1" si="10"/>
        <v>0.6</v>
      </c>
      <c r="E217" s="264">
        <f t="shared" ca="1" si="9"/>
        <v>0.4</v>
      </c>
      <c r="F217" s="264">
        <f t="shared" ca="1" si="9"/>
        <v>0.4</v>
      </c>
      <c r="G217" s="264">
        <f t="shared" ca="1" si="9"/>
        <v>0.8</v>
      </c>
      <c r="H217" s="264">
        <f t="shared" ca="1" si="9"/>
        <v>0.4</v>
      </c>
      <c r="I217" s="264">
        <f t="shared" ca="1" si="9"/>
        <v>0.4</v>
      </c>
      <c r="J217" s="264">
        <f t="shared" ca="1" si="9"/>
        <v>0.4</v>
      </c>
      <c r="K217" s="264">
        <f t="shared" ca="1" si="9"/>
        <v>0.2</v>
      </c>
      <c r="L217" s="264" t="str">
        <f t="shared" ca="1" si="9"/>
        <v/>
      </c>
      <c r="M217" s="264">
        <f t="shared" ca="1" si="9"/>
        <v>0.6</v>
      </c>
      <c r="N217" s="264">
        <f t="shared" ca="1" si="9"/>
        <v>0</v>
      </c>
      <c r="O217" s="264">
        <f t="shared" ca="1" si="9"/>
        <v>0.6</v>
      </c>
      <c r="P217" s="264">
        <f t="shared" ca="1" si="9"/>
        <v>0.8</v>
      </c>
      <c r="Q217" s="264">
        <f t="shared" ca="1" si="9"/>
        <v>0.4</v>
      </c>
      <c r="R217" s="264">
        <f t="shared" ca="1" si="9"/>
        <v>0.6</v>
      </c>
      <c r="S217" s="264">
        <f t="shared" ca="1" si="9"/>
        <v>0.4</v>
      </c>
      <c r="T217" s="264">
        <f t="shared" ca="1" si="9"/>
        <v>0.4</v>
      </c>
      <c r="U217" s="264">
        <f t="shared" ca="1" si="9"/>
        <v>0.6</v>
      </c>
      <c r="V217" s="264">
        <f t="shared" ca="1" si="9"/>
        <v>0.6</v>
      </c>
      <c r="W217" s="264">
        <f t="shared" ca="1" si="9"/>
        <v>0.4</v>
      </c>
      <c r="X217" s="264">
        <f t="shared" ca="1" si="9"/>
        <v>0.4</v>
      </c>
      <c r="Y217" s="264">
        <f t="shared" ca="1" si="9"/>
        <v>0.2</v>
      </c>
      <c r="Z217" s="264">
        <f t="shared" ca="1" si="9"/>
        <v>0.6</v>
      </c>
      <c r="AA217" s="264">
        <f t="shared" ca="1" si="9"/>
        <v>0.4</v>
      </c>
      <c r="AB217" s="264">
        <f t="shared" ca="1" si="9"/>
        <v>0</v>
      </c>
      <c r="AC217" s="264">
        <f t="shared" ca="1" si="9"/>
        <v>0.6</v>
      </c>
      <c r="AD217" s="264">
        <f t="shared" ca="1" si="9"/>
        <v>0.6</v>
      </c>
      <c r="AE217" s="264">
        <f t="shared" ca="1" si="9"/>
        <v>0.6</v>
      </c>
    </row>
    <row r="218" spans="2:31" x14ac:dyDescent="0.15">
      <c r="B218" s="222">
        <v>9</v>
      </c>
      <c r="C218" s="122" t="s">
        <v>200</v>
      </c>
      <c r="D218" s="264">
        <f t="shared" ca="1" si="10"/>
        <v>0.4</v>
      </c>
      <c r="E218" s="264">
        <f t="shared" ca="1" si="9"/>
        <v>0.8</v>
      </c>
      <c r="F218" s="264">
        <f t="shared" ca="1" si="9"/>
        <v>0.4</v>
      </c>
      <c r="G218" s="264">
        <f t="shared" ca="1" si="9"/>
        <v>0.4</v>
      </c>
      <c r="H218" s="264">
        <f t="shared" ca="1" si="9"/>
        <v>0.6</v>
      </c>
      <c r="I218" s="264">
        <f t="shared" ca="1" si="9"/>
        <v>0.4</v>
      </c>
      <c r="J218" s="264">
        <f t="shared" ca="1" si="9"/>
        <v>0.4</v>
      </c>
      <c r="K218" s="264">
        <f t="shared" ca="1" si="9"/>
        <v>0.4</v>
      </c>
      <c r="L218" s="264">
        <f t="shared" ca="1" si="9"/>
        <v>0.6</v>
      </c>
      <c r="M218" s="264" t="str">
        <f t="shared" ca="1" si="9"/>
        <v/>
      </c>
      <c r="N218" s="264">
        <f t="shared" ca="1" si="9"/>
        <v>0.2</v>
      </c>
      <c r="O218" s="264">
        <f t="shared" ca="1" si="9"/>
        <v>0.6</v>
      </c>
      <c r="P218" s="264">
        <f t="shared" ca="1" si="9"/>
        <v>0.6</v>
      </c>
      <c r="Q218" s="264">
        <f t="shared" ref="Q218:AE236" ca="1" si="11">IF($B218=Q$207,"", SSRMatchedRatio(OFFSET($L$98:$P$98,$B218,0),OFFSET($L$98:$P$98,Q$207,0)))</f>
        <v>0.8</v>
      </c>
      <c r="R218" s="264">
        <f t="shared" ca="1" si="11"/>
        <v>0.4</v>
      </c>
      <c r="S218" s="264">
        <f t="shared" ca="1" si="11"/>
        <v>0.4</v>
      </c>
      <c r="T218" s="264">
        <f t="shared" ca="1" si="11"/>
        <v>0.8</v>
      </c>
      <c r="U218" s="264">
        <f t="shared" ca="1" si="11"/>
        <v>0.8</v>
      </c>
      <c r="V218" s="264">
        <f t="shared" ca="1" si="11"/>
        <v>0.4</v>
      </c>
      <c r="W218" s="264">
        <f t="shared" ca="1" si="11"/>
        <v>0.4</v>
      </c>
      <c r="X218" s="264">
        <f t="shared" ca="1" si="11"/>
        <v>0.4</v>
      </c>
      <c r="Y218" s="264">
        <f t="shared" ca="1" si="11"/>
        <v>0.4</v>
      </c>
      <c r="Z218" s="264">
        <f t="shared" ca="1" si="11"/>
        <v>0.6</v>
      </c>
      <c r="AA218" s="264">
        <f t="shared" ca="1" si="11"/>
        <v>0.2</v>
      </c>
      <c r="AB218" s="264">
        <f t="shared" ca="1" si="11"/>
        <v>0</v>
      </c>
      <c r="AC218" s="264">
        <f t="shared" ca="1" si="11"/>
        <v>0.2</v>
      </c>
      <c r="AD218" s="264">
        <f t="shared" ca="1" si="11"/>
        <v>0.4</v>
      </c>
      <c r="AE218" s="264">
        <f t="shared" ca="1" si="11"/>
        <v>0.6</v>
      </c>
    </row>
    <row r="219" spans="2:31" x14ac:dyDescent="0.15">
      <c r="B219" s="222">
        <v>10</v>
      </c>
      <c r="C219" s="122" t="s">
        <v>201</v>
      </c>
      <c r="D219" s="264">
        <f t="shared" ca="1" si="10"/>
        <v>0</v>
      </c>
      <c r="E219" s="264">
        <f t="shared" ca="1" si="10"/>
        <v>0.4</v>
      </c>
      <c r="F219" s="264">
        <f t="shared" ca="1" si="10"/>
        <v>0.4</v>
      </c>
      <c r="G219" s="264">
        <f t="shared" ca="1" si="10"/>
        <v>0.2</v>
      </c>
      <c r="H219" s="264">
        <f t="shared" ca="1" si="10"/>
        <v>0.6</v>
      </c>
      <c r="I219" s="264">
        <f t="shared" ca="1" si="10"/>
        <v>0.4</v>
      </c>
      <c r="J219" s="264">
        <f t="shared" ca="1" si="10"/>
        <v>0.4</v>
      </c>
      <c r="K219" s="264">
        <f t="shared" ca="1" si="10"/>
        <v>0.4</v>
      </c>
      <c r="L219" s="264">
        <f t="shared" ca="1" si="10"/>
        <v>0</v>
      </c>
      <c r="M219" s="264">
        <f t="shared" ca="1" si="10"/>
        <v>0.2</v>
      </c>
      <c r="N219" s="264" t="str">
        <f t="shared" ca="1" si="10"/>
        <v/>
      </c>
      <c r="O219" s="264">
        <f t="shared" ca="1" si="10"/>
        <v>0.2</v>
      </c>
      <c r="P219" s="264">
        <f t="shared" ca="1" si="10"/>
        <v>0</v>
      </c>
      <c r="Q219" s="264">
        <f t="shared" ca="1" si="10"/>
        <v>0.4</v>
      </c>
      <c r="R219" s="264">
        <f t="shared" ca="1" si="10"/>
        <v>0.4</v>
      </c>
      <c r="S219" s="264">
        <f t="shared" ca="1" si="10"/>
        <v>0.2</v>
      </c>
      <c r="T219" s="264">
        <f t="shared" ca="1" si="11"/>
        <v>0.4</v>
      </c>
      <c r="U219" s="264">
        <f t="shared" ca="1" si="11"/>
        <v>0</v>
      </c>
      <c r="V219" s="264">
        <f t="shared" ca="1" si="11"/>
        <v>0.2</v>
      </c>
      <c r="W219" s="264">
        <f t="shared" ca="1" si="11"/>
        <v>0.6</v>
      </c>
      <c r="X219" s="264">
        <f t="shared" ca="1" si="11"/>
        <v>0.4</v>
      </c>
      <c r="Y219" s="264">
        <f t="shared" ca="1" si="11"/>
        <v>0.4</v>
      </c>
      <c r="Z219" s="264">
        <f t="shared" ca="1" si="11"/>
        <v>0.4</v>
      </c>
      <c r="AA219" s="264">
        <f t="shared" ca="1" si="11"/>
        <v>0.4</v>
      </c>
      <c r="AB219" s="264">
        <f t="shared" ca="1" si="11"/>
        <v>0.8</v>
      </c>
      <c r="AC219" s="264">
        <f t="shared" ca="1" si="11"/>
        <v>0.4</v>
      </c>
      <c r="AD219" s="264">
        <f t="shared" ca="1" si="11"/>
        <v>0.4</v>
      </c>
      <c r="AE219" s="264">
        <f t="shared" ca="1" si="11"/>
        <v>0.4</v>
      </c>
    </row>
    <row r="220" spans="2:31" x14ac:dyDescent="0.15">
      <c r="B220" s="222">
        <v>11</v>
      </c>
      <c r="C220" s="122" t="s">
        <v>202</v>
      </c>
      <c r="D220" s="264">
        <f t="shared" ca="1" si="10"/>
        <v>0.2</v>
      </c>
      <c r="E220" s="264">
        <f t="shared" ca="1" si="10"/>
        <v>0.8</v>
      </c>
      <c r="F220" s="264">
        <f t="shared" ca="1" si="10"/>
        <v>0.8</v>
      </c>
      <c r="G220" s="264">
        <f t="shared" ca="1" si="10"/>
        <v>0.4</v>
      </c>
      <c r="H220" s="264">
        <f t="shared" ca="1" si="10"/>
        <v>0.2</v>
      </c>
      <c r="I220" s="264">
        <f t="shared" ca="1" si="10"/>
        <v>0.4</v>
      </c>
      <c r="J220" s="264">
        <f t="shared" ca="1" si="10"/>
        <v>0.8</v>
      </c>
      <c r="K220" s="264">
        <f t="shared" ca="1" si="10"/>
        <v>0.6</v>
      </c>
      <c r="L220" s="264">
        <f t="shared" ca="1" si="10"/>
        <v>0.6</v>
      </c>
      <c r="M220" s="264">
        <f t="shared" ca="1" si="10"/>
        <v>0.6</v>
      </c>
      <c r="N220" s="264">
        <f t="shared" ca="1" si="10"/>
        <v>0.2</v>
      </c>
      <c r="O220" s="264" t="str">
        <f t="shared" ca="1" si="10"/>
        <v/>
      </c>
      <c r="P220" s="264">
        <f t="shared" ca="1" si="10"/>
        <v>0.4</v>
      </c>
      <c r="Q220" s="264">
        <f t="shared" ca="1" si="10"/>
        <v>0.4</v>
      </c>
      <c r="R220" s="264">
        <f t="shared" ca="1" si="10"/>
        <v>0.4</v>
      </c>
      <c r="S220" s="264">
        <f t="shared" ca="1" si="10"/>
        <v>0.8</v>
      </c>
      <c r="T220" s="264">
        <f t="shared" ca="1" si="11"/>
        <v>0.8</v>
      </c>
      <c r="U220" s="264">
        <f t="shared" ca="1" si="11"/>
        <v>0.6</v>
      </c>
      <c r="V220" s="264">
        <f t="shared" ca="1" si="11"/>
        <v>0.2</v>
      </c>
      <c r="W220" s="264">
        <f t="shared" ca="1" si="11"/>
        <v>0</v>
      </c>
      <c r="X220" s="264">
        <f t="shared" ca="1" si="11"/>
        <v>0.8</v>
      </c>
      <c r="Y220" s="264">
        <f t="shared" ca="1" si="11"/>
        <v>0.2</v>
      </c>
      <c r="Z220" s="264">
        <f t="shared" ca="1" si="11"/>
        <v>0.2</v>
      </c>
      <c r="AA220" s="264">
        <f t="shared" ca="1" si="11"/>
        <v>0.4</v>
      </c>
      <c r="AB220" s="264">
        <f t="shared" ca="1" si="11"/>
        <v>0.2</v>
      </c>
      <c r="AC220" s="264">
        <f t="shared" ca="1" si="11"/>
        <v>0.2</v>
      </c>
      <c r="AD220" s="264">
        <f t="shared" ca="1" si="11"/>
        <v>0.4</v>
      </c>
      <c r="AE220" s="264">
        <f t="shared" ca="1" si="11"/>
        <v>0.6</v>
      </c>
    </row>
    <row r="221" spans="2:31" x14ac:dyDescent="0.15">
      <c r="B221" s="222">
        <v>12</v>
      </c>
      <c r="C221" s="122" t="s">
        <v>264</v>
      </c>
      <c r="D221" s="264">
        <f t="shared" ca="1" si="10"/>
        <v>0.8</v>
      </c>
      <c r="E221" s="264">
        <f t="shared" ca="1" si="10"/>
        <v>0.4</v>
      </c>
      <c r="F221" s="264">
        <f t="shared" ca="1" si="10"/>
        <v>0.2</v>
      </c>
      <c r="G221" s="264">
        <f t="shared" ca="1" si="10"/>
        <v>0.6</v>
      </c>
      <c r="H221" s="264">
        <f t="shared" ca="1" si="10"/>
        <v>0.4</v>
      </c>
      <c r="I221" s="264">
        <f t="shared" ca="1" si="10"/>
        <v>0.4</v>
      </c>
      <c r="J221" s="264">
        <f t="shared" ca="1" si="10"/>
        <v>0.2</v>
      </c>
      <c r="K221" s="264">
        <f t="shared" ca="1" si="10"/>
        <v>0.4</v>
      </c>
      <c r="L221" s="264">
        <f t="shared" ca="1" si="10"/>
        <v>0.8</v>
      </c>
      <c r="M221" s="264">
        <f t="shared" ca="1" si="10"/>
        <v>0.6</v>
      </c>
      <c r="N221" s="264">
        <f t="shared" ca="1" si="10"/>
        <v>0</v>
      </c>
      <c r="O221" s="264">
        <f t="shared" ca="1" si="10"/>
        <v>0.4</v>
      </c>
      <c r="P221" s="264" t="str">
        <f t="shared" ca="1" si="10"/>
        <v/>
      </c>
      <c r="Q221" s="264">
        <f t="shared" ca="1" si="10"/>
        <v>0.4</v>
      </c>
      <c r="R221" s="264">
        <f t="shared" ca="1" si="10"/>
        <v>0.4</v>
      </c>
      <c r="S221" s="264">
        <f t="shared" ca="1" si="10"/>
        <v>0.2</v>
      </c>
      <c r="T221" s="264">
        <f t="shared" ca="1" si="11"/>
        <v>0.4</v>
      </c>
      <c r="U221" s="264">
        <f t="shared" ca="1" si="11"/>
        <v>0.8</v>
      </c>
      <c r="V221" s="264">
        <f t="shared" ca="1" si="11"/>
        <v>0.8</v>
      </c>
      <c r="W221" s="264">
        <f t="shared" ca="1" si="11"/>
        <v>0.4</v>
      </c>
      <c r="X221" s="264">
        <f t="shared" ca="1" si="11"/>
        <v>0.2</v>
      </c>
      <c r="Y221" s="264">
        <f t="shared" ca="1" si="11"/>
        <v>0.4</v>
      </c>
      <c r="Z221" s="264">
        <f t="shared" ca="1" si="11"/>
        <v>0.6</v>
      </c>
      <c r="AA221" s="264">
        <f t="shared" ca="1" si="11"/>
        <v>0.6</v>
      </c>
      <c r="AB221" s="264">
        <f t="shared" ca="1" si="11"/>
        <v>0.2</v>
      </c>
      <c r="AC221" s="264">
        <f t="shared" ca="1" si="11"/>
        <v>0.4</v>
      </c>
      <c r="AD221" s="264">
        <f t="shared" ca="1" si="11"/>
        <v>0.4</v>
      </c>
      <c r="AE221" s="264">
        <f t="shared" ca="1" si="11"/>
        <v>0.6</v>
      </c>
    </row>
    <row r="222" spans="2:31" x14ac:dyDescent="0.15">
      <c r="B222" s="222">
        <v>13</v>
      </c>
      <c r="C222" s="122" t="s">
        <v>265</v>
      </c>
      <c r="D222" s="264">
        <f t="shared" ca="1" si="10"/>
        <v>0.4</v>
      </c>
      <c r="E222" s="264">
        <f t="shared" ca="1" si="10"/>
        <v>0.6</v>
      </c>
      <c r="F222" s="264">
        <f t="shared" ca="1" si="10"/>
        <v>0.6</v>
      </c>
      <c r="G222" s="264">
        <f t="shared" ca="1" si="10"/>
        <v>0.6</v>
      </c>
      <c r="H222" s="264">
        <f t="shared" ca="1" si="10"/>
        <v>0.4</v>
      </c>
      <c r="I222" s="264">
        <f t="shared" ca="1" si="10"/>
        <v>0.4</v>
      </c>
      <c r="J222" s="264">
        <f t="shared" ca="1" si="10"/>
        <v>0.6</v>
      </c>
      <c r="K222" s="264">
        <f t="shared" ca="1" si="10"/>
        <v>0.6</v>
      </c>
      <c r="L222" s="264">
        <f t="shared" ca="1" si="10"/>
        <v>0.4</v>
      </c>
      <c r="M222" s="264">
        <f t="shared" ca="1" si="10"/>
        <v>0.8</v>
      </c>
      <c r="N222" s="264">
        <f t="shared" ca="1" si="10"/>
        <v>0.4</v>
      </c>
      <c r="O222" s="264">
        <f t="shared" ca="1" si="10"/>
        <v>0.4</v>
      </c>
      <c r="P222" s="264">
        <f t="shared" ca="1" si="10"/>
        <v>0.4</v>
      </c>
      <c r="Q222" s="264" t="str">
        <f t="shared" ca="1" si="10"/>
        <v/>
      </c>
      <c r="R222" s="264">
        <f t="shared" ca="1" si="10"/>
        <v>0.2</v>
      </c>
      <c r="S222" s="264">
        <f t="shared" ca="1" si="10"/>
        <v>0.2</v>
      </c>
      <c r="T222" s="264">
        <f t="shared" ca="1" si="11"/>
        <v>0.6</v>
      </c>
      <c r="U222" s="264">
        <f t="shared" ca="1" si="11"/>
        <v>0.6</v>
      </c>
      <c r="V222" s="264">
        <f t="shared" ca="1" si="11"/>
        <v>0.2</v>
      </c>
      <c r="W222" s="264">
        <f t="shared" ca="1" si="11"/>
        <v>0.6</v>
      </c>
      <c r="X222" s="264">
        <f t="shared" ca="1" si="11"/>
        <v>0.6</v>
      </c>
      <c r="Y222" s="264">
        <f t="shared" ca="1" si="11"/>
        <v>0.6</v>
      </c>
      <c r="Z222" s="264">
        <f t="shared" ca="1" si="11"/>
        <v>0.8</v>
      </c>
      <c r="AA222" s="264">
        <f t="shared" ca="1" si="11"/>
        <v>0.4</v>
      </c>
      <c r="AB222" s="264">
        <f t="shared" ca="1" si="11"/>
        <v>0.2</v>
      </c>
      <c r="AC222" s="264">
        <f t="shared" ca="1" si="11"/>
        <v>0.4</v>
      </c>
      <c r="AD222" s="264">
        <f t="shared" ca="1" si="11"/>
        <v>0.2</v>
      </c>
      <c r="AE222" s="264">
        <f t="shared" ca="1" si="11"/>
        <v>0.4</v>
      </c>
    </row>
    <row r="223" spans="2:31" x14ac:dyDescent="0.15">
      <c r="B223" s="222">
        <v>14</v>
      </c>
      <c r="C223" s="122" t="s">
        <v>266</v>
      </c>
      <c r="D223" s="264">
        <f t="shared" ca="1" si="10"/>
        <v>0.2</v>
      </c>
      <c r="E223" s="264">
        <f t="shared" ca="1" si="10"/>
        <v>0.2</v>
      </c>
      <c r="F223" s="264">
        <f t="shared" ca="1" si="10"/>
        <v>0.2</v>
      </c>
      <c r="G223" s="264">
        <f t="shared" ca="1" si="10"/>
        <v>0.4</v>
      </c>
      <c r="H223" s="264">
        <f t="shared" ca="1" si="10"/>
        <v>0.8</v>
      </c>
      <c r="I223" s="264">
        <f t="shared" ca="1" si="10"/>
        <v>0</v>
      </c>
      <c r="J223" s="264">
        <f t="shared" ca="1" si="10"/>
        <v>0.2</v>
      </c>
      <c r="K223" s="264">
        <f t="shared" ca="1" si="10"/>
        <v>0</v>
      </c>
      <c r="L223" s="264">
        <f t="shared" ca="1" si="10"/>
        <v>0.6</v>
      </c>
      <c r="M223" s="264">
        <f t="shared" ca="1" si="10"/>
        <v>0.4</v>
      </c>
      <c r="N223" s="264">
        <f t="shared" ca="1" si="10"/>
        <v>0.4</v>
      </c>
      <c r="O223" s="264">
        <f t="shared" ca="1" si="10"/>
        <v>0.4</v>
      </c>
      <c r="P223" s="264">
        <f t="shared" ca="1" si="10"/>
        <v>0.4</v>
      </c>
      <c r="Q223" s="264">
        <f t="shared" ca="1" si="10"/>
        <v>0.2</v>
      </c>
      <c r="R223" s="264" t="str">
        <f t="shared" ca="1" si="10"/>
        <v/>
      </c>
      <c r="S223" s="264">
        <f t="shared" ca="1" si="10"/>
        <v>0.4</v>
      </c>
      <c r="T223" s="264">
        <f t="shared" ca="1" si="11"/>
        <v>0.2</v>
      </c>
      <c r="U223" s="264">
        <f t="shared" ca="1" si="11"/>
        <v>0.4</v>
      </c>
      <c r="V223" s="264">
        <f t="shared" ca="1" si="11"/>
        <v>0.6</v>
      </c>
      <c r="W223" s="264">
        <f t="shared" ca="1" si="11"/>
        <v>0.4</v>
      </c>
      <c r="X223" s="264">
        <f t="shared" ca="1" si="11"/>
        <v>0.2</v>
      </c>
      <c r="Y223" s="264">
        <f t="shared" ca="1" si="11"/>
        <v>0.4</v>
      </c>
      <c r="Z223" s="264">
        <f t="shared" ca="1" si="11"/>
        <v>0.2</v>
      </c>
      <c r="AA223" s="264">
        <f t="shared" ca="1" si="11"/>
        <v>0</v>
      </c>
      <c r="AB223" s="264">
        <f t="shared" ca="1" si="11"/>
        <v>0.4</v>
      </c>
      <c r="AC223" s="264">
        <f t="shared" ca="1" si="11"/>
        <v>0.6</v>
      </c>
      <c r="AD223" s="264">
        <f t="shared" ca="1" si="11"/>
        <v>1</v>
      </c>
      <c r="AE223" s="264">
        <f t="shared" ca="1" si="11"/>
        <v>0.2</v>
      </c>
    </row>
    <row r="224" spans="2:31" x14ac:dyDescent="0.15">
      <c r="B224" s="222">
        <v>15</v>
      </c>
      <c r="C224" s="122" t="s">
        <v>267</v>
      </c>
      <c r="D224" s="264">
        <f t="shared" ca="1" si="10"/>
        <v>0</v>
      </c>
      <c r="E224" s="264">
        <f t="shared" ca="1" si="10"/>
        <v>0.6</v>
      </c>
      <c r="F224" s="264">
        <f t="shared" ca="1" si="10"/>
        <v>0.6</v>
      </c>
      <c r="G224" s="264">
        <f t="shared" ca="1" si="10"/>
        <v>0.2</v>
      </c>
      <c r="H224" s="264">
        <f t="shared" ca="1" si="10"/>
        <v>0.2</v>
      </c>
      <c r="I224" s="264">
        <f t="shared" ca="1" si="10"/>
        <v>0.2</v>
      </c>
      <c r="J224" s="264">
        <f t="shared" ca="1" si="10"/>
        <v>0.6</v>
      </c>
      <c r="K224" s="264">
        <f t="shared" ca="1" si="10"/>
        <v>0.4</v>
      </c>
      <c r="L224" s="264">
        <f t="shared" ca="1" si="10"/>
        <v>0.4</v>
      </c>
      <c r="M224" s="264">
        <f t="shared" ca="1" si="10"/>
        <v>0.4</v>
      </c>
      <c r="N224" s="264">
        <f t="shared" ca="1" si="10"/>
        <v>0.2</v>
      </c>
      <c r="O224" s="264">
        <f t="shared" ca="1" si="10"/>
        <v>0.8</v>
      </c>
      <c r="P224" s="264">
        <f t="shared" ca="1" si="10"/>
        <v>0.2</v>
      </c>
      <c r="Q224" s="264">
        <f t="shared" ca="1" si="10"/>
        <v>0.2</v>
      </c>
      <c r="R224" s="264">
        <f t="shared" ca="1" si="10"/>
        <v>0.4</v>
      </c>
      <c r="S224" s="264" t="str">
        <f t="shared" ca="1" si="10"/>
        <v/>
      </c>
      <c r="T224" s="264">
        <f t="shared" ca="1" si="11"/>
        <v>0.6</v>
      </c>
      <c r="U224" s="264">
        <f t="shared" ca="1" si="11"/>
        <v>0.4</v>
      </c>
      <c r="V224" s="264">
        <f t="shared" ca="1" si="11"/>
        <v>0.2</v>
      </c>
      <c r="W224" s="264">
        <f t="shared" ca="1" si="11"/>
        <v>0</v>
      </c>
      <c r="X224" s="264">
        <f t="shared" ca="1" si="11"/>
        <v>0.6</v>
      </c>
      <c r="Y224" s="264">
        <f t="shared" ca="1" si="11"/>
        <v>0.2</v>
      </c>
      <c r="Z224" s="264">
        <f t="shared" ca="1" si="11"/>
        <v>0</v>
      </c>
      <c r="AA224" s="264">
        <f t="shared" ca="1" si="11"/>
        <v>0.2</v>
      </c>
      <c r="AB224" s="264">
        <f t="shared" ca="1" si="11"/>
        <v>0.2</v>
      </c>
      <c r="AC224" s="264">
        <f t="shared" ca="1" si="11"/>
        <v>0.2</v>
      </c>
      <c r="AD224" s="264">
        <f t="shared" ca="1" si="11"/>
        <v>0.4</v>
      </c>
      <c r="AE224" s="264">
        <f t="shared" ca="1" si="11"/>
        <v>0.4</v>
      </c>
    </row>
    <row r="225" spans="1:31" x14ac:dyDescent="0.15">
      <c r="B225" s="222">
        <v>16</v>
      </c>
      <c r="C225" s="122" t="s">
        <v>268</v>
      </c>
      <c r="D225" s="264">
        <f t="shared" ca="1" si="10"/>
        <v>0.2</v>
      </c>
      <c r="E225" s="264">
        <f t="shared" ca="1" si="10"/>
        <v>1</v>
      </c>
      <c r="F225" s="264">
        <f t="shared" ca="1" si="10"/>
        <v>0.6</v>
      </c>
      <c r="G225" s="264">
        <f t="shared" ca="1" si="10"/>
        <v>0.2</v>
      </c>
      <c r="H225" s="264">
        <f t="shared" ca="1" si="10"/>
        <v>0.4</v>
      </c>
      <c r="I225" s="264">
        <f t="shared" ca="1" si="10"/>
        <v>0.6</v>
      </c>
      <c r="J225" s="264">
        <f t="shared" ca="1" si="10"/>
        <v>0.6</v>
      </c>
      <c r="K225" s="264">
        <f t="shared" ca="1" si="10"/>
        <v>0.6</v>
      </c>
      <c r="L225" s="264">
        <f t="shared" ca="1" si="10"/>
        <v>0.4</v>
      </c>
      <c r="M225" s="264">
        <f t="shared" ca="1" si="10"/>
        <v>0.8</v>
      </c>
      <c r="N225" s="264">
        <f t="shared" ca="1" si="10"/>
        <v>0.4</v>
      </c>
      <c r="O225" s="264">
        <f t="shared" ca="1" si="10"/>
        <v>0.8</v>
      </c>
      <c r="P225" s="264">
        <f t="shared" ca="1" si="10"/>
        <v>0.4</v>
      </c>
      <c r="Q225" s="264">
        <f t="shared" ca="1" si="10"/>
        <v>0.6</v>
      </c>
      <c r="R225" s="264">
        <f t="shared" ca="1" si="10"/>
        <v>0.2</v>
      </c>
      <c r="S225" s="264">
        <f t="shared" ca="1" si="10"/>
        <v>0.6</v>
      </c>
      <c r="T225" s="264" t="str">
        <f t="shared" ca="1" si="11"/>
        <v/>
      </c>
      <c r="U225" s="264">
        <f t="shared" ca="1" si="11"/>
        <v>0.6</v>
      </c>
      <c r="V225" s="264">
        <f t="shared" ca="1" si="11"/>
        <v>0.2</v>
      </c>
      <c r="W225" s="264">
        <f t="shared" ca="1" si="11"/>
        <v>0.2</v>
      </c>
      <c r="X225" s="264">
        <f t="shared" ca="1" si="11"/>
        <v>0.6</v>
      </c>
      <c r="Y225" s="264">
        <f t="shared" ca="1" si="11"/>
        <v>0.2</v>
      </c>
      <c r="Z225" s="264">
        <f t="shared" ca="1" si="11"/>
        <v>0.4</v>
      </c>
      <c r="AA225" s="264">
        <f t="shared" ca="1" si="11"/>
        <v>0.4</v>
      </c>
      <c r="AB225" s="264">
        <f t="shared" ca="1" si="11"/>
        <v>0.2</v>
      </c>
      <c r="AC225" s="264">
        <f t="shared" ca="1" si="11"/>
        <v>0</v>
      </c>
      <c r="AD225" s="264">
        <f t="shared" ca="1" si="11"/>
        <v>0.2</v>
      </c>
      <c r="AE225" s="264">
        <f t="shared" ca="1" si="11"/>
        <v>0.8</v>
      </c>
    </row>
    <row r="226" spans="1:31" x14ac:dyDescent="0.15">
      <c r="B226" s="222">
        <v>17</v>
      </c>
      <c r="C226" s="122" t="s">
        <v>269</v>
      </c>
      <c r="D226" s="264">
        <f t="shared" ca="1" si="10"/>
        <v>0.6</v>
      </c>
      <c r="E226" s="264">
        <f t="shared" ca="1" si="10"/>
        <v>0.6</v>
      </c>
      <c r="F226" s="264">
        <f t="shared" ca="1" si="10"/>
        <v>0.4</v>
      </c>
      <c r="G226" s="264">
        <f t="shared" ca="1" si="10"/>
        <v>0.4</v>
      </c>
      <c r="H226" s="264">
        <f t="shared" ca="1" si="10"/>
        <v>0.4</v>
      </c>
      <c r="I226" s="264">
        <f t="shared" ca="1" si="10"/>
        <v>0.2</v>
      </c>
      <c r="J226" s="264">
        <f t="shared" ca="1" si="10"/>
        <v>0.4</v>
      </c>
      <c r="K226" s="264">
        <f t="shared" ca="1" si="10"/>
        <v>0.6</v>
      </c>
      <c r="L226" s="264">
        <f t="shared" ca="1" si="10"/>
        <v>0.6</v>
      </c>
      <c r="M226" s="264">
        <f t="shared" ca="1" si="10"/>
        <v>0.8</v>
      </c>
      <c r="N226" s="264">
        <f t="shared" ca="1" si="10"/>
        <v>0</v>
      </c>
      <c r="O226" s="264">
        <f t="shared" ca="1" si="10"/>
        <v>0.6</v>
      </c>
      <c r="P226" s="264">
        <f t="shared" ca="1" si="10"/>
        <v>0.8</v>
      </c>
      <c r="Q226" s="264">
        <f t="shared" ca="1" si="10"/>
        <v>0.6</v>
      </c>
      <c r="R226" s="264">
        <f t="shared" ca="1" si="10"/>
        <v>0.4</v>
      </c>
      <c r="S226" s="264">
        <f t="shared" ca="1" si="10"/>
        <v>0.4</v>
      </c>
      <c r="T226" s="264">
        <f t="shared" ca="1" si="11"/>
        <v>0.6</v>
      </c>
      <c r="U226" s="264" t="str">
        <f t="shared" ca="1" si="11"/>
        <v/>
      </c>
      <c r="V226" s="264">
        <f t="shared" ca="1" si="11"/>
        <v>0.6</v>
      </c>
      <c r="W226" s="264">
        <f t="shared" ca="1" si="11"/>
        <v>0.2</v>
      </c>
      <c r="X226" s="264">
        <f t="shared" ca="1" si="11"/>
        <v>0.4</v>
      </c>
      <c r="Y226" s="264">
        <f t="shared" ca="1" si="11"/>
        <v>0.6</v>
      </c>
      <c r="Z226" s="264">
        <f t="shared" ca="1" si="11"/>
        <v>0.4</v>
      </c>
      <c r="AA226" s="264">
        <f t="shared" ca="1" si="11"/>
        <v>0.4</v>
      </c>
      <c r="AB226" s="264">
        <f t="shared" ca="1" si="11"/>
        <v>0.2</v>
      </c>
      <c r="AC226" s="264">
        <f t="shared" ca="1" si="11"/>
        <v>0.2</v>
      </c>
      <c r="AD226" s="264">
        <f t="shared" ca="1" si="11"/>
        <v>0.4</v>
      </c>
      <c r="AE226" s="264">
        <f t="shared" ca="1" si="11"/>
        <v>0.4</v>
      </c>
    </row>
    <row r="227" spans="1:31" x14ac:dyDescent="0.15">
      <c r="B227" s="222">
        <v>18</v>
      </c>
      <c r="C227" s="122" t="s">
        <v>270</v>
      </c>
      <c r="D227" s="264">
        <f t="shared" ca="1" si="10"/>
        <v>0.6</v>
      </c>
      <c r="E227" s="264">
        <f t="shared" ca="1" si="10"/>
        <v>0.2</v>
      </c>
      <c r="F227" s="264">
        <f t="shared" ca="1" si="10"/>
        <v>0</v>
      </c>
      <c r="G227" s="264">
        <f t="shared" ca="1" si="10"/>
        <v>0.4</v>
      </c>
      <c r="H227" s="264">
        <f t="shared" ca="1" si="10"/>
        <v>0.6</v>
      </c>
      <c r="I227" s="264">
        <f t="shared" ca="1" si="10"/>
        <v>0.2</v>
      </c>
      <c r="J227" s="264">
        <f t="shared" ca="1" si="10"/>
        <v>0</v>
      </c>
      <c r="K227" s="264">
        <f t="shared" ca="1" si="10"/>
        <v>0.2</v>
      </c>
      <c r="L227" s="264">
        <f t="shared" ca="1" si="10"/>
        <v>0.6</v>
      </c>
      <c r="M227" s="264">
        <f t="shared" ca="1" si="10"/>
        <v>0.4</v>
      </c>
      <c r="N227" s="264">
        <f t="shared" ca="1" si="10"/>
        <v>0.2</v>
      </c>
      <c r="O227" s="264">
        <f t="shared" ca="1" si="10"/>
        <v>0.2</v>
      </c>
      <c r="P227" s="264">
        <f t="shared" ca="1" si="10"/>
        <v>0.8</v>
      </c>
      <c r="Q227" s="264">
        <f t="shared" ca="1" si="10"/>
        <v>0.2</v>
      </c>
      <c r="R227" s="264">
        <f t="shared" ca="1" si="10"/>
        <v>0.6</v>
      </c>
      <c r="S227" s="264">
        <f t="shared" ca="1" si="10"/>
        <v>0.2</v>
      </c>
      <c r="T227" s="264">
        <f t="shared" ca="1" si="11"/>
        <v>0.2</v>
      </c>
      <c r="U227" s="264">
        <f t="shared" ca="1" si="11"/>
        <v>0.6</v>
      </c>
      <c r="V227" s="264" t="str">
        <f t="shared" ca="1" si="11"/>
        <v/>
      </c>
      <c r="W227" s="264">
        <f t="shared" ca="1" si="11"/>
        <v>0.6</v>
      </c>
      <c r="X227" s="264">
        <f t="shared" ca="1" si="11"/>
        <v>0</v>
      </c>
      <c r="Y227" s="264">
        <f t="shared" ca="1" si="11"/>
        <v>0.6</v>
      </c>
      <c r="Z227" s="264">
        <f t="shared" ca="1" si="11"/>
        <v>0.4</v>
      </c>
      <c r="AA227" s="264">
        <f t="shared" ca="1" si="11"/>
        <v>0.4</v>
      </c>
      <c r="AB227" s="264">
        <f t="shared" ca="1" si="11"/>
        <v>0.4</v>
      </c>
      <c r="AC227" s="264">
        <f t="shared" ca="1" si="11"/>
        <v>0.6</v>
      </c>
      <c r="AD227" s="264">
        <f t="shared" ca="1" si="11"/>
        <v>0.6</v>
      </c>
      <c r="AE227" s="264">
        <f t="shared" ca="1" si="11"/>
        <v>0.4</v>
      </c>
    </row>
    <row r="228" spans="1:31" x14ac:dyDescent="0.15">
      <c r="B228" s="222">
        <v>19</v>
      </c>
      <c r="C228" s="122" t="s">
        <v>271</v>
      </c>
      <c r="D228" s="264">
        <f t="shared" ca="1" si="10"/>
        <v>0.4</v>
      </c>
      <c r="E228" s="264">
        <f t="shared" ca="1" si="10"/>
        <v>0.2</v>
      </c>
      <c r="F228" s="264">
        <f t="shared" ca="1" si="10"/>
        <v>0.2</v>
      </c>
      <c r="G228" s="264">
        <f t="shared" ca="1" si="10"/>
        <v>0.6</v>
      </c>
      <c r="H228" s="264">
        <f t="shared" ca="1" si="10"/>
        <v>0.6</v>
      </c>
      <c r="I228" s="264">
        <f t="shared" ca="1" si="10"/>
        <v>0.4</v>
      </c>
      <c r="J228" s="264">
        <f t="shared" ca="1" si="10"/>
        <v>0.2</v>
      </c>
      <c r="K228" s="264">
        <f t="shared" ca="1" si="10"/>
        <v>0.2</v>
      </c>
      <c r="L228" s="264">
        <f t="shared" ca="1" si="10"/>
        <v>0.4</v>
      </c>
      <c r="M228" s="264">
        <f t="shared" ca="1" si="10"/>
        <v>0.4</v>
      </c>
      <c r="N228" s="264">
        <f t="shared" ca="1" si="10"/>
        <v>0.6</v>
      </c>
      <c r="O228" s="264">
        <f t="shared" ca="1" si="10"/>
        <v>0</v>
      </c>
      <c r="P228" s="264">
        <f t="shared" ca="1" si="10"/>
        <v>0.4</v>
      </c>
      <c r="Q228" s="264">
        <f t="shared" ca="1" si="10"/>
        <v>0.6</v>
      </c>
      <c r="R228" s="264">
        <f t="shared" ca="1" si="10"/>
        <v>0.4</v>
      </c>
      <c r="S228" s="264">
        <f t="shared" ca="1" si="10"/>
        <v>0</v>
      </c>
      <c r="T228" s="264">
        <f t="shared" ca="1" si="11"/>
        <v>0.2</v>
      </c>
      <c r="U228" s="264">
        <f t="shared" ca="1" si="11"/>
        <v>0.2</v>
      </c>
      <c r="V228" s="264">
        <f t="shared" ca="1" si="11"/>
        <v>0.6</v>
      </c>
      <c r="W228" s="264" t="str">
        <f t="shared" ca="1" si="11"/>
        <v/>
      </c>
      <c r="X228" s="264">
        <f t="shared" ca="1" si="11"/>
        <v>0.2</v>
      </c>
      <c r="Y228" s="264">
        <f t="shared" ca="1" si="11"/>
        <v>0.6</v>
      </c>
      <c r="Z228" s="264">
        <f t="shared" ca="1" si="11"/>
        <v>0.8</v>
      </c>
      <c r="AA228" s="264">
        <f t="shared" ca="1" si="11"/>
        <v>0.4</v>
      </c>
      <c r="AB228" s="264">
        <f t="shared" ca="1" si="11"/>
        <v>0.4</v>
      </c>
      <c r="AC228" s="264">
        <f t="shared" ca="1" si="11"/>
        <v>0.8</v>
      </c>
      <c r="AD228" s="264">
        <f t="shared" ca="1" si="11"/>
        <v>0.4</v>
      </c>
      <c r="AE228" s="264">
        <f t="shared" ca="1" si="11"/>
        <v>0.4</v>
      </c>
    </row>
    <row r="229" spans="1:31" x14ac:dyDescent="0.15">
      <c r="B229" s="222">
        <v>20</v>
      </c>
      <c r="C229" s="122" t="s">
        <v>272</v>
      </c>
      <c r="D229" s="264">
        <f t="shared" ca="1" si="10"/>
        <v>0.2</v>
      </c>
      <c r="E229" s="264">
        <f t="shared" ca="1" si="10"/>
        <v>0.6</v>
      </c>
      <c r="F229" s="264">
        <f t="shared" ca="1" si="10"/>
        <v>1</v>
      </c>
      <c r="G229" s="264">
        <f t="shared" ca="1" si="10"/>
        <v>0.6</v>
      </c>
      <c r="H229" s="264">
        <f t="shared" ca="1" si="10"/>
        <v>0</v>
      </c>
      <c r="I229" s="264">
        <f t="shared" ca="1" si="10"/>
        <v>0.4</v>
      </c>
      <c r="J229" s="264">
        <f t="shared" ca="1" si="10"/>
        <v>1</v>
      </c>
      <c r="K229" s="264">
        <f t="shared" ca="1" si="10"/>
        <v>0.8</v>
      </c>
      <c r="L229" s="264">
        <f t="shared" ca="1" si="10"/>
        <v>0.4</v>
      </c>
      <c r="M229" s="264">
        <f t="shared" ca="1" si="10"/>
        <v>0.4</v>
      </c>
      <c r="N229" s="264">
        <f t="shared" ca="1" si="10"/>
        <v>0.4</v>
      </c>
      <c r="O229" s="264">
        <f t="shared" ca="1" si="10"/>
        <v>0.8</v>
      </c>
      <c r="P229" s="264">
        <f t="shared" ca="1" si="10"/>
        <v>0.2</v>
      </c>
      <c r="Q229" s="264">
        <f t="shared" ca="1" si="10"/>
        <v>0.6</v>
      </c>
      <c r="R229" s="264">
        <f t="shared" ca="1" si="10"/>
        <v>0.2</v>
      </c>
      <c r="S229" s="264">
        <f t="shared" ca="1" si="10"/>
        <v>0.6</v>
      </c>
      <c r="T229" s="264">
        <f t="shared" ca="1" si="11"/>
        <v>0.6</v>
      </c>
      <c r="U229" s="264">
        <f t="shared" ca="1" si="11"/>
        <v>0.4</v>
      </c>
      <c r="V229" s="264">
        <f t="shared" ca="1" si="11"/>
        <v>0</v>
      </c>
      <c r="W229" s="264">
        <f t="shared" ca="1" si="11"/>
        <v>0.2</v>
      </c>
      <c r="X229" s="264" t="str">
        <f t="shared" ca="1" si="11"/>
        <v/>
      </c>
      <c r="Y229" s="264">
        <f t="shared" ca="1" si="11"/>
        <v>0.4</v>
      </c>
      <c r="Z229" s="264">
        <f t="shared" ca="1" si="11"/>
        <v>0.4</v>
      </c>
      <c r="AA229" s="264">
        <f t="shared" ca="1" si="11"/>
        <v>0.6</v>
      </c>
      <c r="AB229" s="264">
        <f t="shared" ca="1" si="11"/>
        <v>0.4</v>
      </c>
      <c r="AC229" s="264">
        <f t="shared" ca="1" si="11"/>
        <v>0.4</v>
      </c>
      <c r="AD229" s="264">
        <f t="shared" ca="1" si="11"/>
        <v>0.2</v>
      </c>
      <c r="AE229" s="264">
        <f t="shared" ca="1" si="11"/>
        <v>0.4</v>
      </c>
    </row>
    <row r="230" spans="1:31" x14ac:dyDescent="0.15">
      <c r="B230" s="222">
        <v>21</v>
      </c>
      <c r="C230" s="122" t="s">
        <v>273</v>
      </c>
      <c r="D230" s="264">
        <f t="shared" ca="1" si="10"/>
        <v>0.4</v>
      </c>
      <c r="E230" s="264">
        <f t="shared" ca="1" si="10"/>
        <v>0.2</v>
      </c>
      <c r="F230" s="264">
        <f t="shared" ca="1" si="10"/>
        <v>0.4</v>
      </c>
      <c r="G230" s="264">
        <f t="shared" ca="1" si="10"/>
        <v>0.4</v>
      </c>
      <c r="H230" s="264">
        <f t="shared" ca="1" si="10"/>
        <v>0.4</v>
      </c>
      <c r="I230" s="264">
        <f t="shared" ca="1" si="10"/>
        <v>0</v>
      </c>
      <c r="J230" s="264">
        <f t="shared" ca="1" si="10"/>
        <v>0.4</v>
      </c>
      <c r="K230" s="264">
        <f t="shared" ca="1" si="10"/>
        <v>0.6</v>
      </c>
      <c r="L230" s="264">
        <f t="shared" ca="1" si="10"/>
        <v>0.2</v>
      </c>
      <c r="M230" s="264">
        <f t="shared" ca="1" si="10"/>
        <v>0.4</v>
      </c>
      <c r="N230" s="264">
        <f t="shared" ca="1" si="10"/>
        <v>0.4</v>
      </c>
      <c r="O230" s="264">
        <f t="shared" ca="1" si="10"/>
        <v>0.2</v>
      </c>
      <c r="P230" s="264">
        <f t="shared" ca="1" si="10"/>
        <v>0.4</v>
      </c>
      <c r="Q230" s="264">
        <f t="shared" ca="1" si="10"/>
        <v>0.6</v>
      </c>
      <c r="R230" s="264">
        <f t="shared" ca="1" si="10"/>
        <v>0.4</v>
      </c>
      <c r="S230" s="264">
        <f t="shared" ca="1" si="10"/>
        <v>0.2</v>
      </c>
      <c r="T230" s="264">
        <f t="shared" ca="1" si="11"/>
        <v>0.2</v>
      </c>
      <c r="U230" s="264">
        <f t="shared" ca="1" si="11"/>
        <v>0.6</v>
      </c>
      <c r="V230" s="264">
        <f t="shared" ca="1" si="11"/>
        <v>0.6</v>
      </c>
      <c r="W230" s="264">
        <f t="shared" ca="1" si="11"/>
        <v>0.6</v>
      </c>
      <c r="X230" s="264">
        <f t="shared" ca="1" si="11"/>
        <v>0.4</v>
      </c>
      <c r="Y230" s="264" t="str">
        <f t="shared" ca="1" si="11"/>
        <v/>
      </c>
      <c r="Z230" s="264">
        <f t="shared" ca="1" si="11"/>
        <v>0.4</v>
      </c>
      <c r="AA230" s="264">
        <f t="shared" ca="1" si="11"/>
        <v>0.4</v>
      </c>
      <c r="AB230" s="264">
        <f t="shared" ca="1" si="11"/>
        <v>0.6</v>
      </c>
      <c r="AC230" s="264">
        <f t="shared" ca="1" si="11"/>
        <v>0.6</v>
      </c>
      <c r="AD230" s="264">
        <f t="shared" ca="1" si="11"/>
        <v>0.4</v>
      </c>
      <c r="AE230" s="264">
        <f t="shared" ca="1" si="11"/>
        <v>0</v>
      </c>
    </row>
    <row r="231" spans="1:31" x14ac:dyDescent="0.15">
      <c r="B231" s="222">
        <v>22</v>
      </c>
      <c r="C231" s="122" t="s">
        <v>274</v>
      </c>
      <c r="D231" s="264">
        <f t="shared" ca="1" si="10"/>
        <v>0.6</v>
      </c>
      <c r="E231" s="264">
        <f t="shared" ca="1" si="10"/>
        <v>0.4</v>
      </c>
      <c r="F231" s="264">
        <f t="shared" ca="1" si="10"/>
        <v>0.4</v>
      </c>
      <c r="G231" s="264">
        <f t="shared" ca="1" si="10"/>
        <v>0.8</v>
      </c>
      <c r="H231" s="264">
        <f t="shared" ca="1" si="10"/>
        <v>0.4</v>
      </c>
      <c r="I231" s="264">
        <f t="shared" ca="1" si="10"/>
        <v>0.6</v>
      </c>
      <c r="J231" s="264">
        <f t="shared" ca="1" si="10"/>
        <v>0.4</v>
      </c>
      <c r="K231" s="264">
        <f t="shared" ca="1" si="10"/>
        <v>0.4</v>
      </c>
      <c r="L231" s="264">
        <f t="shared" ca="1" si="10"/>
        <v>0.6</v>
      </c>
      <c r="M231" s="264">
        <f t="shared" ca="1" si="10"/>
        <v>0.6</v>
      </c>
      <c r="N231" s="264">
        <f t="shared" ca="1" si="10"/>
        <v>0.4</v>
      </c>
      <c r="O231" s="264">
        <f t="shared" ca="1" si="10"/>
        <v>0.2</v>
      </c>
      <c r="P231" s="264">
        <f t="shared" ca="1" si="10"/>
        <v>0.6</v>
      </c>
      <c r="Q231" s="264">
        <f t="shared" ca="1" si="10"/>
        <v>0.8</v>
      </c>
      <c r="R231" s="264">
        <f t="shared" ca="1" si="10"/>
        <v>0.2</v>
      </c>
      <c r="S231" s="264">
        <f t="shared" ca="1" si="10"/>
        <v>0</v>
      </c>
      <c r="T231" s="264">
        <f t="shared" ca="1" si="11"/>
        <v>0.4</v>
      </c>
      <c r="U231" s="264">
        <f t="shared" ca="1" si="11"/>
        <v>0.4</v>
      </c>
      <c r="V231" s="264">
        <f t="shared" ca="1" si="11"/>
        <v>0.4</v>
      </c>
      <c r="W231" s="264">
        <f t="shared" ca="1" si="11"/>
        <v>0.8</v>
      </c>
      <c r="X231" s="264">
        <f t="shared" ca="1" si="11"/>
        <v>0.4</v>
      </c>
      <c r="Y231" s="264">
        <f t="shared" ca="1" si="11"/>
        <v>0.4</v>
      </c>
      <c r="Z231" s="264" t="str">
        <f t="shared" ca="1" si="11"/>
        <v/>
      </c>
      <c r="AA231" s="264">
        <f t="shared" ca="1" si="11"/>
        <v>0.6</v>
      </c>
      <c r="AB231" s="264">
        <f t="shared" ca="1" si="11"/>
        <v>0.2</v>
      </c>
      <c r="AC231" s="264">
        <f t="shared" ca="1" si="11"/>
        <v>0.6</v>
      </c>
      <c r="AD231" s="264">
        <f t="shared" ca="1" si="11"/>
        <v>0.2</v>
      </c>
      <c r="AE231" s="264">
        <f t="shared" ca="1" si="11"/>
        <v>0.6</v>
      </c>
    </row>
    <row r="232" spans="1:31" x14ac:dyDescent="0.15">
      <c r="B232" s="222">
        <v>23</v>
      </c>
      <c r="C232" s="122" t="s">
        <v>275</v>
      </c>
      <c r="D232" s="264">
        <f t="shared" ca="1" si="10"/>
        <v>0.6</v>
      </c>
      <c r="E232" s="264">
        <f t="shared" ca="1" si="10"/>
        <v>0.4</v>
      </c>
      <c r="F232" s="264">
        <f t="shared" ca="1" si="10"/>
        <v>0.6</v>
      </c>
      <c r="G232" s="264">
        <f t="shared" ca="1" si="10"/>
        <v>0.6</v>
      </c>
      <c r="H232" s="264">
        <f t="shared" ca="1" si="10"/>
        <v>0</v>
      </c>
      <c r="I232" s="264">
        <f t="shared" ca="1" si="10"/>
        <v>0.6</v>
      </c>
      <c r="J232" s="264">
        <f t="shared" ca="1" si="10"/>
        <v>0.6</v>
      </c>
      <c r="K232" s="264">
        <f t="shared" ca="1" si="10"/>
        <v>0.8</v>
      </c>
      <c r="L232" s="264">
        <f t="shared" ca="1" si="10"/>
        <v>0.4</v>
      </c>
      <c r="M232" s="264">
        <f t="shared" ca="1" si="10"/>
        <v>0.2</v>
      </c>
      <c r="N232" s="264">
        <f t="shared" ca="1" si="10"/>
        <v>0.4</v>
      </c>
      <c r="O232" s="264">
        <f t="shared" ca="1" si="10"/>
        <v>0.4</v>
      </c>
      <c r="P232" s="264">
        <f t="shared" ca="1" si="10"/>
        <v>0.6</v>
      </c>
      <c r="Q232" s="264">
        <f t="shared" ca="1" si="10"/>
        <v>0.4</v>
      </c>
      <c r="R232" s="264">
        <f t="shared" ca="1" si="10"/>
        <v>0</v>
      </c>
      <c r="S232" s="264">
        <f t="shared" ca="1" si="10"/>
        <v>0.2</v>
      </c>
      <c r="T232" s="264">
        <f t="shared" ca="1" si="11"/>
        <v>0.4</v>
      </c>
      <c r="U232" s="264">
        <f t="shared" ca="1" si="11"/>
        <v>0.4</v>
      </c>
      <c r="V232" s="264">
        <f t="shared" ca="1" si="11"/>
        <v>0.4</v>
      </c>
      <c r="W232" s="264">
        <f t="shared" ca="1" si="11"/>
        <v>0.4</v>
      </c>
      <c r="X232" s="264">
        <f t="shared" ca="1" si="11"/>
        <v>0.6</v>
      </c>
      <c r="Y232" s="264">
        <f t="shared" ca="1" si="11"/>
        <v>0.4</v>
      </c>
      <c r="Z232" s="264">
        <f t="shared" ca="1" si="11"/>
        <v>0.6</v>
      </c>
      <c r="AA232" s="264" t="str">
        <f t="shared" ca="1" si="11"/>
        <v/>
      </c>
      <c r="AB232" s="264">
        <f t="shared" ca="1" si="11"/>
        <v>0.6</v>
      </c>
      <c r="AC232" s="264">
        <f t="shared" ca="1" si="11"/>
        <v>0.4</v>
      </c>
      <c r="AD232" s="264">
        <f t="shared" ca="1" si="11"/>
        <v>0</v>
      </c>
      <c r="AE232" s="264">
        <f t="shared" ca="1" si="11"/>
        <v>0.6</v>
      </c>
    </row>
    <row r="233" spans="1:31" x14ac:dyDescent="0.15">
      <c r="B233" s="222">
        <v>24</v>
      </c>
      <c r="C233" s="122" t="s">
        <v>276</v>
      </c>
      <c r="D233" s="264">
        <f t="shared" ca="1" si="10"/>
        <v>0.2</v>
      </c>
      <c r="E233" s="264">
        <f t="shared" ca="1" si="10"/>
        <v>0.2</v>
      </c>
      <c r="F233" s="264">
        <f t="shared" ca="1" si="10"/>
        <v>0.4</v>
      </c>
      <c r="G233" s="264">
        <f t="shared" ca="1" si="10"/>
        <v>0.2</v>
      </c>
      <c r="H233" s="264">
        <f t="shared" ca="1" si="10"/>
        <v>0.4</v>
      </c>
      <c r="I233" s="264">
        <f t="shared" ca="1" si="10"/>
        <v>0.2</v>
      </c>
      <c r="J233" s="264">
        <f t="shared" ca="1" si="10"/>
        <v>0.4</v>
      </c>
      <c r="K233" s="264">
        <f t="shared" ca="1" si="10"/>
        <v>0.6</v>
      </c>
      <c r="L233" s="264">
        <f t="shared" ca="1" si="10"/>
        <v>0</v>
      </c>
      <c r="M233" s="264">
        <f t="shared" ca="1" si="10"/>
        <v>0</v>
      </c>
      <c r="N233" s="264">
        <f t="shared" ca="1" si="10"/>
        <v>0.8</v>
      </c>
      <c r="O233" s="264">
        <f t="shared" ca="1" si="10"/>
        <v>0.2</v>
      </c>
      <c r="P233" s="264">
        <f t="shared" ca="1" si="10"/>
        <v>0.2</v>
      </c>
      <c r="Q233" s="264">
        <f t="shared" ca="1" si="10"/>
        <v>0.2</v>
      </c>
      <c r="R233" s="264">
        <f t="shared" ca="1" si="10"/>
        <v>0.4</v>
      </c>
      <c r="S233" s="264">
        <f t="shared" ca="1" si="10"/>
        <v>0.2</v>
      </c>
      <c r="T233" s="264">
        <f t="shared" ca="1" si="11"/>
        <v>0.2</v>
      </c>
      <c r="U233" s="264">
        <f t="shared" ca="1" si="11"/>
        <v>0.2</v>
      </c>
      <c r="V233" s="264">
        <f t="shared" ca="1" si="11"/>
        <v>0.4</v>
      </c>
      <c r="W233" s="264">
        <f t="shared" ca="1" si="11"/>
        <v>0.4</v>
      </c>
      <c r="X233" s="264">
        <f t="shared" ca="1" si="11"/>
        <v>0.4</v>
      </c>
      <c r="Y233" s="264">
        <f t="shared" ca="1" si="11"/>
        <v>0.6</v>
      </c>
      <c r="Z233" s="264">
        <f t="shared" ca="1" si="11"/>
        <v>0.2</v>
      </c>
      <c r="AA233" s="264">
        <f t="shared" ca="1" si="11"/>
        <v>0.6</v>
      </c>
      <c r="AB233" s="264" t="str">
        <f t="shared" ca="1" si="11"/>
        <v/>
      </c>
      <c r="AC233" s="264">
        <f t="shared" ca="1" si="11"/>
        <v>0.4</v>
      </c>
      <c r="AD233" s="264">
        <f t="shared" ca="1" si="11"/>
        <v>0.4</v>
      </c>
      <c r="AE233" s="264">
        <f t="shared" ca="1" si="11"/>
        <v>0.2</v>
      </c>
    </row>
    <row r="234" spans="1:31" x14ac:dyDescent="0.15">
      <c r="B234" s="222">
        <v>25</v>
      </c>
      <c r="C234" s="122" t="s">
        <v>277</v>
      </c>
      <c r="D234" s="264">
        <f t="shared" ca="1" si="10"/>
        <v>0.4</v>
      </c>
      <c r="E234" s="264">
        <f t="shared" ca="1" si="10"/>
        <v>0</v>
      </c>
      <c r="F234" s="264">
        <f t="shared" ca="1" si="10"/>
        <v>0.4</v>
      </c>
      <c r="G234" s="264">
        <f t="shared" ca="1" si="10"/>
        <v>0.8</v>
      </c>
      <c r="H234" s="264">
        <f t="shared" ca="1" si="10"/>
        <v>0.4</v>
      </c>
      <c r="I234" s="264">
        <f t="shared" ca="1" si="10"/>
        <v>0.2</v>
      </c>
      <c r="J234" s="264">
        <f t="shared" ref="J234:Y236" ca="1" si="12">IF($B234=J$207,"", SSRMatchedRatio(OFFSET($L$98:$P$98,$B234,0),OFFSET($L$98:$P$98,J$207,0)))</f>
        <v>0.4</v>
      </c>
      <c r="K234" s="264">
        <f t="shared" ca="1" si="12"/>
        <v>0.2</v>
      </c>
      <c r="L234" s="264">
        <f t="shared" ca="1" si="12"/>
        <v>0.6</v>
      </c>
      <c r="M234" s="264">
        <f t="shared" ca="1" si="12"/>
        <v>0.2</v>
      </c>
      <c r="N234" s="264">
        <f t="shared" ca="1" si="12"/>
        <v>0.4</v>
      </c>
      <c r="O234" s="264">
        <f t="shared" ca="1" si="12"/>
        <v>0.2</v>
      </c>
      <c r="P234" s="264">
        <f t="shared" ca="1" si="12"/>
        <v>0.4</v>
      </c>
      <c r="Q234" s="264">
        <f t="shared" ca="1" si="12"/>
        <v>0.4</v>
      </c>
      <c r="R234" s="264">
        <f t="shared" ca="1" si="12"/>
        <v>0.6</v>
      </c>
      <c r="S234" s="264">
        <f t="shared" ca="1" si="12"/>
        <v>0.2</v>
      </c>
      <c r="T234" s="264">
        <f t="shared" ca="1" si="12"/>
        <v>0</v>
      </c>
      <c r="U234" s="264">
        <f t="shared" ca="1" si="12"/>
        <v>0.2</v>
      </c>
      <c r="V234" s="264">
        <f t="shared" ca="1" si="12"/>
        <v>0.6</v>
      </c>
      <c r="W234" s="264">
        <f t="shared" ca="1" si="12"/>
        <v>0.8</v>
      </c>
      <c r="X234" s="264">
        <f t="shared" ca="1" si="12"/>
        <v>0.4</v>
      </c>
      <c r="Y234" s="264">
        <f t="shared" ca="1" si="12"/>
        <v>0.6</v>
      </c>
      <c r="Z234" s="264">
        <f t="shared" ca="1" si="11"/>
        <v>0.6</v>
      </c>
      <c r="AA234" s="264">
        <f t="shared" ca="1" si="11"/>
        <v>0.4</v>
      </c>
      <c r="AB234" s="264">
        <f t="shared" ca="1" si="11"/>
        <v>0.4</v>
      </c>
      <c r="AC234" s="264" t="str">
        <f t="shared" ca="1" si="11"/>
        <v/>
      </c>
      <c r="AD234" s="264">
        <f t="shared" ca="1" si="11"/>
        <v>0.6</v>
      </c>
      <c r="AE234" s="264">
        <f t="shared" ca="1" si="11"/>
        <v>0.2</v>
      </c>
    </row>
    <row r="235" spans="1:31" x14ac:dyDescent="0.15">
      <c r="B235" s="222">
        <v>26</v>
      </c>
      <c r="C235" s="122" t="s">
        <v>278</v>
      </c>
      <c r="D235" s="264">
        <f t="shared" ref="D235:S236" ca="1" si="13">IF($B235=D$207,"", SSRMatchedRatio(OFFSET($L$98:$P$98,$B235,0),OFFSET($L$98:$P$98,D$207,0)))</f>
        <v>0.2</v>
      </c>
      <c r="E235" s="264">
        <f t="shared" ca="1" si="13"/>
        <v>0.2</v>
      </c>
      <c r="F235" s="264">
        <f t="shared" ca="1" si="13"/>
        <v>0.2</v>
      </c>
      <c r="G235" s="264">
        <f t="shared" ca="1" si="13"/>
        <v>0.4</v>
      </c>
      <c r="H235" s="264">
        <f t="shared" ca="1" si="13"/>
        <v>0.8</v>
      </c>
      <c r="I235" s="264">
        <f t="shared" ca="1" si="13"/>
        <v>0</v>
      </c>
      <c r="J235" s="264">
        <f t="shared" ca="1" si="13"/>
        <v>0.2</v>
      </c>
      <c r="K235" s="264">
        <f t="shared" ca="1" si="13"/>
        <v>0</v>
      </c>
      <c r="L235" s="264">
        <f t="shared" ca="1" si="13"/>
        <v>0.6</v>
      </c>
      <c r="M235" s="264">
        <f t="shared" ca="1" si="13"/>
        <v>0.4</v>
      </c>
      <c r="N235" s="264">
        <f t="shared" ca="1" si="13"/>
        <v>0.4</v>
      </c>
      <c r="O235" s="264">
        <f t="shared" ca="1" si="13"/>
        <v>0.4</v>
      </c>
      <c r="P235" s="264">
        <f t="shared" ca="1" si="13"/>
        <v>0.4</v>
      </c>
      <c r="Q235" s="264">
        <f t="shared" ca="1" si="13"/>
        <v>0.2</v>
      </c>
      <c r="R235" s="264">
        <f t="shared" ca="1" si="13"/>
        <v>1</v>
      </c>
      <c r="S235" s="264">
        <f t="shared" ca="1" si="13"/>
        <v>0.4</v>
      </c>
      <c r="T235" s="264">
        <f t="shared" ca="1" si="12"/>
        <v>0.2</v>
      </c>
      <c r="U235" s="264">
        <f t="shared" ca="1" si="12"/>
        <v>0.4</v>
      </c>
      <c r="V235" s="264">
        <f t="shared" ca="1" si="12"/>
        <v>0.6</v>
      </c>
      <c r="W235" s="264">
        <f t="shared" ca="1" si="12"/>
        <v>0.4</v>
      </c>
      <c r="X235" s="264">
        <f t="shared" ca="1" si="12"/>
        <v>0.2</v>
      </c>
      <c r="Y235" s="264">
        <f t="shared" ca="1" si="12"/>
        <v>0.4</v>
      </c>
      <c r="Z235" s="264">
        <f t="shared" ca="1" si="11"/>
        <v>0.2</v>
      </c>
      <c r="AA235" s="264">
        <f t="shared" ca="1" si="11"/>
        <v>0</v>
      </c>
      <c r="AB235" s="264">
        <f t="shared" ca="1" si="11"/>
        <v>0.4</v>
      </c>
      <c r="AC235" s="264">
        <f t="shared" ca="1" si="11"/>
        <v>0.6</v>
      </c>
      <c r="AD235" s="264" t="str">
        <f t="shared" ca="1" si="11"/>
        <v/>
      </c>
      <c r="AE235" s="264">
        <f t="shared" ca="1" si="11"/>
        <v>0.2</v>
      </c>
    </row>
    <row r="236" spans="1:31" x14ac:dyDescent="0.15">
      <c r="B236" s="265">
        <v>27</v>
      </c>
      <c r="C236" s="123" t="s">
        <v>279</v>
      </c>
      <c r="D236" s="267">
        <f t="shared" ca="1" si="13"/>
        <v>0.4</v>
      </c>
      <c r="E236" s="267">
        <f t="shared" ca="1" si="13"/>
        <v>0.8</v>
      </c>
      <c r="F236" s="267">
        <f t="shared" ca="1" si="13"/>
        <v>0.4</v>
      </c>
      <c r="G236" s="267">
        <f t="shared" ca="1" si="13"/>
        <v>0.4</v>
      </c>
      <c r="H236" s="267">
        <f t="shared" ca="1" si="13"/>
        <v>0.4</v>
      </c>
      <c r="I236" s="267">
        <f t="shared" ca="1" si="13"/>
        <v>0.8</v>
      </c>
      <c r="J236" s="267">
        <f t="shared" ca="1" si="13"/>
        <v>0.4</v>
      </c>
      <c r="K236" s="267">
        <f t="shared" ca="1" si="13"/>
        <v>0.4</v>
      </c>
      <c r="L236" s="267">
        <f t="shared" ca="1" si="13"/>
        <v>0.6</v>
      </c>
      <c r="M236" s="267">
        <f t="shared" ca="1" si="13"/>
        <v>0.6</v>
      </c>
      <c r="N236" s="267">
        <f t="shared" ca="1" si="13"/>
        <v>0.4</v>
      </c>
      <c r="O236" s="267">
        <f t="shared" ca="1" si="13"/>
        <v>0.6</v>
      </c>
      <c r="P236" s="267">
        <f t="shared" ca="1" si="13"/>
        <v>0.6</v>
      </c>
      <c r="Q236" s="267">
        <f t="shared" ca="1" si="13"/>
        <v>0.4</v>
      </c>
      <c r="R236" s="267">
        <f t="shared" ca="1" si="13"/>
        <v>0.2</v>
      </c>
      <c r="S236" s="267">
        <f t="shared" ca="1" si="13"/>
        <v>0.4</v>
      </c>
      <c r="T236" s="267">
        <f t="shared" ca="1" si="12"/>
        <v>0.8</v>
      </c>
      <c r="U236" s="267">
        <f t="shared" ca="1" si="12"/>
        <v>0.4</v>
      </c>
      <c r="V236" s="267">
        <f t="shared" ca="1" si="12"/>
        <v>0.4</v>
      </c>
      <c r="W236" s="267">
        <f t="shared" ca="1" si="12"/>
        <v>0.4</v>
      </c>
      <c r="X236" s="267">
        <f t="shared" ca="1" si="12"/>
        <v>0.4</v>
      </c>
      <c r="Y236" s="267">
        <f t="shared" ca="1" si="12"/>
        <v>0</v>
      </c>
      <c r="Z236" s="267">
        <f t="shared" ca="1" si="11"/>
        <v>0.6</v>
      </c>
      <c r="AA236" s="267">
        <f t="shared" ca="1" si="11"/>
        <v>0.6</v>
      </c>
      <c r="AB236" s="267">
        <f t="shared" ca="1" si="11"/>
        <v>0.2</v>
      </c>
      <c r="AC236" s="267">
        <f t="shared" ca="1" si="11"/>
        <v>0.2</v>
      </c>
      <c r="AD236" s="267">
        <f t="shared" ca="1" si="11"/>
        <v>0.2</v>
      </c>
      <c r="AE236" s="267" t="str">
        <f t="shared" ca="1" si="11"/>
        <v/>
      </c>
    </row>
    <row r="239" spans="1:31" x14ac:dyDescent="0.15">
      <c r="A239" s="268"/>
      <c r="B239" s="268" t="s">
        <v>1638</v>
      </c>
      <c r="C239" s="269"/>
      <c r="D239" s="269"/>
      <c r="E239" s="269"/>
      <c r="F239" s="269"/>
      <c r="G239" s="270"/>
      <c r="H239" s="269"/>
      <c r="I239" s="269"/>
      <c r="J239" s="270"/>
      <c r="K239" s="269"/>
      <c r="L239" s="269"/>
      <c r="M239" s="269"/>
      <c r="N239" s="269"/>
      <c r="O239" s="269"/>
      <c r="P239" s="269"/>
      <c r="Q239" s="269"/>
    </row>
    <row r="240" spans="1:31" x14ac:dyDescent="0.15">
      <c r="A240" s="101"/>
      <c r="B240" s="53"/>
      <c r="C240" s="278" t="s">
        <v>1614</v>
      </c>
      <c r="D240" s="271" t="s">
        <v>1286</v>
      </c>
      <c r="E240" s="53"/>
      <c r="F240" s="53"/>
      <c r="G240" s="85"/>
      <c r="H240" s="53"/>
      <c r="I240" s="53"/>
      <c r="J240" s="85"/>
      <c r="K240" s="53"/>
      <c r="L240" s="53"/>
      <c r="M240" s="53"/>
      <c r="N240" s="53"/>
      <c r="O240" s="53"/>
      <c r="P240" s="53"/>
      <c r="Q240" s="53"/>
      <c r="R240" s="53"/>
      <c r="S240" s="53"/>
      <c r="T240" s="53"/>
      <c r="U240" s="53"/>
      <c r="V240" s="53"/>
      <c r="W240" s="53"/>
      <c r="X240" s="53"/>
      <c r="Y240" s="53"/>
    </row>
    <row r="241" spans="2:31" x14ac:dyDescent="0.15">
      <c r="C241" s="277" t="s">
        <v>1615</v>
      </c>
      <c r="D241" s="266">
        <v>0.99</v>
      </c>
    </row>
    <row r="242" spans="2:31" x14ac:dyDescent="0.15">
      <c r="C242" s="277" t="s">
        <v>1640</v>
      </c>
      <c r="D242" s="281" t="s">
        <v>1645</v>
      </c>
    </row>
    <row r="243" spans="2:31" x14ac:dyDescent="0.15">
      <c r="C243" s="16"/>
      <c r="D243" s="281" t="s">
        <v>1643</v>
      </c>
    </row>
    <row r="244" spans="2:31" x14ac:dyDescent="0.15">
      <c r="C244" s="16"/>
      <c r="D244" s="281" t="s">
        <v>1644</v>
      </c>
    </row>
    <row r="246" spans="2:31" x14ac:dyDescent="0.15">
      <c r="B246" s="265" t="s">
        <v>1613</v>
      </c>
      <c r="C246" s="265"/>
      <c r="D246" s="265">
        <v>0</v>
      </c>
      <c r="E246" s="265">
        <v>1</v>
      </c>
      <c r="F246" s="265">
        <v>2</v>
      </c>
      <c r="G246" s="265">
        <v>3</v>
      </c>
      <c r="H246" s="265">
        <v>4</v>
      </c>
      <c r="I246" s="265">
        <v>5</v>
      </c>
      <c r="J246" s="265">
        <v>6</v>
      </c>
      <c r="K246" s="265">
        <v>7</v>
      </c>
      <c r="L246" s="265">
        <v>8</v>
      </c>
      <c r="M246" s="265">
        <v>9</v>
      </c>
      <c r="N246" s="265">
        <v>10</v>
      </c>
      <c r="O246" s="265">
        <v>11</v>
      </c>
      <c r="P246" s="265">
        <v>12</v>
      </c>
      <c r="Q246" s="265">
        <v>13</v>
      </c>
      <c r="R246" s="265">
        <v>14</v>
      </c>
      <c r="S246" s="265">
        <v>15</v>
      </c>
      <c r="T246" s="265">
        <v>16</v>
      </c>
      <c r="U246" s="265">
        <v>17</v>
      </c>
      <c r="V246" s="265">
        <v>18</v>
      </c>
      <c r="W246" s="265">
        <v>19</v>
      </c>
      <c r="X246" s="265">
        <v>20</v>
      </c>
      <c r="Y246" s="265">
        <v>21</v>
      </c>
      <c r="Z246" s="265">
        <v>22</v>
      </c>
      <c r="AA246" s="265">
        <v>23</v>
      </c>
      <c r="AB246" s="265">
        <v>24</v>
      </c>
      <c r="AC246" s="265">
        <v>25</v>
      </c>
      <c r="AD246" s="265">
        <v>26</v>
      </c>
      <c r="AE246" s="265">
        <v>27</v>
      </c>
    </row>
    <row r="247" spans="2:31" ht="68.25" customHeight="1" x14ac:dyDescent="0.15">
      <c r="B247" s="272"/>
      <c r="C247" s="62"/>
      <c r="D247" s="263" t="s">
        <v>191</v>
      </c>
      <c r="E247" s="263" t="s">
        <v>192</v>
      </c>
      <c r="F247" s="263" t="s">
        <v>193</v>
      </c>
      <c r="G247" s="263" t="s">
        <v>194</v>
      </c>
      <c r="H247" s="263" t="s">
        <v>195</v>
      </c>
      <c r="I247" s="263" t="s">
        <v>196</v>
      </c>
      <c r="J247" s="263" t="s">
        <v>197</v>
      </c>
      <c r="K247" s="263" t="s">
        <v>198</v>
      </c>
      <c r="L247" s="263" t="s">
        <v>199</v>
      </c>
      <c r="M247" s="263" t="s">
        <v>200</v>
      </c>
      <c r="N247" s="263" t="s">
        <v>201</v>
      </c>
      <c r="O247" s="263" t="s">
        <v>202</v>
      </c>
      <c r="P247" s="263" t="s">
        <v>264</v>
      </c>
      <c r="Q247" s="263" t="s">
        <v>265</v>
      </c>
      <c r="R247" s="263" t="s">
        <v>266</v>
      </c>
      <c r="S247" s="263" t="s">
        <v>267</v>
      </c>
      <c r="T247" s="263" t="s">
        <v>268</v>
      </c>
      <c r="U247" s="263" t="s">
        <v>269</v>
      </c>
      <c r="V247" s="263" t="s">
        <v>270</v>
      </c>
      <c r="W247" s="263" t="s">
        <v>271</v>
      </c>
      <c r="X247" s="263" t="s">
        <v>272</v>
      </c>
      <c r="Y247" s="263" t="s">
        <v>273</v>
      </c>
      <c r="Z247" s="263" t="s">
        <v>274</v>
      </c>
      <c r="AA247" s="263" t="s">
        <v>275</v>
      </c>
      <c r="AB247" s="263" t="s">
        <v>276</v>
      </c>
      <c r="AC247" s="263" t="s">
        <v>277</v>
      </c>
      <c r="AD247" s="263" t="s">
        <v>278</v>
      </c>
      <c r="AE247" s="263" t="s">
        <v>279</v>
      </c>
    </row>
    <row r="248" spans="2:31" x14ac:dyDescent="0.15">
      <c r="B248" s="222">
        <v>0</v>
      </c>
      <c r="C248" s="122" t="s">
        <v>191</v>
      </c>
      <c r="D248" s="264" t="str">
        <f ca="1">IF($B248=D$246,"", SSRSharedRatio(OFFSET($D$98:$H$98,$B248,0),OFFSET($D$98:$H$98,D$246,0)))</f>
        <v/>
      </c>
      <c r="E248" s="264">
        <f t="shared" ref="E248:AE257" ca="1" si="14">IF($B248=E$246,"", SSRSharedRatio(OFFSET($D$98:$H$98,$B248,0),OFFSET($D$98:$H$98,E$246,0)))</f>
        <v>0.6</v>
      </c>
      <c r="F248" s="264">
        <f t="shared" ca="1" si="14"/>
        <v>0.8</v>
      </c>
      <c r="G248" s="264">
        <f t="shared" ca="1" si="14"/>
        <v>0.2</v>
      </c>
      <c r="H248" s="264">
        <f t="shared" ca="1" si="14"/>
        <v>0.6</v>
      </c>
      <c r="I248" s="264">
        <f t="shared" ca="1" si="14"/>
        <v>1</v>
      </c>
      <c r="J248" s="264">
        <f t="shared" ca="1" si="14"/>
        <v>0</v>
      </c>
      <c r="K248" s="264">
        <f t="shared" ca="1" si="14"/>
        <v>0.8</v>
      </c>
      <c r="L248" s="264">
        <f t="shared" ca="1" si="14"/>
        <v>0.4</v>
      </c>
      <c r="M248" s="264">
        <f t="shared" ca="1" si="14"/>
        <v>0.4</v>
      </c>
      <c r="N248" s="264">
        <f t="shared" ca="1" si="14"/>
        <v>0.4</v>
      </c>
      <c r="O248" s="264">
        <f t="shared" ca="1" si="14"/>
        <v>0.6</v>
      </c>
      <c r="P248" s="264">
        <f t="shared" ca="1" si="14"/>
        <v>0.6</v>
      </c>
      <c r="Q248" s="264">
        <f t="shared" ca="1" si="14"/>
        <v>0.6</v>
      </c>
      <c r="R248" s="264">
        <f t="shared" ca="1" si="14"/>
        <v>0.6</v>
      </c>
      <c r="S248" s="264">
        <f t="shared" ca="1" si="14"/>
        <v>0.6</v>
      </c>
      <c r="T248" s="264">
        <f t="shared" ca="1" si="14"/>
        <v>0.6</v>
      </c>
      <c r="U248" s="264">
        <f t="shared" ca="1" si="14"/>
        <v>0.6</v>
      </c>
      <c r="V248" s="264">
        <f t="shared" ca="1" si="14"/>
        <v>0.6</v>
      </c>
      <c r="W248" s="264">
        <f t="shared" ca="1" si="14"/>
        <v>0.4</v>
      </c>
      <c r="X248" s="264">
        <f t="shared" ca="1" si="14"/>
        <v>1</v>
      </c>
      <c r="Y248" s="264">
        <f t="shared" ca="1" si="14"/>
        <v>0.8</v>
      </c>
      <c r="Z248" s="264">
        <f t="shared" ca="1" si="14"/>
        <v>0.8</v>
      </c>
      <c r="AA248" s="264">
        <f t="shared" ca="1" si="14"/>
        <v>0.8</v>
      </c>
      <c r="AB248" s="264">
        <f t="shared" ca="1" si="14"/>
        <v>0.4</v>
      </c>
      <c r="AC248" s="264">
        <f t="shared" ca="1" si="14"/>
        <v>1</v>
      </c>
      <c r="AD248" s="264">
        <f t="shared" ca="1" si="14"/>
        <v>1</v>
      </c>
      <c r="AE248" s="264">
        <f t="shared" ca="1" si="14"/>
        <v>1</v>
      </c>
    </row>
    <row r="249" spans="2:31" x14ac:dyDescent="0.15">
      <c r="B249" s="222">
        <v>1</v>
      </c>
      <c r="C249" s="122" t="s">
        <v>192</v>
      </c>
      <c r="D249" s="264">
        <f t="shared" ref="D249:S273" ca="1" si="15">IF($B249=D$246,"", SSRSharedRatio(OFFSET($D$98:$H$98,$B249,0),OFFSET($D$98:$H$98,D$246,0)))</f>
        <v>0.6</v>
      </c>
      <c r="E249" s="264" t="str">
        <f t="shared" ca="1" si="14"/>
        <v/>
      </c>
      <c r="F249" s="264">
        <f t="shared" ca="1" si="14"/>
        <v>0.6</v>
      </c>
      <c r="G249" s="264">
        <f t="shared" ca="1" si="14"/>
        <v>1</v>
      </c>
      <c r="H249" s="264">
        <f t="shared" ca="1" si="14"/>
        <v>0.8</v>
      </c>
      <c r="I249" s="264">
        <f t="shared" ca="1" si="14"/>
        <v>0.8</v>
      </c>
      <c r="J249" s="264">
        <f t="shared" ca="1" si="14"/>
        <v>0.2</v>
      </c>
      <c r="K249" s="264">
        <f t="shared" ca="1" si="14"/>
        <v>0.6</v>
      </c>
      <c r="L249" s="264">
        <f t="shared" ca="1" si="14"/>
        <v>0.4</v>
      </c>
      <c r="M249" s="264">
        <f t="shared" ca="1" si="14"/>
        <v>0.6</v>
      </c>
      <c r="N249" s="264">
        <f t="shared" ca="1" si="14"/>
        <v>1</v>
      </c>
      <c r="O249" s="264">
        <f t="shared" ca="1" si="14"/>
        <v>0.6</v>
      </c>
      <c r="P249" s="264">
        <f t="shared" ca="1" si="14"/>
        <v>1</v>
      </c>
      <c r="Q249" s="264">
        <f t="shared" ca="1" si="14"/>
        <v>0.6</v>
      </c>
      <c r="R249" s="264">
        <f t="shared" ca="1" si="14"/>
        <v>0.6</v>
      </c>
      <c r="S249" s="264">
        <f t="shared" ca="1" si="14"/>
        <v>0.6</v>
      </c>
      <c r="T249" s="264">
        <f t="shared" ca="1" si="14"/>
        <v>0.8</v>
      </c>
      <c r="U249" s="264">
        <f t="shared" ca="1" si="14"/>
        <v>0.6</v>
      </c>
      <c r="V249" s="264">
        <f t="shared" ca="1" si="14"/>
        <v>0.6</v>
      </c>
      <c r="W249" s="264">
        <f t="shared" ca="1" si="14"/>
        <v>0.6</v>
      </c>
      <c r="X249" s="264">
        <f t="shared" ca="1" si="14"/>
        <v>0.8</v>
      </c>
      <c r="Y249" s="264">
        <f t="shared" ca="1" si="14"/>
        <v>0.6</v>
      </c>
      <c r="Z249" s="264">
        <f t="shared" ca="1" si="14"/>
        <v>0.6</v>
      </c>
      <c r="AA249" s="264">
        <f t="shared" ca="1" si="14"/>
        <v>0.6</v>
      </c>
      <c r="AB249" s="264">
        <f t="shared" ca="1" si="14"/>
        <v>0.6</v>
      </c>
      <c r="AC249" s="264">
        <f t="shared" ca="1" si="14"/>
        <v>1</v>
      </c>
      <c r="AD249" s="264">
        <f t="shared" ca="1" si="14"/>
        <v>1</v>
      </c>
      <c r="AE249" s="264">
        <f t="shared" ca="1" si="14"/>
        <v>0.8</v>
      </c>
    </row>
    <row r="250" spans="2:31" x14ac:dyDescent="0.15">
      <c r="B250" s="222">
        <v>2</v>
      </c>
      <c r="C250" s="122" t="s">
        <v>193</v>
      </c>
      <c r="D250" s="264">
        <f t="shared" ca="1" si="15"/>
        <v>0.8</v>
      </c>
      <c r="E250" s="264">
        <f t="shared" ca="1" si="14"/>
        <v>0.6</v>
      </c>
      <c r="F250" s="264" t="str">
        <f t="shared" ca="1" si="14"/>
        <v/>
      </c>
      <c r="G250" s="264">
        <f t="shared" ca="1" si="14"/>
        <v>0.8</v>
      </c>
      <c r="H250" s="264">
        <f t="shared" ca="1" si="14"/>
        <v>0.6</v>
      </c>
      <c r="I250" s="264">
        <f t="shared" ca="1" si="14"/>
        <v>0.8</v>
      </c>
      <c r="J250" s="264">
        <f t="shared" ca="1" si="14"/>
        <v>0.4</v>
      </c>
      <c r="K250" s="264">
        <f t="shared" ca="1" si="14"/>
        <v>0.4</v>
      </c>
      <c r="L250" s="264">
        <f t="shared" ca="1" si="14"/>
        <v>0.4</v>
      </c>
      <c r="M250" s="264">
        <f t="shared" ca="1" si="14"/>
        <v>0.6</v>
      </c>
      <c r="N250" s="264">
        <f t="shared" ca="1" si="14"/>
        <v>1</v>
      </c>
      <c r="O250" s="264">
        <f t="shared" ca="1" si="14"/>
        <v>0.6</v>
      </c>
      <c r="P250" s="264">
        <f t="shared" ca="1" si="14"/>
        <v>0.4</v>
      </c>
      <c r="Q250" s="264">
        <f t="shared" ca="1" si="14"/>
        <v>0.8</v>
      </c>
      <c r="R250" s="264">
        <f t="shared" ca="1" si="14"/>
        <v>0.6</v>
      </c>
      <c r="S250" s="264">
        <f t="shared" ca="1" si="14"/>
        <v>0.6</v>
      </c>
      <c r="T250" s="264">
        <f t="shared" ca="1" si="14"/>
        <v>0.4</v>
      </c>
      <c r="U250" s="264">
        <f t="shared" ca="1" si="14"/>
        <v>0.8</v>
      </c>
      <c r="V250" s="264">
        <f t="shared" ca="1" si="14"/>
        <v>0.8</v>
      </c>
      <c r="W250" s="264">
        <f t="shared" ca="1" si="14"/>
        <v>0.4</v>
      </c>
      <c r="X250" s="264">
        <f t="shared" ca="1" si="14"/>
        <v>0.6</v>
      </c>
      <c r="Y250" s="264">
        <f t="shared" ca="1" si="14"/>
        <v>0.8</v>
      </c>
      <c r="Z250" s="264">
        <f t="shared" ca="1" si="14"/>
        <v>1</v>
      </c>
      <c r="AA250" s="264">
        <f t="shared" ca="1" si="14"/>
        <v>0.8</v>
      </c>
      <c r="AB250" s="264">
        <f t="shared" ca="1" si="14"/>
        <v>0.6</v>
      </c>
      <c r="AC250" s="264">
        <f t="shared" ca="1" si="14"/>
        <v>0.8</v>
      </c>
      <c r="AD250" s="264">
        <f t="shared" ca="1" si="14"/>
        <v>0.6</v>
      </c>
      <c r="AE250" s="264">
        <f t="shared" ca="1" si="14"/>
        <v>0.6</v>
      </c>
    </row>
    <row r="251" spans="2:31" x14ac:dyDescent="0.15">
      <c r="B251" s="222">
        <v>3</v>
      </c>
      <c r="C251" s="122" t="s">
        <v>194</v>
      </c>
      <c r="D251" s="264">
        <f t="shared" ca="1" si="15"/>
        <v>0.2</v>
      </c>
      <c r="E251" s="264">
        <f t="shared" ca="1" si="14"/>
        <v>1</v>
      </c>
      <c r="F251" s="264">
        <f t="shared" ca="1" si="14"/>
        <v>0.8</v>
      </c>
      <c r="G251" s="264" t="str">
        <f t="shared" ca="1" si="14"/>
        <v/>
      </c>
      <c r="H251" s="264">
        <f t="shared" ca="1" si="14"/>
        <v>0.6</v>
      </c>
      <c r="I251" s="264">
        <f t="shared" ca="1" si="14"/>
        <v>0.8</v>
      </c>
      <c r="J251" s="264">
        <f t="shared" ca="1" si="14"/>
        <v>0.6</v>
      </c>
      <c r="K251" s="264">
        <f t="shared" ca="1" si="14"/>
        <v>0.6</v>
      </c>
      <c r="L251" s="264">
        <f t="shared" ca="1" si="14"/>
        <v>0.8</v>
      </c>
      <c r="M251" s="264">
        <f t="shared" ca="1" si="14"/>
        <v>1</v>
      </c>
      <c r="N251" s="264">
        <f t="shared" ca="1" si="14"/>
        <v>0.8</v>
      </c>
      <c r="O251" s="264">
        <f t="shared" ca="1" si="14"/>
        <v>0.8</v>
      </c>
      <c r="P251" s="264">
        <f t="shared" ca="1" si="14"/>
        <v>1</v>
      </c>
      <c r="Q251" s="264">
        <f t="shared" ca="1" si="14"/>
        <v>1</v>
      </c>
      <c r="R251" s="264">
        <f t="shared" ca="1" si="14"/>
        <v>0.6</v>
      </c>
      <c r="S251" s="264">
        <f t="shared" ca="1" si="14"/>
        <v>0.6</v>
      </c>
      <c r="T251" s="264">
        <f t="shared" ca="1" si="14"/>
        <v>0.8</v>
      </c>
      <c r="U251" s="264">
        <f t="shared" ca="1" si="14"/>
        <v>1</v>
      </c>
      <c r="V251" s="264">
        <f t="shared" ca="1" si="14"/>
        <v>1</v>
      </c>
      <c r="W251" s="264">
        <f t="shared" ca="1" si="14"/>
        <v>0.8</v>
      </c>
      <c r="X251" s="264">
        <f t="shared" ca="1" si="14"/>
        <v>1</v>
      </c>
      <c r="Y251" s="264">
        <f t="shared" ca="1" si="14"/>
        <v>0.6</v>
      </c>
      <c r="Z251" s="264">
        <f t="shared" ca="1" si="14"/>
        <v>0.8</v>
      </c>
      <c r="AA251" s="264">
        <f t="shared" ca="1" si="14"/>
        <v>0.8</v>
      </c>
      <c r="AB251" s="264">
        <f t="shared" ca="1" si="14"/>
        <v>0.4</v>
      </c>
      <c r="AC251" s="264">
        <f t="shared" ca="1" si="14"/>
        <v>0.8</v>
      </c>
      <c r="AD251" s="264">
        <f t="shared" ca="1" si="14"/>
        <v>1</v>
      </c>
      <c r="AE251" s="264">
        <f t="shared" ca="1" si="14"/>
        <v>0.6</v>
      </c>
    </row>
    <row r="252" spans="2:31" x14ac:dyDescent="0.15">
      <c r="B252" s="222">
        <v>4</v>
      </c>
      <c r="C252" s="122" t="s">
        <v>195</v>
      </c>
      <c r="D252" s="264">
        <f t="shared" ca="1" si="15"/>
        <v>0.6</v>
      </c>
      <c r="E252" s="264">
        <f t="shared" ca="1" si="14"/>
        <v>0.8</v>
      </c>
      <c r="F252" s="264">
        <f t="shared" ca="1" si="14"/>
        <v>0.6</v>
      </c>
      <c r="G252" s="264">
        <f t="shared" ca="1" si="14"/>
        <v>0.6</v>
      </c>
      <c r="H252" s="264" t="str">
        <f t="shared" ca="1" si="14"/>
        <v/>
      </c>
      <c r="I252" s="264">
        <f t="shared" ca="1" si="14"/>
        <v>0.8</v>
      </c>
      <c r="J252" s="264">
        <f t="shared" ca="1" si="14"/>
        <v>0.2</v>
      </c>
      <c r="K252" s="264">
        <f t="shared" ca="1" si="14"/>
        <v>0.4</v>
      </c>
      <c r="L252" s="264">
        <f t="shared" ca="1" si="14"/>
        <v>0.4</v>
      </c>
      <c r="M252" s="264">
        <f t="shared" ca="1" si="14"/>
        <v>0.6</v>
      </c>
      <c r="N252" s="264">
        <f t="shared" ca="1" si="14"/>
        <v>1</v>
      </c>
      <c r="O252" s="264">
        <f t="shared" ca="1" si="14"/>
        <v>0.8</v>
      </c>
      <c r="P252" s="264">
        <f t="shared" ca="1" si="14"/>
        <v>0.8</v>
      </c>
      <c r="Q252" s="264">
        <f t="shared" ca="1" si="14"/>
        <v>0.8</v>
      </c>
      <c r="R252" s="264">
        <f t="shared" ca="1" si="14"/>
        <v>0.6</v>
      </c>
      <c r="S252" s="264">
        <f t="shared" ca="1" si="14"/>
        <v>0.6</v>
      </c>
      <c r="T252" s="264">
        <f t="shared" ca="1" si="14"/>
        <v>0.8</v>
      </c>
      <c r="U252" s="264">
        <f t="shared" ca="1" si="14"/>
        <v>0.8</v>
      </c>
      <c r="V252" s="264">
        <f t="shared" ca="1" si="14"/>
        <v>0.8</v>
      </c>
      <c r="W252" s="264">
        <f t="shared" ca="1" si="14"/>
        <v>0.8</v>
      </c>
      <c r="X252" s="264">
        <f t="shared" ca="1" si="14"/>
        <v>0.8</v>
      </c>
      <c r="Y252" s="264">
        <f t="shared" ca="1" si="14"/>
        <v>0.8</v>
      </c>
      <c r="Z252" s="264">
        <f t="shared" ca="1" si="14"/>
        <v>0.6</v>
      </c>
      <c r="AA252" s="264">
        <f t="shared" ca="1" si="14"/>
        <v>0.8</v>
      </c>
      <c r="AB252" s="264">
        <f t="shared" ca="1" si="14"/>
        <v>0.6</v>
      </c>
      <c r="AC252" s="264">
        <f t="shared" ca="1" si="14"/>
        <v>1</v>
      </c>
      <c r="AD252" s="264">
        <f t="shared" ca="1" si="14"/>
        <v>0.8</v>
      </c>
      <c r="AE252" s="264">
        <f t="shared" ca="1" si="14"/>
        <v>0.6</v>
      </c>
    </row>
    <row r="253" spans="2:31" x14ac:dyDescent="0.15">
      <c r="B253" s="222">
        <v>5</v>
      </c>
      <c r="C253" s="122" t="s">
        <v>196</v>
      </c>
      <c r="D253" s="264">
        <f t="shared" ca="1" si="15"/>
        <v>1</v>
      </c>
      <c r="E253" s="264">
        <f t="shared" ca="1" si="14"/>
        <v>0.8</v>
      </c>
      <c r="F253" s="264">
        <f t="shared" ca="1" si="14"/>
        <v>0.8</v>
      </c>
      <c r="G253" s="264">
        <f t="shared" ca="1" si="14"/>
        <v>0.8</v>
      </c>
      <c r="H253" s="264">
        <f t="shared" ca="1" si="14"/>
        <v>0.8</v>
      </c>
      <c r="I253" s="264" t="str">
        <f t="shared" ca="1" si="14"/>
        <v/>
      </c>
      <c r="J253" s="264">
        <f t="shared" ca="1" si="14"/>
        <v>0.4</v>
      </c>
      <c r="K253" s="264">
        <f t="shared" ca="1" si="14"/>
        <v>0.6</v>
      </c>
      <c r="L253" s="264">
        <f t="shared" ca="1" si="14"/>
        <v>0.6</v>
      </c>
      <c r="M253" s="264">
        <f t="shared" ca="1" si="14"/>
        <v>1</v>
      </c>
      <c r="N253" s="264">
        <f t="shared" ca="1" si="14"/>
        <v>1</v>
      </c>
      <c r="O253" s="264">
        <f t="shared" ca="1" si="14"/>
        <v>1</v>
      </c>
      <c r="P253" s="264">
        <f t="shared" ca="1" si="14"/>
        <v>0.8</v>
      </c>
      <c r="Q253" s="264">
        <f t="shared" ca="1" si="14"/>
        <v>1</v>
      </c>
      <c r="R253" s="264">
        <f t="shared" ca="1" si="14"/>
        <v>1</v>
      </c>
      <c r="S253" s="264">
        <f t="shared" ca="1" si="14"/>
        <v>1</v>
      </c>
      <c r="T253" s="264">
        <f t="shared" ca="1" si="14"/>
        <v>0.8</v>
      </c>
      <c r="U253" s="264">
        <f t="shared" ca="1" si="14"/>
        <v>1</v>
      </c>
      <c r="V253" s="264">
        <f t="shared" ca="1" si="14"/>
        <v>1</v>
      </c>
      <c r="W253" s="264">
        <f t="shared" ca="1" si="14"/>
        <v>0.8</v>
      </c>
      <c r="X253" s="264">
        <f t="shared" ca="1" si="14"/>
        <v>0.8</v>
      </c>
      <c r="Y253" s="264">
        <f t="shared" ca="1" si="14"/>
        <v>1</v>
      </c>
      <c r="Z253" s="264">
        <f t="shared" ca="1" si="14"/>
        <v>0.8</v>
      </c>
      <c r="AA253" s="264">
        <f t="shared" ca="1" si="14"/>
        <v>1</v>
      </c>
      <c r="AB253" s="264">
        <f t="shared" ca="1" si="14"/>
        <v>0.6</v>
      </c>
      <c r="AC253" s="264">
        <f t="shared" ca="1" si="14"/>
        <v>1</v>
      </c>
      <c r="AD253" s="264">
        <f t="shared" ca="1" si="14"/>
        <v>1</v>
      </c>
      <c r="AE253" s="264">
        <f t="shared" ca="1" si="14"/>
        <v>1</v>
      </c>
    </row>
    <row r="254" spans="2:31" x14ac:dyDescent="0.15">
      <c r="B254" s="222">
        <v>6</v>
      </c>
      <c r="C254" s="122" t="s">
        <v>197</v>
      </c>
      <c r="D254" s="264">
        <f t="shared" ca="1" si="15"/>
        <v>0</v>
      </c>
      <c r="E254" s="264">
        <f t="shared" ca="1" si="14"/>
        <v>0.2</v>
      </c>
      <c r="F254" s="264">
        <f t="shared" ca="1" si="14"/>
        <v>0.4</v>
      </c>
      <c r="G254" s="264">
        <f t="shared" ca="1" si="14"/>
        <v>0.6</v>
      </c>
      <c r="H254" s="264">
        <f t="shared" ca="1" si="14"/>
        <v>0.2</v>
      </c>
      <c r="I254" s="264">
        <f t="shared" ca="1" si="14"/>
        <v>0.4</v>
      </c>
      <c r="J254" s="264" t="str">
        <f t="shared" ca="1" si="14"/>
        <v/>
      </c>
      <c r="K254" s="264">
        <f t="shared" ca="1" si="14"/>
        <v>1</v>
      </c>
      <c r="L254" s="264">
        <f t="shared" ca="1" si="14"/>
        <v>1</v>
      </c>
      <c r="M254" s="264">
        <f t="shared" ca="1" si="14"/>
        <v>0.6</v>
      </c>
      <c r="N254" s="264">
        <f t="shared" ca="1" si="14"/>
        <v>0.4</v>
      </c>
      <c r="O254" s="264">
        <f t="shared" ca="1" si="14"/>
        <v>0.4</v>
      </c>
      <c r="P254" s="264">
        <f t="shared" ca="1" si="14"/>
        <v>0.4</v>
      </c>
      <c r="Q254" s="264">
        <f t="shared" ca="1" si="14"/>
        <v>0.6</v>
      </c>
      <c r="R254" s="264">
        <f t="shared" ca="1" si="14"/>
        <v>0.4</v>
      </c>
      <c r="S254" s="264">
        <f t="shared" ca="1" si="14"/>
        <v>0.4</v>
      </c>
      <c r="T254" s="264">
        <f t="shared" ca="1" si="14"/>
        <v>0.4</v>
      </c>
      <c r="U254" s="264">
        <f t="shared" ca="1" si="14"/>
        <v>0.6</v>
      </c>
      <c r="V254" s="264">
        <f t="shared" ca="1" si="14"/>
        <v>0.6</v>
      </c>
      <c r="W254" s="264">
        <f t="shared" ca="1" si="14"/>
        <v>0.4</v>
      </c>
      <c r="X254" s="264">
        <f t="shared" ca="1" si="14"/>
        <v>0.6</v>
      </c>
      <c r="Y254" s="264">
        <f t="shared" ca="1" si="14"/>
        <v>0.2</v>
      </c>
      <c r="Z254" s="264">
        <f t="shared" ca="1" si="14"/>
        <v>0.4</v>
      </c>
      <c r="AA254" s="264">
        <f t="shared" ca="1" si="14"/>
        <v>0.2</v>
      </c>
      <c r="AB254" s="264">
        <f t="shared" ca="1" si="14"/>
        <v>0.4</v>
      </c>
      <c r="AC254" s="264">
        <f t="shared" ca="1" si="14"/>
        <v>0.2</v>
      </c>
      <c r="AD254" s="264">
        <f t="shared" ca="1" si="14"/>
        <v>0.4</v>
      </c>
      <c r="AE254" s="264">
        <f t="shared" ca="1" si="14"/>
        <v>0.4</v>
      </c>
    </row>
    <row r="255" spans="2:31" x14ac:dyDescent="0.15">
      <c r="B255" s="222">
        <v>7</v>
      </c>
      <c r="C255" s="122" t="s">
        <v>198</v>
      </c>
      <c r="D255" s="264">
        <f t="shared" ca="1" si="15"/>
        <v>0.8</v>
      </c>
      <c r="E255" s="264">
        <f t="shared" ca="1" si="14"/>
        <v>0.6</v>
      </c>
      <c r="F255" s="264">
        <f t="shared" ca="1" si="14"/>
        <v>0.4</v>
      </c>
      <c r="G255" s="264">
        <f t="shared" ca="1" si="14"/>
        <v>0.6</v>
      </c>
      <c r="H255" s="264">
        <f t="shared" ca="1" si="14"/>
        <v>0.4</v>
      </c>
      <c r="I255" s="264">
        <f t="shared" ca="1" si="14"/>
        <v>0.6</v>
      </c>
      <c r="J255" s="264">
        <f t="shared" ca="1" si="14"/>
        <v>1</v>
      </c>
      <c r="K255" s="264" t="str">
        <f t="shared" ca="1" si="14"/>
        <v/>
      </c>
      <c r="L255" s="264">
        <f t="shared" ca="1" si="14"/>
        <v>0.8</v>
      </c>
      <c r="M255" s="264">
        <f t="shared" ca="1" si="14"/>
        <v>0.4</v>
      </c>
      <c r="N255" s="264">
        <f t="shared" ca="1" si="14"/>
        <v>0.6</v>
      </c>
      <c r="O255" s="264">
        <f t="shared" ca="1" si="14"/>
        <v>0.4</v>
      </c>
      <c r="P255" s="264">
        <f t="shared" ca="1" si="14"/>
        <v>0.4</v>
      </c>
      <c r="Q255" s="264">
        <f t="shared" ca="1" si="14"/>
        <v>0.6</v>
      </c>
      <c r="R255" s="264">
        <f t="shared" ca="1" si="14"/>
        <v>0.2</v>
      </c>
      <c r="S255" s="264">
        <f t="shared" ca="1" si="14"/>
        <v>0.2</v>
      </c>
      <c r="T255" s="264">
        <f t="shared" ca="1" si="14"/>
        <v>0.4</v>
      </c>
      <c r="U255" s="264">
        <f t="shared" ca="1" si="14"/>
        <v>0.6</v>
      </c>
      <c r="V255" s="264">
        <f t="shared" ca="1" si="14"/>
        <v>0.6</v>
      </c>
      <c r="W255" s="264">
        <f t="shared" ca="1" si="14"/>
        <v>0.4</v>
      </c>
      <c r="X255" s="264">
        <f t="shared" ca="1" si="14"/>
        <v>1</v>
      </c>
      <c r="Y255" s="264">
        <f t="shared" ca="1" si="14"/>
        <v>0.4</v>
      </c>
      <c r="Z255" s="264">
        <f t="shared" ca="1" si="14"/>
        <v>0.4</v>
      </c>
      <c r="AA255" s="264">
        <f t="shared" ca="1" si="14"/>
        <v>0.2</v>
      </c>
      <c r="AB255" s="264">
        <f t="shared" ca="1" si="14"/>
        <v>0.2</v>
      </c>
      <c r="AC255" s="264">
        <f t="shared" ca="1" si="14"/>
        <v>0.8</v>
      </c>
      <c r="AD255" s="264">
        <f t="shared" ca="1" si="14"/>
        <v>0.6</v>
      </c>
      <c r="AE255" s="264">
        <f t="shared" ca="1" si="14"/>
        <v>0.6</v>
      </c>
    </row>
    <row r="256" spans="2:31" x14ac:dyDescent="0.15">
      <c r="B256" s="222">
        <v>8</v>
      </c>
      <c r="C256" s="122" t="s">
        <v>199</v>
      </c>
      <c r="D256" s="264">
        <f t="shared" ca="1" si="15"/>
        <v>0.4</v>
      </c>
      <c r="E256" s="264">
        <f t="shared" ca="1" si="14"/>
        <v>0.4</v>
      </c>
      <c r="F256" s="264">
        <f t="shared" ca="1" si="14"/>
        <v>0.4</v>
      </c>
      <c r="G256" s="264">
        <f t="shared" ca="1" si="14"/>
        <v>0.8</v>
      </c>
      <c r="H256" s="264">
        <f t="shared" ca="1" si="14"/>
        <v>0.4</v>
      </c>
      <c r="I256" s="264">
        <f t="shared" ca="1" si="14"/>
        <v>0.6</v>
      </c>
      <c r="J256" s="264">
        <f t="shared" ca="1" si="14"/>
        <v>1</v>
      </c>
      <c r="K256" s="264">
        <f t="shared" ca="1" si="14"/>
        <v>0.8</v>
      </c>
      <c r="L256" s="264" t="str">
        <f t="shared" ca="1" si="14"/>
        <v/>
      </c>
      <c r="M256" s="264">
        <f t="shared" ca="1" si="14"/>
        <v>0.2</v>
      </c>
      <c r="N256" s="264">
        <f t="shared" ca="1" si="14"/>
        <v>0.4</v>
      </c>
      <c r="O256" s="264">
        <f t="shared" ca="1" si="14"/>
        <v>0.6</v>
      </c>
      <c r="P256" s="264">
        <f t="shared" ca="1" si="14"/>
        <v>0.6</v>
      </c>
      <c r="Q256" s="264">
        <f t="shared" ca="1" si="14"/>
        <v>0.8</v>
      </c>
      <c r="R256" s="264">
        <f t="shared" ca="1" si="14"/>
        <v>0.4</v>
      </c>
      <c r="S256" s="264">
        <f t="shared" ca="1" si="14"/>
        <v>0.4</v>
      </c>
      <c r="T256" s="264">
        <f t="shared" ca="1" si="14"/>
        <v>0.6</v>
      </c>
      <c r="U256" s="264">
        <f t="shared" ca="1" si="14"/>
        <v>0.8</v>
      </c>
      <c r="V256" s="264">
        <f t="shared" ca="1" si="14"/>
        <v>0.8</v>
      </c>
      <c r="W256" s="264">
        <f t="shared" ca="1" si="14"/>
        <v>0.6</v>
      </c>
      <c r="X256" s="264">
        <f t="shared" ca="1" si="14"/>
        <v>1</v>
      </c>
      <c r="Y256" s="264">
        <f t="shared" ca="1" si="14"/>
        <v>0.4</v>
      </c>
      <c r="Z256" s="264">
        <f t="shared" ca="1" si="14"/>
        <v>0.4</v>
      </c>
      <c r="AA256" s="264">
        <f t="shared" ca="1" si="14"/>
        <v>0.2</v>
      </c>
      <c r="AB256" s="264">
        <f t="shared" ca="1" si="14"/>
        <v>0</v>
      </c>
      <c r="AC256" s="264">
        <f t="shared" ca="1" si="14"/>
        <v>0.6</v>
      </c>
      <c r="AD256" s="264">
        <f t="shared" ca="1" si="14"/>
        <v>0.8</v>
      </c>
      <c r="AE256" s="264">
        <f t="shared" ca="1" si="14"/>
        <v>0.4</v>
      </c>
    </row>
    <row r="257" spans="2:31" x14ac:dyDescent="0.15">
      <c r="B257" s="222">
        <v>9</v>
      </c>
      <c r="C257" s="122" t="s">
        <v>200</v>
      </c>
      <c r="D257" s="264">
        <f t="shared" ca="1" si="15"/>
        <v>0.4</v>
      </c>
      <c r="E257" s="264">
        <f t="shared" ca="1" si="14"/>
        <v>0.6</v>
      </c>
      <c r="F257" s="264">
        <f t="shared" ca="1" si="14"/>
        <v>0.6</v>
      </c>
      <c r="G257" s="264">
        <f t="shared" ca="1" si="14"/>
        <v>1</v>
      </c>
      <c r="H257" s="264">
        <f t="shared" ca="1" si="14"/>
        <v>0.6</v>
      </c>
      <c r="I257" s="264">
        <f t="shared" ca="1" si="14"/>
        <v>1</v>
      </c>
      <c r="J257" s="264">
        <f t="shared" ca="1" si="14"/>
        <v>0.6</v>
      </c>
      <c r="K257" s="264">
        <f t="shared" ca="1" si="14"/>
        <v>0.4</v>
      </c>
      <c r="L257" s="264">
        <f t="shared" ca="1" si="14"/>
        <v>0.2</v>
      </c>
      <c r="M257" s="264" t="str">
        <f t="shared" ca="1" si="14"/>
        <v/>
      </c>
      <c r="N257" s="264">
        <f t="shared" ca="1" si="14"/>
        <v>0.6</v>
      </c>
      <c r="O257" s="264">
        <f t="shared" ca="1" si="14"/>
        <v>0.8</v>
      </c>
      <c r="P257" s="264">
        <f t="shared" ca="1" si="14"/>
        <v>0.6</v>
      </c>
      <c r="Q257" s="264">
        <f t="shared" ref="Q257:AE275" ca="1" si="16">IF($B257=Q$246,"", SSRSharedRatio(OFFSET($D$98:$H$98,$B257,0),OFFSET($D$98:$H$98,Q$246,0)))</f>
        <v>0.6</v>
      </c>
      <c r="R257" s="264">
        <f t="shared" ca="1" si="16"/>
        <v>0.8</v>
      </c>
      <c r="S257" s="264">
        <f t="shared" ca="1" si="16"/>
        <v>0.8</v>
      </c>
      <c r="T257" s="264">
        <f t="shared" ca="1" si="16"/>
        <v>0.6</v>
      </c>
      <c r="U257" s="264">
        <f t="shared" ca="1" si="16"/>
        <v>0.6</v>
      </c>
      <c r="V257" s="264">
        <f t="shared" ca="1" si="16"/>
        <v>0.6</v>
      </c>
      <c r="W257" s="264">
        <f t="shared" ca="1" si="16"/>
        <v>0.6</v>
      </c>
      <c r="X257" s="264">
        <f t="shared" ca="1" si="16"/>
        <v>0.8</v>
      </c>
      <c r="Y257" s="264">
        <f t="shared" ca="1" si="16"/>
        <v>0.8</v>
      </c>
      <c r="Z257" s="264">
        <f t="shared" ca="1" si="16"/>
        <v>0.6</v>
      </c>
      <c r="AA257" s="264">
        <f t="shared" ca="1" si="16"/>
        <v>0.8</v>
      </c>
      <c r="AB257" s="264">
        <f t="shared" ca="1" si="16"/>
        <v>1</v>
      </c>
      <c r="AC257" s="264">
        <f t="shared" ca="1" si="16"/>
        <v>0.6</v>
      </c>
      <c r="AD257" s="264">
        <f t="shared" ca="1" si="16"/>
        <v>0.8</v>
      </c>
      <c r="AE257" s="264">
        <f t="shared" ca="1" si="16"/>
        <v>0.8</v>
      </c>
    </row>
    <row r="258" spans="2:31" x14ac:dyDescent="0.15">
      <c r="B258" s="222">
        <v>10</v>
      </c>
      <c r="C258" s="122" t="s">
        <v>201</v>
      </c>
      <c r="D258" s="264">
        <f t="shared" ca="1" si="15"/>
        <v>0.4</v>
      </c>
      <c r="E258" s="264">
        <f t="shared" ca="1" si="15"/>
        <v>1</v>
      </c>
      <c r="F258" s="264">
        <f t="shared" ca="1" si="15"/>
        <v>1</v>
      </c>
      <c r="G258" s="264">
        <f t="shared" ca="1" si="15"/>
        <v>0.8</v>
      </c>
      <c r="H258" s="264">
        <f t="shared" ca="1" si="15"/>
        <v>1</v>
      </c>
      <c r="I258" s="264">
        <f t="shared" ca="1" si="15"/>
        <v>1</v>
      </c>
      <c r="J258" s="264">
        <f t="shared" ca="1" si="15"/>
        <v>0.4</v>
      </c>
      <c r="K258" s="264">
        <f t="shared" ca="1" si="15"/>
        <v>0.6</v>
      </c>
      <c r="L258" s="264">
        <f t="shared" ca="1" si="15"/>
        <v>0.4</v>
      </c>
      <c r="M258" s="264">
        <f t="shared" ca="1" si="15"/>
        <v>0.6</v>
      </c>
      <c r="N258" s="264" t="str">
        <f t="shared" ca="1" si="15"/>
        <v/>
      </c>
      <c r="O258" s="264">
        <f t="shared" ca="1" si="15"/>
        <v>0.4</v>
      </c>
      <c r="P258" s="264">
        <f t="shared" ca="1" si="15"/>
        <v>0.4</v>
      </c>
      <c r="Q258" s="264">
        <f t="shared" ca="1" si="15"/>
        <v>0.6</v>
      </c>
      <c r="R258" s="264">
        <f t="shared" ca="1" si="15"/>
        <v>0.2</v>
      </c>
      <c r="S258" s="264">
        <f t="shared" ca="1" si="15"/>
        <v>0.2</v>
      </c>
      <c r="T258" s="264">
        <f t="shared" ca="1" si="16"/>
        <v>0.4</v>
      </c>
      <c r="U258" s="264">
        <f t="shared" ca="1" si="16"/>
        <v>0.6</v>
      </c>
      <c r="V258" s="264">
        <f t="shared" ca="1" si="16"/>
        <v>0.6</v>
      </c>
      <c r="W258" s="264">
        <f t="shared" ca="1" si="16"/>
        <v>0.4</v>
      </c>
      <c r="X258" s="264">
        <f t="shared" ca="1" si="16"/>
        <v>0.8</v>
      </c>
      <c r="Y258" s="264">
        <f t="shared" ca="1" si="16"/>
        <v>1</v>
      </c>
      <c r="Z258" s="264">
        <f t="shared" ca="1" si="16"/>
        <v>1</v>
      </c>
      <c r="AA258" s="264">
        <f t="shared" ca="1" si="16"/>
        <v>0.8</v>
      </c>
      <c r="AB258" s="264">
        <f t="shared" ca="1" si="16"/>
        <v>0.6</v>
      </c>
      <c r="AC258" s="264">
        <f t="shared" ca="1" si="16"/>
        <v>0.8</v>
      </c>
      <c r="AD258" s="264">
        <f t="shared" ca="1" si="16"/>
        <v>0.4</v>
      </c>
      <c r="AE258" s="264">
        <f t="shared" ca="1" si="16"/>
        <v>0.4</v>
      </c>
    </row>
    <row r="259" spans="2:31" x14ac:dyDescent="0.15">
      <c r="B259" s="222">
        <v>11</v>
      </c>
      <c r="C259" s="122" t="s">
        <v>202</v>
      </c>
      <c r="D259" s="264">
        <f t="shared" ca="1" si="15"/>
        <v>0.6</v>
      </c>
      <c r="E259" s="264">
        <f t="shared" ca="1" si="15"/>
        <v>0.6</v>
      </c>
      <c r="F259" s="264">
        <f t="shared" ca="1" si="15"/>
        <v>0.6</v>
      </c>
      <c r="G259" s="264">
        <f t="shared" ca="1" si="15"/>
        <v>0.8</v>
      </c>
      <c r="H259" s="264">
        <f t="shared" ca="1" si="15"/>
        <v>0.8</v>
      </c>
      <c r="I259" s="264">
        <f t="shared" ca="1" si="15"/>
        <v>1</v>
      </c>
      <c r="J259" s="264">
        <f t="shared" ca="1" si="15"/>
        <v>0.4</v>
      </c>
      <c r="K259" s="264">
        <f t="shared" ca="1" si="15"/>
        <v>0.4</v>
      </c>
      <c r="L259" s="264">
        <f t="shared" ca="1" si="15"/>
        <v>0.6</v>
      </c>
      <c r="M259" s="264">
        <f t="shared" ca="1" si="15"/>
        <v>0.8</v>
      </c>
      <c r="N259" s="264">
        <f t="shared" ca="1" si="15"/>
        <v>0.4</v>
      </c>
      <c r="O259" s="264" t="str">
        <f t="shared" ca="1" si="15"/>
        <v/>
      </c>
      <c r="P259" s="264">
        <f t="shared" ca="1" si="15"/>
        <v>1</v>
      </c>
      <c r="Q259" s="264">
        <f t="shared" ca="1" si="15"/>
        <v>1</v>
      </c>
      <c r="R259" s="264">
        <f t="shared" ca="1" si="15"/>
        <v>1</v>
      </c>
      <c r="S259" s="264">
        <f t="shared" ca="1" si="15"/>
        <v>1</v>
      </c>
      <c r="T259" s="264">
        <f t="shared" ca="1" si="16"/>
        <v>1</v>
      </c>
      <c r="U259" s="264">
        <f t="shared" ca="1" si="16"/>
        <v>1</v>
      </c>
      <c r="V259" s="264">
        <f t="shared" ca="1" si="16"/>
        <v>1</v>
      </c>
      <c r="W259" s="264">
        <f t="shared" ca="1" si="16"/>
        <v>1</v>
      </c>
      <c r="X259" s="264">
        <f t="shared" ca="1" si="16"/>
        <v>1</v>
      </c>
      <c r="Y259" s="264">
        <f t="shared" ca="1" si="16"/>
        <v>0.6</v>
      </c>
      <c r="Z259" s="264">
        <f t="shared" ca="1" si="16"/>
        <v>0.6</v>
      </c>
      <c r="AA259" s="264">
        <f t="shared" ca="1" si="16"/>
        <v>0.6</v>
      </c>
      <c r="AB259" s="264">
        <f t="shared" ca="1" si="16"/>
        <v>0.2</v>
      </c>
      <c r="AC259" s="264">
        <f t="shared" ca="1" si="16"/>
        <v>0.8</v>
      </c>
      <c r="AD259" s="264">
        <f t="shared" ca="1" si="16"/>
        <v>1</v>
      </c>
      <c r="AE259" s="264">
        <f t="shared" ca="1" si="16"/>
        <v>1</v>
      </c>
    </row>
    <row r="260" spans="2:31" x14ac:dyDescent="0.15">
      <c r="B260" s="222">
        <v>12</v>
      </c>
      <c r="C260" s="122" t="s">
        <v>264</v>
      </c>
      <c r="D260" s="264">
        <f t="shared" ca="1" si="15"/>
        <v>0.6</v>
      </c>
      <c r="E260" s="264">
        <f t="shared" ca="1" si="15"/>
        <v>1</v>
      </c>
      <c r="F260" s="264">
        <f t="shared" ca="1" si="15"/>
        <v>0.4</v>
      </c>
      <c r="G260" s="264">
        <f t="shared" ca="1" si="15"/>
        <v>1</v>
      </c>
      <c r="H260" s="264">
        <f t="shared" ca="1" si="15"/>
        <v>0.8</v>
      </c>
      <c r="I260" s="264">
        <f t="shared" ca="1" si="15"/>
        <v>0.8</v>
      </c>
      <c r="J260" s="264">
        <f t="shared" ca="1" si="15"/>
        <v>0.4</v>
      </c>
      <c r="K260" s="264">
        <f t="shared" ca="1" si="15"/>
        <v>0.4</v>
      </c>
      <c r="L260" s="264">
        <f t="shared" ca="1" si="15"/>
        <v>0.6</v>
      </c>
      <c r="M260" s="264">
        <f t="shared" ca="1" si="15"/>
        <v>0.6</v>
      </c>
      <c r="N260" s="264">
        <f t="shared" ca="1" si="15"/>
        <v>0.4</v>
      </c>
      <c r="O260" s="264">
        <f t="shared" ca="1" si="15"/>
        <v>1</v>
      </c>
      <c r="P260" s="264" t="str">
        <f t="shared" ca="1" si="15"/>
        <v/>
      </c>
      <c r="Q260" s="264">
        <f t="shared" ca="1" si="15"/>
        <v>1</v>
      </c>
      <c r="R260" s="264">
        <f t="shared" ca="1" si="15"/>
        <v>0.8</v>
      </c>
      <c r="S260" s="264">
        <f t="shared" ca="1" si="15"/>
        <v>0.8</v>
      </c>
      <c r="T260" s="264">
        <f t="shared" ca="1" si="16"/>
        <v>1</v>
      </c>
      <c r="U260" s="264">
        <f t="shared" ca="1" si="16"/>
        <v>1</v>
      </c>
      <c r="V260" s="264">
        <f t="shared" ca="1" si="16"/>
        <v>1</v>
      </c>
      <c r="W260" s="264">
        <f t="shared" ca="1" si="16"/>
        <v>1</v>
      </c>
      <c r="X260" s="264">
        <f t="shared" ca="1" si="16"/>
        <v>1</v>
      </c>
      <c r="Y260" s="264">
        <f t="shared" ca="1" si="16"/>
        <v>0.6</v>
      </c>
      <c r="Z260" s="264">
        <f t="shared" ca="1" si="16"/>
        <v>0.4</v>
      </c>
      <c r="AA260" s="264">
        <f t="shared" ca="1" si="16"/>
        <v>0.6</v>
      </c>
      <c r="AB260" s="264">
        <f t="shared" ca="1" si="16"/>
        <v>0.4</v>
      </c>
      <c r="AC260" s="264">
        <f t="shared" ca="1" si="16"/>
        <v>1</v>
      </c>
      <c r="AD260" s="264">
        <f t="shared" ca="1" si="16"/>
        <v>1</v>
      </c>
      <c r="AE260" s="264">
        <f t="shared" ca="1" si="16"/>
        <v>0.6</v>
      </c>
    </row>
    <row r="261" spans="2:31" x14ac:dyDescent="0.15">
      <c r="B261" s="222">
        <v>13</v>
      </c>
      <c r="C261" s="122" t="s">
        <v>265</v>
      </c>
      <c r="D261" s="264">
        <f t="shared" ca="1" si="15"/>
        <v>0.6</v>
      </c>
      <c r="E261" s="264">
        <f t="shared" ca="1" si="15"/>
        <v>0.6</v>
      </c>
      <c r="F261" s="264">
        <f t="shared" ca="1" si="15"/>
        <v>0.8</v>
      </c>
      <c r="G261" s="264">
        <f t="shared" ca="1" si="15"/>
        <v>1</v>
      </c>
      <c r="H261" s="264">
        <f t="shared" ca="1" si="15"/>
        <v>0.8</v>
      </c>
      <c r="I261" s="264">
        <f t="shared" ca="1" si="15"/>
        <v>1</v>
      </c>
      <c r="J261" s="264">
        <f t="shared" ca="1" si="15"/>
        <v>0.6</v>
      </c>
      <c r="K261" s="264">
        <f t="shared" ca="1" si="15"/>
        <v>0.6</v>
      </c>
      <c r="L261" s="264">
        <f t="shared" ca="1" si="15"/>
        <v>0.8</v>
      </c>
      <c r="M261" s="264">
        <f t="shared" ca="1" si="15"/>
        <v>0.6</v>
      </c>
      <c r="N261" s="264">
        <f t="shared" ca="1" si="15"/>
        <v>0.6</v>
      </c>
      <c r="O261" s="264">
        <f t="shared" ca="1" si="15"/>
        <v>1</v>
      </c>
      <c r="P261" s="264">
        <f t="shared" ca="1" si="15"/>
        <v>1</v>
      </c>
      <c r="Q261" s="264" t="str">
        <f t="shared" ca="1" si="15"/>
        <v/>
      </c>
      <c r="R261" s="264">
        <f t="shared" ca="1" si="15"/>
        <v>1</v>
      </c>
      <c r="S261" s="264">
        <f t="shared" ca="1" si="15"/>
        <v>1</v>
      </c>
      <c r="T261" s="264">
        <f t="shared" ca="1" si="16"/>
        <v>1</v>
      </c>
      <c r="U261" s="264">
        <f t="shared" ca="1" si="16"/>
        <v>1</v>
      </c>
      <c r="V261" s="264">
        <f t="shared" ca="1" si="16"/>
        <v>1</v>
      </c>
      <c r="W261" s="264">
        <f t="shared" ca="1" si="16"/>
        <v>1</v>
      </c>
      <c r="X261" s="264">
        <f t="shared" ca="1" si="16"/>
        <v>1</v>
      </c>
      <c r="Y261" s="264">
        <f t="shared" ca="1" si="16"/>
        <v>0.6</v>
      </c>
      <c r="Z261" s="264">
        <f t="shared" ca="1" si="16"/>
        <v>0.8</v>
      </c>
      <c r="AA261" s="264">
        <f t="shared" ca="1" si="16"/>
        <v>0.6</v>
      </c>
      <c r="AB261" s="264">
        <f t="shared" ca="1" si="16"/>
        <v>0.2</v>
      </c>
      <c r="AC261" s="264">
        <f t="shared" ca="1" si="16"/>
        <v>0.8</v>
      </c>
      <c r="AD261" s="264">
        <f t="shared" ca="1" si="16"/>
        <v>1</v>
      </c>
      <c r="AE261" s="264">
        <f t="shared" ca="1" si="16"/>
        <v>0.8</v>
      </c>
    </row>
    <row r="262" spans="2:31" x14ac:dyDescent="0.15">
      <c r="B262" s="222">
        <v>14</v>
      </c>
      <c r="C262" s="122" t="s">
        <v>266</v>
      </c>
      <c r="D262" s="264">
        <f t="shared" ca="1" si="15"/>
        <v>0.6</v>
      </c>
      <c r="E262" s="264">
        <f t="shared" ca="1" si="15"/>
        <v>0.6</v>
      </c>
      <c r="F262" s="264">
        <f t="shared" ca="1" si="15"/>
        <v>0.6</v>
      </c>
      <c r="G262" s="264">
        <f t="shared" ca="1" si="15"/>
        <v>0.6</v>
      </c>
      <c r="H262" s="264">
        <f t="shared" ca="1" si="15"/>
        <v>0.6</v>
      </c>
      <c r="I262" s="264">
        <f t="shared" ca="1" si="15"/>
        <v>1</v>
      </c>
      <c r="J262" s="264">
        <f t="shared" ca="1" si="15"/>
        <v>0.4</v>
      </c>
      <c r="K262" s="264">
        <f t="shared" ca="1" si="15"/>
        <v>0.2</v>
      </c>
      <c r="L262" s="264">
        <f t="shared" ca="1" si="15"/>
        <v>0.4</v>
      </c>
      <c r="M262" s="264">
        <f t="shared" ca="1" si="15"/>
        <v>0.8</v>
      </c>
      <c r="N262" s="264">
        <f t="shared" ca="1" si="15"/>
        <v>0.2</v>
      </c>
      <c r="O262" s="264">
        <f t="shared" ca="1" si="15"/>
        <v>1</v>
      </c>
      <c r="P262" s="264">
        <f t="shared" ca="1" si="15"/>
        <v>0.8</v>
      </c>
      <c r="Q262" s="264">
        <f t="shared" ca="1" si="15"/>
        <v>1</v>
      </c>
      <c r="R262" s="264" t="str">
        <f t="shared" ca="1" si="15"/>
        <v/>
      </c>
      <c r="S262" s="264">
        <f t="shared" ca="1" si="15"/>
        <v>1</v>
      </c>
      <c r="T262" s="264">
        <f t="shared" ca="1" si="16"/>
        <v>1</v>
      </c>
      <c r="U262" s="264">
        <f t="shared" ca="1" si="16"/>
        <v>1</v>
      </c>
      <c r="V262" s="264">
        <f t="shared" ca="1" si="16"/>
        <v>1</v>
      </c>
      <c r="W262" s="264">
        <f t="shared" ca="1" si="16"/>
        <v>0.8</v>
      </c>
      <c r="X262" s="264">
        <f t="shared" ca="1" si="16"/>
        <v>0.8</v>
      </c>
      <c r="Y262" s="264">
        <f t="shared" ca="1" si="16"/>
        <v>0.6</v>
      </c>
      <c r="Z262" s="264">
        <f t="shared" ca="1" si="16"/>
        <v>0.6</v>
      </c>
      <c r="AA262" s="264">
        <f t="shared" ca="1" si="16"/>
        <v>0.6</v>
      </c>
      <c r="AB262" s="264">
        <f t="shared" ca="1" si="16"/>
        <v>0.2</v>
      </c>
      <c r="AC262" s="264">
        <f t="shared" ca="1" si="16"/>
        <v>0.8</v>
      </c>
      <c r="AD262" s="264">
        <f t="shared" ca="1" si="16"/>
        <v>1</v>
      </c>
      <c r="AE262" s="264">
        <f t="shared" ca="1" si="16"/>
        <v>1</v>
      </c>
    </row>
    <row r="263" spans="2:31" x14ac:dyDescent="0.15">
      <c r="B263" s="222">
        <v>15</v>
      </c>
      <c r="C263" s="122" t="s">
        <v>267</v>
      </c>
      <c r="D263" s="264">
        <f t="shared" ca="1" si="15"/>
        <v>0.6</v>
      </c>
      <c r="E263" s="264">
        <f t="shared" ca="1" si="15"/>
        <v>0.6</v>
      </c>
      <c r="F263" s="264">
        <f t="shared" ca="1" si="15"/>
        <v>0.6</v>
      </c>
      <c r="G263" s="264">
        <f t="shared" ca="1" si="15"/>
        <v>0.6</v>
      </c>
      <c r="H263" s="264">
        <f t="shared" ca="1" si="15"/>
        <v>0.6</v>
      </c>
      <c r="I263" s="264">
        <f t="shared" ca="1" si="15"/>
        <v>1</v>
      </c>
      <c r="J263" s="264">
        <f t="shared" ca="1" si="15"/>
        <v>0.4</v>
      </c>
      <c r="K263" s="264">
        <f t="shared" ca="1" si="15"/>
        <v>0.2</v>
      </c>
      <c r="L263" s="264">
        <f t="shared" ca="1" si="15"/>
        <v>0.4</v>
      </c>
      <c r="M263" s="264">
        <f t="shared" ca="1" si="15"/>
        <v>0.8</v>
      </c>
      <c r="N263" s="264">
        <f t="shared" ca="1" si="15"/>
        <v>0.2</v>
      </c>
      <c r="O263" s="264">
        <f t="shared" ca="1" si="15"/>
        <v>1</v>
      </c>
      <c r="P263" s="264">
        <f t="shared" ca="1" si="15"/>
        <v>0.8</v>
      </c>
      <c r="Q263" s="264">
        <f t="shared" ca="1" si="15"/>
        <v>1</v>
      </c>
      <c r="R263" s="264">
        <f t="shared" ca="1" si="15"/>
        <v>1</v>
      </c>
      <c r="S263" s="264" t="str">
        <f t="shared" ca="1" si="15"/>
        <v/>
      </c>
      <c r="T263" s="264">
        <f t="shared" ca="1" si="16"/>
        <v>1</v>
      </c>
      <c r="U263" s="264">
        <f t="shared" ca="1" si="16"/>
        <v>1</v>
      </c>
      <c r="V263" s="264">
        <f t="shared" ca="1" si="16"/>
        <v>1</v>
      </c>
      <c r="W263" s="264">
        <f t="shared" ca="1" si="16"/>
        <v>0.8</v>
      </c>
      <c r="X263" s="264">
        <f t="shared" ca="1" si="16"/>
        <v>0.8</v>
      </c>
      <c r="Y263" s="264">
        <f t="shared" ca="1" si="16"/>
        <v>0.6</v>
      </c>
      <c r="Z263" s="264">
        <f t="shared" ca="1" si="16"/>
        <v>0.6</v>
      </c>
      <c r="AA263" s="264">
        <f t="shared" ca="1" si="16"/>
        <v>0.6</v>
      </c>
      <c r="AB263" s="264">
        <f t="shared" ca="1" si="16"/>
        <v>0.2</v>
      </c>
      <c r="AC263" s="264">
        <f t="shared" ca="1" si="16"/>
        <v>0.8</v>
      </c>
      <c r="AD263" s="264">
        <f t="shared" ca="1" si="16"/>
        <v>1</v>
      </c>
      <c r="AE263" s="264">
        <f t="shared" ca="1" si="16"/>
        <v>1</v>
      </c>
    </row>
    <row r="264" spans="2:31" x14ac:dyDescent="0.15">
      <c r="B264" s="222">
        <v>16</v>
      </c>
      <c r="C264" s="122" t="s">
        <v>268</v>
      </c>
      <c r="D264" s="264">
        <f t="shared" ca="1" si="15"/>
        <v>0.6</v>
      </c>
      <c r="E264" s="264">
        <f t="shared" ca="1" si="15"/>
        <v>0.8</v>
      </c>
      <c r="F264" s="264">
        <f t="shared" ca="1" si="15"/>
        <v>0.4</v>
      </c>
      <c r="G264" s="264">
        <f t="shared" ca="1" si="15"/>
        <v>0.8</v>
      </c>
      <c r="H264" s="264">
        <f t="shared" ca="1" si="15"/>
        <v>0.8</v>
      </c>
      <c r="I264" s="264">
        <f t="shared" ca="1" si="15"/>
        <v>0.8</v>
      </c>
      <c r="J264" s="264">
        <f t="shared" ca="1" si="15"/>
        <v>0.4</v>
      </c>
      <c r="K264" s="264">
        <f t="shared" ca="1" si="15"/>
        <v>0.4</v>
      </c>
      <c r="L264" s="264">
        <f t="shared" ca="1" si="15"/>
        <v>0.6</v>
      </c>
      <c r="M264" s="264">
        <f t="shared" ca="1" si="15"/>
        <v>0.6</v>
      </c>
      <c r="N264" s="264">
        <f t="shared" ca="1" si="15"/>
        <v>0.4</v>
      </c>
      <c r="O264" s="264">
        <f t="shared" ca="1" si="15"/>
        <v>1</v>
      </c>
      <c r="P264" s="264">
        <f t="shared" ca="1" si="15"/>
        <v>1</v>
      </c>
      <c r="Q264" s="264">
        <f t="shared" ca="1" si="15"/>
        <v>1</v>
      </c>
      <c r="R264" s="264">
        <f t="shared" ca="1" si="15"/>
        <v>1</v>
      </c>
      <c r="S264" s="264">
        <f t="shared" ca="1" si="15"/>
        <v>1</v>
      </c>
      <c r="T264" s="264" t="str">
        <f t="shared" ca="1" si="16"/>
        <v/>
      </c>
      <c r="U264" s="264">
        <f t="shared" ca="1" si="16"/>
        <v>1</v>
      </c>
      <c r="V264" s="264">
        <f t="shared" ca="1" si="16"/>
        <v>1</v>
      </c>
      <c r="W264" s="264">
        <f t="shared" ca="1" si="16"/>
        <v>1</v>
      </c>
      <c r="X264" s="264">
        <f t="shared" ca="1" si="16"/>
        <v>1</v>
      </c>
      <c r="Y264" s="264">
        <f t="shared" ca="1" si="16"/>
        <v>0.6</v>
      </c>
      <c r="Z264" s="264">
        <f t="shared" ca="1" si="16"/>
        <v>0.4</v>
      </c>
      <c r="AA264" s="264">
        <f t="shared" ca="1" si="16"/>
        <v>0.6</v>
      </c>
      <c r="AB264" s="264">
        <f t="shared" ca="1" si="16"/>
        <v>0.2</v>
      </c>
      <c r="AC264" s="264">
        <f t="shared" ca="1" si="16"/>
        <v>1</v>
      </c>
      <c r="AD264" s="264">
        <f t="shared" ca="1" si="16"/>
        <v>1</v>
      </c>
      <c r="AE264" s="264">
        <f t="shared" ca="1" si="16"/>
        <v>0.6</v>
      </c>
    </row>
    <row r="265" spans="2:31" x14ac:dyDescent="0.15">
      <c r="B265" s="222">
        <v>17</v>
      </c>
      <c r="C265" s="122" t="s">
        <v>269</v>
      </c>
      <c r="D265" s="264">
        <f t="shared" ca="1" si="15"/>
        <v>0.6</v>
      </c>
      <c r="E265" s="264">
        <f t="shared" ca="1" si="15"/>
        <v>0.6</v>
      </c>
      <c r="F265" s="264">
        <f t="shared" ca="1" si="15"/>
        <v>0.8</v>
      </c>
      <c r="G265" s="264">
        <f t="shared" ca="1" si="15"/>
        <v>1</v>
      </c>
      <c r="H265" s="264">
        <f t="shared" ca="1" si="15"/>
        <v>0.8</v>
      </c>
      <c r="I265" s="264">
        <f t="shared" ca="1" si="15"/>
        <v>1</v>
      </c>
      <c r="J265" s="264">
        <f t="shared" ca="1" si="15"/>
        <v>0.6</v>
      </c>
      <c r="K265" s="264">
        <f t="shared" ca="1" si="15"/>
        <v>0.6</v>
      </c>
      <c r="L265" s="264">
        <f t="shared" ca="1" si="15"/>
        <v>0.8</v>
      </c>
      <c r="M265" s="264">
        <f t="shared" ca="1" si="15"/>
        <v>0.6</v>
      </c>
      <c r="N265" s="264">
        <f t="shared" ca="1" si="15"/>
        <v>0.6</v>
      </c>
      <c r="O265" s="264">
        <f t="shared" ca="1" si="15"/>
        <v>1</v>
      </c>
      <c r="P265" s="264">
        <f t="shared" ca="1" si="15"/>
        <v>1</v>
      </c>
      <c r="Q265" s="264">
        <f t="shared" ca="1" si="15"/>
        <v>1</v>
      </c>
      <c r="R265" s="264">
        <f t="shared" ca="1" si="15"/>
        <v>1</v>
      </c>
      <c r="S265" s="264">
        <f t="shared" ca="1" si="15"/>
        <v>1</v>
      </c>
      <c r="T265" s="264">
        <f t="shared" ca="1" si="16"/>
        <v>1</v>
      </c>
      <c r="U265" s="264" t="str">
        <f t="shared" ca="1" si="16"/>
        <v/>
      </c>
      <c r="V265" s="264">
        <f t="shared" ca="1" si="16"/>
        <v>1</v>
      </c>
      <c r="W265" s="264">
        <f t="shared" ca="1" si="16"/>
        <v>1</v>
      </c>
      <c r="X265" s="264">
        <f t="shared" ca="1" si="16"/>
        <v>1</v>
      </c>
      <c r="Y265" s="264">
        <f t="shared" ca="1" si="16"/>
        <v>0.6</v>
      </c>
      <c r="Z265" s="264">
        <f t="shared" ca="1" si="16"/>
        <v>0.8</v>
      </c>
      <c r="AA265" s="264">
        <f t="shared" ca="1" si="16"/>
        <v>0.6</v>
      </c>
      <c r="AB265" s="264">
        <f t="shared" ca="1" si="16"/>
        <v>0.2</v>
      </c>
      <c r="AC265" s="264">
        <f t="shared" ca="1" si="16"/>
        <v>0.8</v>
      </c>
      <c r="AD265" s="264">
        <f t="shared" ca="1" si="16"/>
        <v>1</v>
      </c>
      <c r="AE265" s="264">
        <f t="shared" ca="1" si="16"/>
        <v>0.8</v>
      </c>
    </row>
    <row r="266" spans="2:31" x14ac:dyDescent="0.15">
      <c r="B266" s="222">
        <v>18</v>
      </c>
      <c r="C266" s="122" t="s">
        <v>270</v>
      </c>
      <c r="D266" s="264">
        <f t="shared" ca="1" si="15"/>
        <v>0.6</v>
      </c>
      <c r="E266" s="264">
        <f t="shared" ca="1" si="15"/>
        <v>0.6</v>
      </c>
      <c r="F266" s="264">
        <f t="shared" ca="1" si="15"/>
        <v>0.8</v>
      </c>
      <c r="G266" s="264">
        <f t="shared" ca="1" si="15"/>
        <v>1</v>
      </c>
      <c r="H266" s="264">
        <f t="shared" ca="1" si="15"/>
        <v>0.8</v>
      </c>
      <c r="I266" s="264">
        <f t="shared" ca="1" si="15"/>
        <v>1</v>
      </c>
      <c r="J266" s="264">
        <f t="shared" ca="1" si="15"/>
        <v>0.6</v>
      </c>
      <c r="K266" s="264">
        <f t="shared" ca="1" si="15"/>
        <v>0.6</v>
      </c>
      <c r="L266" s="264">
        <f t="shared" ca="1" si="15"/>
        <v>0.8</v>
      </c>
      <c r="M266" s="264">
        <f t="shared" ca="1" si="15"/>
        <v>0.6</v>
      </c>
      <c r="N266" s="264">
        <f t="shared" ca="1" si="15"/>
        <v>0.6</v>
      </c>
      <c r="O266" s="264">
        <f t="shared" ca="1" si="15"/>
        <v>1</v>
      </c>
      <c r="P266" s="264">
        <f t="shared" ca="1" si="15"/>
        <v>1</v>
      </c>
      <c r="Q266" s="264">
        <f t="shared" ca="1" si="15"/>
        <v>1</v>
      </c>
      <c r="R266" s="264">
        <f t="shared" ca="1" si="15"/>
        <v>1</v>
      </c>
      <c r="S266" s="264">
        <f t="shared" ca="1" si="15"/>
        <v>1</v>
      </c>
      <c r="T266" s="264">
        <f t="shared" ca="1" si="16"/>
        <v>1</v>
      </c>
      <c r="U266" s="264">
        <f t="shared" ca="1" si="16"/>
        <v>1</v>
      </c>
      <c r="V266" s="264" t="str">
        <f t="shared" ca="1" si="16"/>
        <v/>
      </c>
      <c r="W266" s="264">
        <f t="shared" ca="1" si="16"/>
        <v>1</v>
      </c>
      <c r="X266" s="264">
        <f t="shared" ca="1" si="16"/>
        <v>1</v>
      </c>
      <c r="Y266" s="264">
        <f t="shared" ca="1" si="16"/>
        <v>0.6</v>
      </c>
      <c r="Z266" s="264">
        <f t="shared" ca="1" si="16"/>
        <v>0.8</v>
      </c>
      <c r="AA266" s="264">
        <f t="shared" ca="1" si="16"/>
        <v>0.6</v>
      </c>
      <c r="AB266" s="264">
        <f t="shared" ca="1" si="16"/>
        <v>0.2</v>
      </c>
      <c r="AC266" s="264">
        <f t="shared" ca="1" si="16"/>
        <v>0.8</v>
      </c>
      <c r="AD266" s="264">
        <f t="shared" ca="1" si="16"/>
        <v>1</v>
      </c>
      <c r="AE266" s="264">
        <f t="shared" ca="1" si="16"/>
        <v>0.8</v>
      </c>
    </row>
    <row r="267" spans="2:31" x14ac:dyDescent="0.15">
      <c r="B267" s="222">
        <v>19</v>
      </c>
      <c r="C267" s="122" t="s">
        <v>271</v>
      </c>
      <c r="D267" s="264">
        <f t="shared" ca="1" si="15"/>
        <v>0.4</v>
      </c>
      <c r="E267" s="264">
        <f t="shared" ca="1" si="15"/>
        <v>0.6</v>
      </c>
      <c r="F267" s="264">
        <f t="shared" ca="1" si="15"/>
        <v>0.4</v>
      </c>
      <c r="G267" s="264">
        <f t="shared" ca="1" si="15"/>
        <v>0.8</v>
      </c>
      <c r="H267" s="264">
        <f t="shared" ca="1" si="15"/>
        <v>0.8</v>
      </c>
      <c r="I267" s="264">
        <f t="shared" ca="1" si="15"/>
        <v>0.8</v>
      </c>
      <c r="J267" s="264">
        <f t="shared" ca="1" si="15"/>
        <v>0.4</v>
      </c>
      <c r="K267" s="264">
        <f t="shared" ca="1" si="15"/>
        <v>0.4</v>
      </c>
      <c r="L267" s="264">
        <f t="shared" ca="1" si="15"/>
        <v>0.6</v>
      </c>
      <c r="M267" s="264">
        <f t="shared" ca="1" si="15"/>
        <v>0.6</v>
      </c>
      <c r="N267" s="264">
        <f t="shared" ca="1" si="15"/>
        <v>0.4</v>
      </c>
      <c r="O267" s="264">
        <f t="shared" ca="1" si="15"/>
        <v>1</v>
      </c>
      <c r="P267" s="264">
        <f t="shared" ca="1" si="15"/>
        <v>1</v>
      </c>
      <c r="Q267" s="264">
        <f t="shared" ca="1" si="15"/>
        <v>1</v>
      </c>
      <c r="R267" s="264">
        <f t="shared" ca="1" si="15"/>
        <v>0.8</v>
      </c>
      <c r="S267" s="264">
        <f t="shared" ca="1" si="15"/>
        <v>0.8</v>
      </c>
      <c r="T267" s="264">
        <f t="shared" ca="1" si="16"/>
        <v>1</v>
      </c>
      <c r="U267" s="264">
        <f t="shared" ca="1" si="16"/>
        <v>1</v>
      </c>
      <c r="V267" s="264">
        <f t="shared" ca="1" si="16"/>
        <v>1</v>
      </c>
      <c r="W267" s="264" t="str">
        <f t="shared" ca="1" si="16"/>
        <v/>
      </c>
      <c r="X267" s="264">
        <f t="shared" ca="1" si="16"/>
        <v>1</v>
      </c>
      <c r="Y267" s="264">
        <f t="shared" ca="1" si="16"/>
        <v>0.6</v>
      </c>
      <c r="Z267" s="264">
        <f t="shared" ca="1" si="16"/>
        <v>0.4</v>
      </c>
      <c r="AA267" s="264">
        <f t="shared" ca="1" si="16"/>
        <v>0.6</v>
      </c>
      <c r="AB267" s="264">
        <f t="shared" ca="1" si="16"/>
        <v>0.2</v>
      </c>
      <c r="AC267" s="264">
        <f t="shared" ca="1" si="16"/>
        <v>0.8</v>
      </c>
      <c r="AD267" s="264">
        <f t="shared" ca="1" si="16"/>
        <v>1</v>
      </c>
      <c r="AE267" s="264">
        <f t="shared" ca="1" si="16"/>
        <v>0.6</v>
      </c>
    </row>
    <row r="268" spans="2:31" x14ac:dyDescent="0.15">
      <c r="B268" s="222">
        <v>20</v>
      </c>
      <c r="C268" s="122" t="s">
        <v>272</v>
      </c>
      <c r="D268" s="264">
        <f t="shared" ca="1" si="15"/>
        <v>1</v>
      </c>
      <c r="E268" s="264">
        <f t="shared" ca="1" si="15"/>
        <v>0.8</v>
      </c>
      <c r="F268" s="264">
        <f t="shared" ca="1" si="15"/>
        <v>0.6</v>
      </c>
      <c r="G268" s="264">
        <f t="shared" ca="1" si="15"/>
        <v>1</v>
      </c>
      <c r="H268" s="264">
        <f t="shared" ca="1" si="15"/>
        <v>0.8</v>
      </c>
      <c r="I268" s="264">
        <f t="shared" ca="1" si="15"/>
        <v>0.8</v>
      </c>
      <c r="J268" s="264">
        <f t="shared" ca="1" si="15"/>
        <v>0.6</v>
      </c>
      <c r="K268" s="264">
        <f t="shared" ca="1" si="15"/>
        <v>1</v>
      </c>
      <c r="L268" s="264">
        <f t="shared" ca="1" si="15"/>
        <v>1</v>
      </c>
      <c r="M268" s="264">
        <f t="shared" ca="1" si="15"/>
        <v>0.8</v>
      </c>
      <c r="N268" s="264">
        <f t="shared" ca="1" si="15"/>
        <v>0.8</v>
      </c>
      <c r="O268" s="264">
        <f t="shared" ca="1" si="15"/>
        <v>1</v>
      </c>
      <c r="P268" s="264">
        <f t="shared" ca="1" si="15"/>
        <v>1</v>
      </c>
      <c r="Q268" s="264">
        <f t="shared" ca="1" si="15"/>
        <v>1</v>
      </c>
      <c r="R268" s="264">
        <f t="shared" ca="1" si="15"/>
        <v>0.8</v>
      </c>
      <c r="S268" s="264">
        <f t="shared" ca="1" si="15"/>
        <v>0.8</v>
      </c>
      <c r="T268" s="264">
        <f t="shared" ca="1" si="16"/>
        <v>1</v>
      </c>
      <c r="U268" s="264">
        <f t="shared" ca="1" si="16"/>
        <v>1</v>
      </c>
      <c r="V268" s="264">
        <f t="shared" ca="1" si="16"/>
        <v>1</v>
      </c>
      <c r="W268" s="264">
        <f t="shared" ca="1" si="16"/>
        <v>1</v>
      </c>
      <c r="X268" s="264" t="str">
        <f t="shared" ca="1" si="16"/>
        <v/>
      </c>
      <c r="Y268" s="264">
        <f t="shared" ca="1" si="16"/>
        <v>0.6</v>
      </c>
      <c r="Z268" s="264">
        <f t="shared" ca="1" si="16"/>
        <v>0.6</v>
      </c>
      <c r="AA268" s="264">
        <f t="shared" ca="1" si="16"/>
        <v>0.8</v>
      </c>
      <c r="AB268" s="264">
        <f t="shared" ca="1" si="16"/>
        <v>0.4</v>
      </c>
      <c r="AC268" s="264">
        <f t="shared" ca="1" si="16"/>
        <v>1</v>
      </c>
      <c r="AD268" s="264">
        <f t="shared" ca="1" si="16"/>
        <v>1</v>
      </c>
      <c r="AE268" s="264">
        <f t="shared" ca="1" si="16"/>
        <v>0.8</v>
      </c>
    </row>
    <row r="269" spans="2:31" x14ac:dyDescent="0.15">
      <c r="B269" s="222">
        <v>21</v>
      </c>
      <c r="C269" s="122" t="s">
        <v>273</v>
      </c>
      <c r="D269" s="264">
        <f t="shared" ca="1" si="15"/>
        <v>0.8</v>
      </c>
      <c r="E269" s="264">
        <f t="shared" ca="1" si="15"/>
        <v>0.6</v>
      </c>
      <c r="F269" s="264">
        <f t="shared" ca="1" si="15"/>
        <v>0.8</v>
      </c>
      <c r="G269" s="264">
        <f t="shared" ca="1" si="15"/>
        <v>0.6</v>
      </c>
      <c r="H269" s="264">
        <f t="shared" ca="1" si="15"/>
        <v>0.8</v>
      </c>
      <c r="I269" s="264">
        <f t="shared" ca="1" si="15"/>
        <v>1</v>
      </c>
      <c r="J269" s="264">
        <f t="shared" ca="1" si="15"/>
        <v>0.2</v>
      </c>
      <c r="K269" s="264">
        <f t="shared" ca="1" si="15"/>
        <v>0.4</v>
      </c>
      <c r="L269" s="264">
        <f t="shared" ca="1" si="15"/>
        <v>0.4</v>
      </c>
      <c r="M269" s="264">
        <f t="shared" ca="1" si="15"/>
        <v>0.8</v>
      </c>
      <c r="N269" s="264">
        <f t="shared" ca="1" si="15"/>
        <v>1</v>
      </c>
      <c r="O269" s="264">
        <f t="shared" ca="1" si="15"/>
        <v>0.6</v>
      </c>
      <c r="P269" s="264">
        <f t="shared" ca="1" si="15"/>
        <v>0.6</v>
      </c>
      <c r="Q269" s="264">
        <f t="shared" ca="1" si="15"/>
        <v>0.6</v>
      </c>
      <c r="R269" s="264">
        <f t="shared" ca="1" si="15"/>
        <v>0.6</v>
      </c>
      <c r="S269" s="264">
        <f t="shared" ca="1" si="15"/>
        <v>0.6</v>
      </c>
      <c r="T269" s="264">
        <f t="shared" ca="1" si="16"/>
        <v>0.6</v>
      </c>
      <c r="U269" s="264">
        <f t="shared" ca="1" si="16"/>
        <v>0.6</v>
      </c>
      <c r="V269" s="264">
        <f t="shared" ca="1" si="16"/>
        <v>0.6</v>
      </c>
      <c r="W269" s="264">
        <f t="shared" ca="1" si="16"/>
        <v>0.6</v>
      </c>
      <c r="X269" s="264">
        <f t="shared" ca="1" si="16"/>
        <v>0.6</v>
      </c>
      <c r="Y269" s="264" t="str">
        <f t="shared" ca="1" si="16"/>
        <v/>
      </c>
      <c r="Z269" s="264">
        <f t="shared" ca="1" si="16"/>
        <v>0.8</v>
      </c>
      <c r="AA269" s="264">
        <f t="shared" ca="1" si="16"/>
        <v>1</v>
      </c>
      <c r="AB269" s="264">
        <f t="shared" ca="1" si="16"/>
        <v>0.6</v>
      </c>
      <c r="AC269" s="264">
        <f t="shared" ca="1" si="16"/>
        <v>0.8</v>
      </c>
      <c r="AD269" s="264">
        <f t="shared" ca="1" si="16"/>
        <v>0.6</v>
      </c>
      <c r="AE269" s="264">
        <f t="shared" ca="1" si="16"/>
        <v>0.6</v>
      </c>
    </row>
    <row r="270" spans="2:31" x14ac:dyDescent="0.15">
      <c r="B270" s="222">
        <v>22</v>
      </c>
      <c r="C270" s="122" t="s">
        <v>274</v>
      </c>
      <c r="D270" s="264">
        <f t="shared" ca="1" si="15"/>
        <v>0.8</v>
      </c>
      <c r="E270" s="264">
        <f t="shared" ca="1" si="15"/>
        <v>0.6</v>
      </c>
      <c r="F270" s="264">
        <f t="shared" ca="1" si="15"/>
        <v>1</v>
      </c>
      <c r="G270" s="264">
        <f t="shared" ca="1" si="15"/>
        <v>0.8</v>
      </c>
      <c r="H270" s="264">
        <f t="shared" ca="1" si="15"/>
        <v>0.6</v>
      </c>
      <c r="I270" s="264">
        <f t="shared" ca="1" si="15"/>
        <v>0.8</v>
      </c>
      <c r="J270" s="264">
        <f t="shared" ca="1" si="15"/>
        <v>0.4</v>
      </c>
      <c r="K270" s="264">
        <f t="shared" ca="1" si="15"/>
        <v>0.4</v>
      </c>
      <c r="L270" s="264">
        <f t="shared" ca="1" si="15"/>
        <v>0.4</v>
      </c>
      <c r="M270" s="264">
        <f t="shared" ca="1" si="15"/>
        <v>0.6</v>
      </c>
      <c r="N270" s="264">
        <f t="shared" ca="1" si="15"/>
        <v>1</v>
      </c>
      <c r="O270" s="264">
        <f t="shared" ca="1" si="15"/>
        <v>0.6</v>
      </c>
      <c r="P270" s="264">
        <f t="shared" ca="1" si="15"/>
        <v>0.4</v>
      </c>
      <c r="Q270" s="264">
        <f t="shared" ca="1" si="15"/>
        <v>0.8</v>
      </c>
      <c r="R270" s="264">
        <f t="shared" ca="1" si="15"/>
        <v>0.6</v>
      </c>
      <c r="S270" s="264">
        <f t="shared" ca="1" si="15"/>
        <v>0.6</v>
      </c>
      <c r="T270" s="264">
        <f t="shared" ca="1" si="16"/>
        <v>0.4</v>
      </c>
      <c r="U270" s="264">
        <f t="shared" ca="1" si="16"/>
        <v>0.8</v>
      </c>
      <c r="V270" s="264">
        <f t="shared" ca="1" si="16"/>
        <v>0.8</v>
      </c>
      <c r="W270" s="264">
        <f t="shared" ca="1" si="16"/>
        <v>0.4</v>
      </c>
      <c r="X270" s="264">
        <f t="shared" ca="1" si="16"/>
        <v>0.6</v>
      </c>
      <c r="Y270" s="264">
        <f t="shared" ca="1" si="16"/>
        <v>0.8</v>
      </c>
      <c r="Z270" s="264" t="str">
        <f t="shared" ca="1" si="16"/>
        <v/>
      </c>
      <c r="AA270" s="264">
        <f t="shared" ca="1" si="16"/>
        <v>0.8</v>
      </c>
      <c r="AB270" s="264">
        <f t="shared" ca="1" si="16"/>
        <v>0.6</v>
      </c>
      <c r="AC270" s="264">
        <f t="shared" ca="1" si="16"/>
        <v>0.8</v>
      </c>
      <c r="AD270" s="264">
        <f t="shared" ca="1" si="16"/>
        <v>0.6</v>
      </c>
      <c r="AE270" s="264">
        <f t="shared" ca="1" si="16"/>
        <v>0.6</v>
      </c>
    </row>
    <row r="271" spans="2:31" x14ac:dyDescent="0.15">
      <c r="B271" s="222">
        <v>23</v>
      </c>
      <c r="C271" s="122" t="s">
        <v>275</v>
      </c>
      <c r="D271" s="264">
        <f t="shared" ca="1" si="15"/>
        <v>0.8</v>
      </c>
      <c r="E271" s="264">
        <f t="shared" ca="1" si="15"/>
        <v>0.6</v>
      </c>
      <c r="F271" s="264">
        <f t="shared" ca="1" si="15"/>
        <v>0.8</v>
      </c>
      <c r="G271" s="264">
        <f t="shared" ca="1" si="15"/>
        <v>0.8</v>
      </c>
      <c r="H271" s="264">
        <f t="shared" ca="1" si="15"/>
        <v>0.8</v>
      </c>
      <c r="I271" s="264">
        <f t="shared" ca="1" si="15"/>
        <v>1</v>
      </c>
      <c r="J271" s="264">
        <f t="shared" ca="1" si="15"/>
        <v>0.2</v>
      </c>
      <c r="K271" s="264">
        <f t="shared" ca="1" si="15"/>
        <v>0.2</v>
      </c>
      <c r="L271" s="264">
        <f t="shared" ca="1" si="15"/>
        <v>0.2</v>
      </c>
      <c r="M271" s="264">
        <f t="shared" ca="1" si="15"/>
        <v>0.8</v>
      </c>
      <c r="N271" s="264">
        <f t="shared" ca="1" si="15"/>
        <v>0.8</v>
      </c>
      <c r="O271" s="264">
        <f t="shared" ca="1" si="15"/>
        <v>0.6</v>
      </c>
      <c r="P271" s="264">
        <f t="shared" ca="1" si="15"/>
        <v>0.6</v>
      </c>
      <c r="Q271" s="264">
        <f t="shared" ca="1" si="15"/>
        <v>0.6</v>
      </c>
      <c r="R271" s="264">
        <f t="shared" ca="1" si="15"/>
        <v>0.6</v>
      </c>
      <c r="S271" s="264">
        <f t="shared" ca="1" si="15"/>
        <v>0.6</v>
      </c>
      <c r="T271" s="264">
        <f t="shared" ca="1" si="16"/>
        <v>0.6</v>
      </c>
      <c r="U271" s="264">
        <f t="shared" ca="1" si="16"/>
        <v>0.6</v>
      </c>
      <c r="V271" s="264">
        <f t="shared" ca="1" si="16"/>
        <v>0.6</v>
      </c>
      <c r="W271" s="264">
        <f t="shared" ca="1" si="16"/>
        <v>0.6</v>
      </c>
      <c r="X271" s="264">
        <f t="shared" ca="1" si="16"/>
        <v>0.8</v>
      </c>
      <c r="Y271" s="264">
        <f t="shared" ca="1" si="16"/>
        <v>1</v>
      </c>
      <c r="Z271" s="264">
        <f t="shared" ca="1" si="16"/>
        <v>0.8</v>
      </c>
      <c r="AA271" s="264" t="str">
        <f t="shared" ca="1" si="16"/>
        <v/>
      </c>
      <c r="AB271" s="264">
        <f t="shared" ca="1" si="16"/>
        <v>0.8</v>
      </c>
      <c r="AC271" s="264">
        <f t="shared" ca="1" si="16"/>
        <v>0.8</v>
      </c>
      <c r="AD271" s="264">
        <f t="shared" ca="1" si="16"/>
        <v>0.6</v>
      </c>
      <c r="AE271" s="264">
        <f t="shared" ca="1" si="16"/>
        <v>0.6</v>
      </c>
    </row>
    <row r="272" spans="2:31" x14ac:dyDescent="0.15">
      <c r="B272" s="222">
        <v>24</v>
      </c>
      <c r="C272" s="122" t="s">
        <v>276</v>
      </c>
      <c r="D272" s="264">
        <f t="shared" ca="1" si="15"/>
        <v>0.4</v>
      </c>
      <c r="E272" s="264">
        <f t="shared" ca="1" si="15"/>
        <v>0.6</v>
      </c>
      <c r="F272" s="264">
        <f t="shared" ca="1" si="15"/>
        <v>0.6</v>
      </c>
      <c r="G272" s="264">
        <f t="shared" ca="1" si="15"/>
        <v>0.4</v>
      </c>
      <c r="H272" s="264">
        <f t="shared" ca="1" si="15"/>
        <v>0.6</v>
      </c>
      <c r="I272" s="264">
        <f t="shared" ca="1" si="15"/>
        <v>0.6</v>
      </c>
      <c r="J272" s="264">
        <f t="shared" ca="1" si="15"/>
        <v>0.4</v>
      </c>
      <c r="K272" s="264">
        <f t="shared" ca="1" si="15"/>
        <v>0.2</v>
      </c>
      <c r="L272" s="264">
        <f t="shared" ca="1" si="15"/>
        <v>0</v>
      </c>
      <c r="M272" s="264">
        <f t="shared" ca="1" si="15"/>
        <v>1</v>
      </c>
      <c r="N272" s="264">
        <f t="shared" ca="1" si="15"/>
        <v>0.6</v>
      </c>
      <c r="O272" s="264">
        <f t="shared" ca="1" si="15"/>
        <v>0.2</v>
      </c>
      <c r="P272" s="264">
        <f t="shared" ca="1" si="15"/>
        <v>0.4</v>
      </c>
      <c r="Q272" s="264">
        <f t="shared" ca="1" si="15"/>
        <v>0.2</v>
      </c>
      <c r="R272" s="264">
        <f t="shared" ca="1" si="15"/>
        <v>0.2</v>
      </c>
      <c r="S272" s="264">
        <f t="shared" ca="1" si="15"/>
        <v>0.2</v>
      </c>
      <c r="T272" s="264">
        <f t="shared" ca="1" si="16"/>
        <v>0.2</v>
      </c>
      <c r="U272" s="264">
        <f t="shared" ca="1" si="16"/>
        <v>0.2</v>
      </c>
      <c r="V272" s="264">
        <f t="shared" ca="1" si="16"/>
        <v>0.2</v>
      </c>
      <c r="W272" s="264">
        <f t="shared" ca="1" si="16"/>
        <v>0.2</v>
      </c>
      <c r="X272" s="264">
        <f t="shared" ca="1" si="16"/>
        <v>0.4</v>
      </c>
      <c r="Y272" s="264">
        <f t="shared" ca="1" si="16"/>
        <v>0.6</v>
      </c>
      <c r="Z272" s="264">
        <f t="shared" ca="1" si="16"/>
        <v>0.6</v>
      </c>
      <c r="AA272" s="264">
        <f t="shared" ca="1" si="16"/>
        <v>0.8</v>
      </c>
      <c r="AB272" s="264" t="str">
        <f t="shared" ca="1" si="16"/>
        <v/>
      </c>
      <c r="AC272" s="264">
        <f t="shared" ca="1" si="16"/>
        <v>0.8</v>
      </c>
      <c r="AD272" s="264">
        <f t="shared" ca="1" si="16"/>
        <v>0.4</v>
      </c>
      <c r="AE272" s="264">
        <f t="shared" ca="1" si="16"/>
        <v>0.4</v>
      </c>
    </row>
    <row r="273" spans="1:31" x14ac:dyDescent="0.15">
      <c r="B273" s="222">
        <v>25</v>
      </c>
      <c r="C273" s="122" t="s">
        <v>277</v>
      </c>
      <c r="D273" s="264">
        <f t="shared" ca="1" si="15"/>
        <v>1</v>
      </c>
      <c r="E273" s="264">
        <f t="shared" ca="1" si="15"/>
        <v>1</v>
      </c>
      <c r="F273" s="264">
        <f t="shared" ca="1" si="15"/>
        <v>0.8</v>
      </c>
      <c r="G273" s="264">
        <f t="shared" ca="1" si="15"/>
        <v>0.8</v>
      </c>
      <c r="H273" s="264">
        <f t="shared" ca="1" si="15"/>
        <v>1</v>
      </c>
      <c r="I273" s="264">
        <f t="shared" ca="1" si="15"/>
        <v>1</v>
      </c>
      <c r="J273" s="264">
        <f t="shared" ref="J273:Y275" ca="1" si="17">IF($B273=J$246,"", SSRSharedRatio(OFFSET($D$98:$H$98,$B273,0),OFFSET($D$98:$H$98,J$246,0)))</f>
        <v>0.2</v>
      </c>
      <c r="K273" s="264">
        <f t="shared" ca="1" si="17"/>
        <v>0.8</v>
      </c>
      <c r="L273" s="264">
        <f t="shared" ca="1" si="17"/>
        <v>0.6</v>
      </c>
      <c r="M273" s="264">
        <f t="shared" ca="1" si="17"/>
        <v>0.6</v>
      </c>
      <c r="N273" s="264">
        <f t="shared" ca="1" si="17"/>
        <v>0.8</v>
      </c>
      <c r="O273" s="264">
        <f t="shared" ca="1" si="17"/>
        <v>0.8</v>
      </c>
      <c r="P273" s="264">
        <f t="shared" ca="1" si="17"/>
        <v>1</v>
      </c>
      <c r="Q273" s="264">
        <f t="shared" ca="1" si="17"/>
        <v>0.8</v>
      </c>
      <c r="R273" s="264">
        <f t="shared" ca="1" si="17"/>
        <v>0.8</v>
      </c>
      <c r="S273" s="264">
        <f t="shared" ca="1" si="17"/>
        <v>0.8</v>
      </c>
      <c r="T273" s="264">
        <f t="shared" ca="1" si="17"/>
        <v>1</v>
      </c>
      <c r="U273" s="264">
        <f t="shared" ca="1" si="17"/>
        <v>0.8</v>
      </c>
      <c r="V273" s="264">
        <f t="shared" ca="1" si="17"/>
        <v>0.8</v>
      </c>
      <c r="W273" s="264">
        <f t="shared" ca="1" si="17"/>
        <v>0.8</v>
      </c>
      <c r="X273" s="264">
        <f t="shared" ca="1" si="17"/>
        <v>1</v>
      </c>
      <c r="Y273" s="264">
        <f t="shared" ca="1" si="17"/>
        <v>0.8</v>
      </c>
      <c r="Z273" s="264">
        <f t="shared" ca="1" si="16"/>
        <v>0.8</v>
      </c>
      <c r="AA273" s="264">
        <f t="shared" ca="1" si="16"/>
        <v>0.8</v>
      </c>
      <c r="AB273" s="264">
        <f t="shared" ca="1" si="16"/>
        <v>0.8</v>
      </c>
      <c r="AC273" s="264" t="str">
        <f t="shared" ca="1" si="16"/>
        <v/>
      </c>
      <c r="AD273" s="264">
        <f t="shared" ca="1" si="16"/>
        <v>1</v>
      </c>
      <c r="AE273" s="264">
        <f t="shared" ca="1" si="16"/>
        <v>1</v>
      </c>
    </row>
    <row r="274" spans="1:31" x14ac:dyDescent="0.15">
      <c r="B274" s="222">
        <v>26</v>
      </c>
      <c r="C274" s="122" t="s">
        <v>278</v>
      </c>
      <c r="D274" s="264">
        <f t="shared" ref="D274:S275" ca="1" si="18">IF($B274=D$246,"", SSRSharedRatio(OFFSET($D$98:$H$98,$B274,0),OFFSET($D$98:$H$98,D$246,0)))</f>
        <v>1</v>
      </c>
      <c r="E274" s="264">
        <f t="shared" ca="1" si="18"/>
        <v>1</v>
      </c>
      <c r="F274" s="264">
        <f t="shared" ca="1" si="18"/>
        <v>0.6</v>
      </c>
      <c r="G274" s="264">
        <f t="shared" ca="1" si="18"/>
        <v>1</v>
      </c>
      <c r="H274" s="264">
        <f t="shared" ca="1" si="18"/>
        <v>0.8</v>
      </c>
      <c r="I274" s="264">
        <f t="shared" ca="1" si="18"/>
        <v>1</v>
      </c>
      <c r="J274" s="264">
        <f t="shared" ca="1" si="18"/>
        <v>0.4</v>
      </c>
      <c r="K274" s="264">
        <f t="shared" ca="1" si="18"/>
        <v>0.6</v>
      </c>
      <c r="L274" s="264">
        <f t="shared" ca="1" si="18"/>
        <v>0.8</v>
      </c>
      <c r="M274" s="264">
        <f t="shared" ca="1" si="18"/>
        <v>0.8</v>
      </c>
      <c r="N274" s="264">
        <f t="shared" ca="1" si="18"/>
        <v>0.4</v>
      </c>
      <c r="O274" s="264">
        <f t="shared" ca="1" si="18"/>
        <v>1</v>
      </c>
      <c r="P274" s="264">
        <f t="shared" ca="1" si="18"/>
        <v>1</v>
      </c>
      <c r="Q274" s="264">
        <f t="shared" ca="1" si="18"/>
        <v>1</v>
      </c>
      <c r="R274" s="264">
        <f t="shared" ca="1" si="18"/>
        <v>1</v>
      </c>
      <c r="S274" s="264">
        <f t="shared" ca="1" si="18"/>
        <v>1</v>
      </c>
      <c r="T274" s="264">
        <f t="shared" ca="1" si="17"/>
        <v>1</v>
      </c>
      <c r="U274" s="264">
        <f t="shared" ca="1" si="17"/>
        <v>1</v>
      </c>
      <c r="V274" s="264">
        <f t="shared" ca="1" si="17"/>
        <v>1</v>
      </c>
      <c r="W274" s="264">
        <f t="shared" ca="1" si="17"/>
        <v>1</v>
      </c>
      <c r="X274" s="264">
        <f t="shared" ca="1" si="17"/>
        <v>1</v>
      </c>
      <c r="Y274" s="264">
        <f t="shared" ca="1" si="17"/>
        <v>0.6</v>
      </c>
      <c r="Z274" s="264">
        <f t="shared" ca="1" si="16"/>
        <v>0.6</v>
      </c>
      <c r="AA274" s="264">
        <f t="shared" ca="1" si="16"/>
        <v>0.6</v>
      </c>
      <c r="AB274" s="264">
        <f t="shared" ca="1" si="16"/>
        <v>0.4</v>
      </c>
      <c r="AC274" s="264">
        <f t="shared" ca="1" si="16"/>
        <v>1</v>
      </c>
      <c r="AD274" s="264" t="str">
        <f t="shared" ca="1" si="16"/>
        <v/>
      </c>
      <c r="AE274" s="264">
        <f t="shared" ca="1" si="16"/>
        <v>1</v>
      </c>
    </row>
    <row r="275" spans="1:31" x14ac:dyDescent="0.15">
      <c r="B275" s="265">
        <v>27</v>
      </c>
      <c r="C275" s="123" t="s">
        <v>279</v>
      </c>
      <c r="D275" s="267">
        <f t="shared" ca="1" si="18"/>
        <v>1</v>
      </c>
      <c r="E275" s="267">
        <f t="shared" ca="1" si="18"/>
        <v>0.8</v>
      </c>
      <c r="F275" s="267">
        <f t="shared" ca="1" si="18"/>
        <v>0.6</v>
      </c>
      <c r="G275" s="267">
        <f t="shared" ca="1" si="18"/>
        <v>0.6</v>
      </c>
      <c r="H275" s="267">
        <f t="shared" ca="1" si="18"/>
        <v>0.6</v>
      </c>
      <c r="I275" s="267">
        <f t="shared" ca="1" si="18"/>
        <v>1</v>
      </c>
      <c r="J275" s="267">
        <f t="shared" ca="1" si="18"/>
        <v>0.4</v>
      </c>
      <c r="K275" s="267">
        <f t="shared" ca="1" si="18"/>
        <v>0.6</v>
      </c>
      <c r="L275" s="267">
        <f t="shared" ca="1" si="18"/>
        <v>0.4</v>
      </c>
      <c r="M275" s="267">
        <f t="shared" ca="1" si="18"/>
        <v>0.8</v>
      </c>
      <c r="N275" s="267">
        <f t="shared" ca="1" si="18"/>
        <v>0.4</v>
      </c>
      <c r="O275" s="267">
        <f t="shared" ca="1" si="18"/>
        <v>1</v>
      </c>
      <c r="P275" s="267">
        <f t="shared" ca="1" si="18"/>
        <v>0.6</v>
      </c>
      <c r="Q275" s="267">
        <f t="shared" ca="1" si="18"/>
        <v>0.8</v>
      </c>
      <c r="R275" s="267">
        <f t="shared" ca="1" si="18"/>
        <v>1</v>
      </c>
      <c r="S275" s="267">
        <f t="shared" ca="1" si="18"/>
        <v>1</v>
      </c>
      <c r="T275" s="267">
        <f t="shared" ca="1" si="17"/>
        <v>0.6</v>
      </c>
      <c r="U275" s="267">
        <f t="shared" ca="1" si="17"/>
        <v>0.8</v>
      </c>
      <c r="V275" s="267">
        <f t="shared" ca="1" si="17"/>
        <v>0.8</v>
      </c>
      <c r="W275" s="267">
        <f t="shared" ca="1" si="17"/>
        <v>0.6</v>
      </c>
      <c r="X275" s="267">
        <f t="shared" ca="1" si="17"/>
        <v>0.8</v>
      </c>
      <c r="Y275" s="267">
        <f t="shared" ca="1" si="17"/>
        <v>0.6</v>
      </c>
      <c r="Z275" s="267">
        <f t="shared" ca="1" si="16"/>
        <v>0.6</v>
      </c>
      <c r="AA275" s="267">
        <f t="shared" ca="1" si="16"/>
        <v>0.6</v>
      </c>
      <c r="AB275" s="267">
        <f t="shared" ca="1" si="16"/>
        <v>0.4</v>
      </c>
      <c r="AC275" s="267">
        <f t="shared" ca="1" si="16"/>
        <v>1</v>
      </c>
      <c r="AD275" s="267">
        <f t="shared" ca="1" si="16"/>
        <v>1</v>
      </c>
      <c r="AE275" s="267" t="str">
        <f t="shared" ca="1" si="16"/>
        <v/>
      </c>
    </row>
    <row r="278" spans="1:31" x14ac:dyDescent="0.15">
      <c r="A278" s="268"/>
      <c r="B278" s="268" t="s">
        <v>1639</v>
      </c>
      <c r="C278" s="269"/>
      <c r="D278" s="269"/>
      <c r="E278" s="269"/>
      <c r="F278" s="269"/>
      <c r="G278" s="270"/>
      <c r="H278" s="269"/>
      <c r="I278" s="269"/>
      <c r="J278" s="270"/>
      <c r="K278" s="269"/>
      <c r="L278" s="269"/>
      <c r="M278" s="269"/>
      <c r="N278" s="269"/>
      <c r="O278" s="269"/>
      <c r="P278" s="269"/>
      <c r="Q278" s="269"/>
    </row>
    <row r="279" spans="1:31" x14ac:dyDescent="0.15">
      <c r="A279" s="101"/>
      <c r="B279" s="53"/>
      <c r="C279" s="278" t="s">
        <v>1614</v>
      </c>
      <c r="D279" s="271" t="s">
        <v>1617</v>
      </c>
      <c r="E279" s="53"/>
      <c r="F279" s="53"/>
      <c r="G279" s="85"/>
      <c r="H279" s="53"/>
      <c r="I279" s="53"/>
      <c r="J279" s="85"/>
      <c r="K279" s="53"/>
      <c r="L279" s="53"/>
      <c r="M279" s="53"/>
      <c r="N279" s="53"/>
      <c r="O279" s="53"/>
      <c r="P279" s="53"/>
      <c r="Q279" s="53"/>
      <c r="R279" s="53"/>
      <c r="S279" s="53"/>
      <c r="T279" s="53"/>
      <c r="U279" s="53"/>
      <c r="V279" s="53"/>
      <c r="W279" s="53"/>
      <c r="X279" s="53"/>
      <c r="Y279" s="53"/>
    </row>
    <row r="280" spans="1:31" x14ac:dyDescent="0.15">
      <c r="C280" s="277" t="s">
        <v>1615</v>
      </c>
      <c r="D280" s="266">
        <v>0.9</v>
      </c>
    </row>
    <row r="281" spans="1:31" x14ac:dyDescent="0.15">
      <c r="C281" s="277" t="s">
        <v>1640</v>
      </c>
      <c r="D281" s="281" t="s">
        <v>1645</v>
      </c>
    </row>
    <row r="282" spans="1:31" x14ac:dyDescent="0.15">
      <c r="C282" s="16"/>
      <c r="D282" s="281" t="s">
        <v>1643</v>
      </c>
    </row>
    <row r="283" spans="1:31" x14ac:dyDescent="0.15">
      <c r="C283" s="16"/>
      <c r="D283" s="281" t="s">
        <v>1644</v>
      </c>
    </row>
    <row r="285" spans="1:31" x14ac:dyDescent="0.15">
      <c r="B285" s="265" t="s">
        <v>1613</v>
      </c>
      <c r="C285" s="265"/>
      <c r="D285" s="265">
        <v>0</v>
      </c>
      <c r="E285" s="265">
        <v>1</v>
      </c>
      <c r="F285" s="265">
        <v>2</v>
      </c>
      <c r="G285" s="265">
        <v>3</v>
      </c>
      <c r="H285" s="265">
        <v>4</v>
      </c>
      <c r="I285" s="265">
        <v>5</v>
      </c>
      <c r="J285" s="265">
        <v>6</v>
      </c>
      <c r="K285" s="265">
        <v>7</v>
      </c>
      <c r="L285" s="265">
        <v>8</v>
      </c>
      <c r="M285" s="265">
        <v>9</v>
      </c>
      <c r="N285" s="265">
        <v>10</v>
      </c>
      <c r="O285" s="265">
        <v>11</v>
      </c>
      <c r="P285" s="265">
        <v>12</v>
      </c>
      <c r="Q285" s="265">
        <v>13</v>
      </c>
      <c r="R285" s="265">
        <v>14</v>
      </c>
      <c r="S285" s="265">
        <v>15</v>
      </c>
      <c r="T285" s="265">
        <v>16</v>
      </c>
      <c r="U285" s="265">
        <v>17</v>
      </c>
      <c r="V285" s="265">
        <v>18</v>
      </c>
      <c r="W285" s="265">
        <v>19</v>
      </c>
      <c r="X285" s="265">
        <v>20</v>
      </c>
      <c r="Y285" s="265">
        <v>21</v>
      </c>
      <c r="Z285" s="265">
        <v>22</v>
      </c>
      <c r="AA285" s="265">
        <v>23</v>
      </c>
      <c r="AB285" s="265">
        <v>24</v>
      </c>
      <c r="AC285" s="265">
        <v>25</v>
      </c>
      <c r="AD285" s="265">
        <v>26</v>
      </c>
      <c r="AE285" s="265">
        <v>27</v>
      </c>
    </row>
    <row r="286" spans="1:31" ht="67.5" customHeight="1" x14ac:dyDescent="0.15">
      <c r="B286" s="272"/>
      <c r="C286" s="62"/>
      <c r="D286" s="263" t="s">
        <v>191</v>
      </c>
      <c r="E286" s="263" t="s">
        <v>192</v>
      </c>
      <c r="F286" s="263" t="s">
        <v>193</v>
      </c>
      <c r="G286" s="263" t="s">
        <v>194</v>
      </c>
      <c r="H286" s="263" t="s">
        <v>195</v>
      </c>
      <c r="I286" s="263" t="s">
        <v>196</v>
      </c>
      <c r="J286" s="263" t="s">
        <v>197</v>
      </c>
      <c r="K286" s="263" t="s">
        <v>198</v>
      </c>
      <c r="L286" s="263" t="s">
        <v>199</v>
      </c>
      <c r="M286" s="263" t="s">
        <v>200</v>
      </c>
      <c r="N286" s="263" t="s">
        <v>201</v>
      </c>
      <c r="O286" s="263" t="s">
        <v>202</v>
      </c>
      <c r="P286" s="263" t="s">
        <v>264</v>
      </c>
      <c r="Q286" s="263" t="s">
        <v>265</v>
      </c>
      <c r="R286" s="263" t="s">
        <v>266</v>
      </c>
      <c r="S286" s="263" t="s">
        <v>267</v>
      </c>
      <c r="T286" s="263" t="s">
        <v>268</v>
      </c>
      <c r="U286" s="263" t="s">
        <v>269</v>
      </c>
      <c r="V286" s="263" t="s">
        <v>270</v>
      </c>
      <c r="W286" s="263" t="s">
        <v>271</v>
      </c>
      <c r="X286" s="263" t="s">
        <v>272</v>
      </c>
      <c r="Y286" s="263" t="s">
        <v>273</v>
      </c>
      <c r="Z286" s="263" t="s">
        <v>274</v>
      </c>
      <c r="AA286" s="263" t="s">
        <v>275</v>
      </c>
      <c r="AB286" s="263" t="s">
        <v>276</v>
      </c>
      <c r="AC286" s="263" t="s">
        <v>277</v>
      </c>
      <c r="AD286" s="263" t="s">
        <v>278</v>
      </c>
      <c r="AE286" s="263" t="s">
        <v>279</v>
      </c>
    </row>
    <row r="287" spans="1:31" x14ac:dyDescent="0.15">
      <c r="B287" s="222">
        <v>0</v>
      </c>
      <c r="C287" s="122" t="s">
        <v>191</v>
      </c>
      <c r="D287" s="264" t="str">
        <f ca="1">IF($B287=D$285,"", SSRSharedRatio(OFFSET($L$98:$P$98,$B287,0),OFFSET($L$98:$P$98,D$285,0)))</f>
        <v/>
      </c>
      <c r="E287" s="264">
        <f t="shared" ref="E287:AE296" ca="1" si="19">IF($B287=E$285,"", SSRSharedRatio(OFFSET($L$98:$P$98,$B287,0),OFFSET($L$98:$P$98,E$285,0)))</f>
        <v>0.2</v>
      </c>
      <c r="F287" s="264">
        <f t="shared" ca="1" si="19"/>
        <v>0.2</v>
      </c>
      <c r="G287" s="264">
        <f t="shared" ca="1" si="19"/>
        <v>0.6</v>
      </c>
      <c r="H287" s="264">
        <f t="shared" ca="1" si="19"/>
        <v>0.2</v>
      </c>
      <c r="I287" s="264">
        <f t="shared" ca="1" si="19"/>
        <v>0.4</v>
      </c>
      <c r="J287" s="264">
        <f t="shared" ca="1" si="19"/>
        <v>0.2</v>
      </c>
      <c r="K287" s="264">
        <f t="shared" ca="1" si="19"/>
        <v>0.4</v>
      </c>
      <c r="L287" s="264">
        <f t="shared" ca="1" si="19"/>
        <v>0.6</v>
      </c>
      <c r="M287" s="264">
        <f t="shared" ca="1" si="19"/>
        <v>0.4</v>
      </c>
      <c r="N287" s="264">
        <f t="shared" ca="1" si="19"/>
        <v>0</v>
      </c>
      <c r="O287" s="264">
        <f t="shared" ca="1" si="19"/>
        <v>0.2</v>
      </c>
      <c r="P287" s="264">
        <f t="shared" ca="1" si="19"/>
        <v>0.8</v>
      </c>
      <c r="Q287" s="264">
        <f t="shared" ca="1" si="19"/>
        <v>0.4</v>
      </c>
      <c r="R287" s="264">
        <f t="shared" ca="1" si="19"/>
        <v>0.2</v>
      </c>
      <c r="S287" s="264">
        <f t="shared" ca="1" si="19"/>
        <v>0</v>
      </c>
      <c r="T287" s="264">
        <f t="shared" ca="1" si="19"/>
        <v>0.2</v>
      </c>
      <c r="U287" s="264">
        <f t="shared" ca="1" si="19"/>
        <v>0.6</v>
      </c>
      <c r="V287" s="264">
        <f t="shared" ca="1" si="19"/>
        <v>0.6</v>
      </c>
      <c r="W287" s="264">
        <f t="shared" ca="1" si="19"/>
        <v>0.4</v>
      </c>
      <c r="X287" s="264">
        <f t="shared" ca="1" si="19"/>
        <v>0.2</v>
      </c>
      <c r="Y287" s="264">
        <f t="shared" ca="1" si="19"/>
        <v>0.4</v>
      </c>
      <c r="Z287" s="264">
        <f t="shared" ca="1" si="19"/>
        <v>0.6</v>
      </c>
      <c r="AA287" s="264">
        <f t="shared" ca="1" si="19"/>
        <v>0.6</v>
      </c>
      <c r="AB287" s="264">
        <f t="shared" ca="1" si="19"/>
        <v>0.2</v>
      </c>
      <c r="AC287" s="264">
        <f t="shared" ca="1" si="19"/>
        <v>0.4</v>
      </c>
      <c r="AD287" s="264">
        <f t="shared" ca="1" si="19"/>
        <v>0.2</v>
      </c>
      <c r="AE287" s="264">
        <f t="shared" ca="1" si="19"/>
        <v>0.4</v>
      </c>
    </row>
    <row r="288" spans="1:31" x14ac:dyDescent="0.15">
      <c r="B288" s="222">
        <v>1</v>
      </c>
      <c r="C288" s="122" t="s">
        <v>192</v>
      </c>
      <c r="D288" s="264">
        <f t="shared" ref="D288:S312" ca="1" si="20">IF($B288=D$285,"", SSRSharedRatio(OFFSET($L$98:$P$98,$B288,0),OFFSET($L$98:$P$98,D$285,0)))</f>
        <v>0.2</v>
      </c>
      <c r="E288" s="264" t="str">
        <f t="shared" ca="1" si="19"/>
        <v/>
      </c>
      <c r="F288" s="264">
        <f t="shared" ca="1" si="19"/>
        <v>0.6</v>
      </c>
      <c r="G288" s="264">
        <f t="shared" ca="1" si="19"/>
        <v>0.2</v>
      </c>
      <c r="H288" s="264">
        <f t="shared" ca="1" si="19"/>
        <v>0.4</v>
      </c>
      <c r="I288" s="264">
        <f t="shared" ca="1" si="19"/>
        <v>0.6</v>
      </c>
      <c r="J288" s="264">
        <f t="shared" ca="1" si="19"/>
        <v>0.6</v>
      </c>
      <c r="K288" s="264">
        <f t="shared" ca="1" si="19"/>
        <v>0.6</v>
      </c>
      <c r="L288" s="264">
        <f t="shared" ca="1" si="19"/>
        <v>0.4</v>
      </c>
      <c r="M288" s="264">
        <f t="shared" ca="1" si="19"/>
        <v>0.8</v>
      </c>
      <c r="N288" s="264">
        <f t="shared" ca="1" si="19"/>
        <v>0.4</v>
      </c>
      <c r="O288" s="264">
        <f t="shared" ca="1" si="19"/>
        <v>0.8</v>
      </c>
      <c r="P288" s="264">
        <f t="shared" ca="1" si="19"/>
        <v>0.4</v>
      </c>
      <c r="Q288" s="264">
        <f t="shared" ca="1" si="19"/>
        <v>0.6</v>
      </c>
      <c r="R288" s="264">
        <f t="shared" ca="1" si="19"/>
        <v>0.2</v>
      </c>
      <c r="S288" s="264">
        <f t="shared" ca="1" si="19"/>
        <v>0.6</v>
      </c>
      <c r="T288" s="264">
        <f t="shared" ca="1" si="19"/>
        <v>1</v>
      </c>
      <c r="U288" s="264">
        <f t="shared" ca="1" si="19"/>
        <v>0.6</v>
      </c>
      <c r="V288" s="264">
        <f t="shared" ca="1" si="19"/>
        <v>0.2</v>
      </c>
      <c r="W288" s="264">
        <f t="shared" ca="1" si="19"/>
        <v>0.2</v>
      </c>
      <c r="X288" s="264">
        <f t="shared" ca="1" si="19"/>
        <v>0.6</v>
      </c>
      <c r="Y288" s="264">
        <f t="shared" ca="1" si="19"/>
        <v>0.2</v>
      </c>
      <c r="Z288" s="264">
        <f t="shared" ca="1" si="19"/>
        <v>0.4</v>
      </c>
      <c r="AA288" s="264">
        <f t="shared" ca="1" si="19"/>
        <v>0.4</v>
      </c>
      <c r="AB288" s="264">
        <f t="shared" ca="1" si="19"/>
        <v>0.2</v>
      </c>
      <c r="AC288" s="264">
        <f t="shared" ca="1" si="19"/>
        <v>0</v>
      </c>
      <c r="AD288" s="264">
        <f t="shared" ca="1" si="19"/>
        <v>0.2</v>
      </c>
      <c r="AE288" s="264">
        <f t="shared" ca="1" si="19"/>
        <v>0.8</v>
      </c>
    </row>
    <row r="289" spans="2:31" x14ac:dyDescent="0.15">
      <c r="B289" s="222">
        <v>2</v>
      </c>
      <c r="C289" s="122" t="s">
        <v>193</v>
      </c>
      <c r="D289" s="264">
        <f t="shared" ca="1" si="20"/>
        <v>0.2</v>
      </c>
      <c r="E289" s="264">
        <f t="shared" ca="1" si="19"/>
        <v>0.6</v>
      </c>
      <c r="F289" s="264" t="str">
        <f t="shared" ca="1" si="19"/>
        <v/>
      </c>
      <c r="G289" s="264">
        <f t="shared" ca="1" si="19"/>
        <v>0.6</v>
      </c>
      <c r="H289" s="264">
        <f t="shared" ca="1" si="19"/>
        <v>0</v>
      </c>
      <c r="I289" s="264">
        <f t="shared" ca="1" si="19"/>
        <v>0.4</v>
      </c>
      <c r="J289" s="264">
        <f t="shared" ca="1" si="19"/>
        <v>1</v>
      </c>
      <c r="K289" s="264">
        <f t="shared" ca="1" si="19"/>
        <v>0.8</v>
      </c>
      <c r="L289" s="264">
        <f t="shared" ca="1" si="19"/>
        <v>0.4</v>
      </c>
      <c r="M289" s="264">
        <f t="shared" ca="1" si="19"/>
        <v>0.4</v>
      </c>
      <c r="N289" s="264">
        <f t="shared" ca="1" si="19"/>
        <v>0.4</v>
      </c>
      <c r="O289" s="264">
        <f t="shared" ca="1" si="19"/>
        <v>0.8</v>
      </c>
      <c r="P289" s="264">
        <f t="shared" ca="1" si="19"/>
        <v>0.2</v>
      </c>
      <c r="Q289" s="264">
        <f t="shared" ca="1" si="19"/>
        <v>0.6</v>
      </c>
      <c r="R289" s="264">
        <f t="shared" ca="1" si="19"/>
        <v>0.2</v>
      </c>
      <c r="S289" s="264">
        <f t="shared" ca="1" si="19"/>
        <v>0.6</v>
      </c>
      <c r="T289" s="264">
        <f t="shared" ca="1" si="19"/>
        <v>0.6</v>
      </c>
      <c r="U289" s="264">
        <f t="shared" ca="1" si="19"/>
        <v>0.4</v>
      </c>
      <c r="V289" s="264">
        <f t="shared" ca="1" si="19"/>
        <v>0</v>
      </c>
      <c r="W289" s="264">
        <f t="shared" ca="1" si="19"/>
        <v>0.2</v>
      </c>
      <c r="X289" s="264">
        <f t="shared" ca="1" si="19"/>
        <v>1</v>
      </c>
      <c r="Y289" s="264">
        <f t="shared" ca="1" si="19"/>
        <v>0.4</v>
      </c>
      <c r="Z289" s="264">
        <f t="shared" ca="1" si="19"/>
        <v>0.4</v>
      </c>
      <c r="AA289" s="264">
        <f t="shared" ca="1" si="19"/>
        <v>0.6</v>
      </c>
      <c r="AB289" s="264">
        <f t="shared" ca="1" si="19"/>
        <v>0.4</v>
      </c>
      <c r="AC289" s="264">
        <f t="shared" ca="1" si="19"/>
        <v>0.4</v>
      </c>
      <c r="AD289" s="264">
        <f t="shared" ca="1" si="19"/>
        <v>0.2</v>
      </c>
      <c r="AE289" s="264">
        <f t="shared" ca="1" si="19"/>
        <v>0.4</v>
      </c>
    </row>
    <row r="290" spans="2:31" x14ac:dyDescent="0.15">
      <c r="B290" s="222">
        <v>3</v>
      </c>
      <c r="C290" s="122" t="s">
        <v>194</v>
      </c>
      <c r="D290" s="264">
        <f t="shared" ca="1" si="20"/>
        <v>0.6</v>
      </c>
      <c r="E290" s="264">
        <f t="shared" ca="1" si="19"/>
        <v>0.2</v>
      </c>
      <c r="F290" s="264">
        <f t="shared" ca="1" si="19"/>
        <v>0.6</v>
      </c>
      <c r="G290" s="264" t="str">
        <f t="shared" ca="1" si="19"/>
        <v/>
      </c>
      <c r="H290" s="264">
        <f t="shared" ca="1" si="19"/>
        <v>0.2</v>
      </c>
      <c r="I290" s="264">
        <f t="shared" ca="1" si="19"/>
        <v>0.4</v>
      </c>
      <c r="J290" s="264">
        <f t="shared" ca="1" si="19"/>
        <v>0.6</v>
      </c>
      <c r="K290" s="264">
        <f t="shared" ca="1" si="19"/>
        <v>0.4</v>
      </c>
      <c r="L290" s="264">
        <f t="shared" ca="1" si="19"/>
        <v>0.8</v>
      </c>
      <c r="M290" s="264">
        <f t="shared" ca="1" si="19"/>
        <v>0.4</v>
      </c>
      <c r="N290" s="264">
        <f t="shared" ca="1" si="19"/>
        <v>0.2</v>
      </c>
      <c r="O290" s="264">
        <f t="shared" ca="1" si="19"/>
        <v>0.4</v>
      </c>
      <c r="P290" s="264">
        <f t="shared" ca="1" si="19"/>
        <v>0.6</v>
      </c>
      <c r="Q290" s="264">
        <f t="shared" ca="1" si="19"/>
        <v>0.6</v>
      </c>
      <c r="R290" s="264">
        <f t="shared" ca="1" si="19"/>
        <v>0.4</v>
      </c>
      <c r="S290" s="264">
        <f t="shared" ca="1" si="19"/>
        <v>0.2</v>
      </c>
      <c r="T290" s="264">
        <f t="shared" ca="1" si="19"/>
        <v>0.2</v>
      </c>
      <c r="U290" s="264">
        <f t="shared" ca="1" si="19"/>
        <v>0.4</v>
      </c>
      <c r="V290" s="264">
        <f t="shared" ca="1" si="19"/>
        <v>0.4</v>
      </c>
      <c r="W290" s="264">
        <f t="shared" ca="1" si="19"/>
        <v>0.6</v>
      </c>
      <c r="X290" s="264">
        <f t="shared" ca="1" si="19"/>
        <v>0.6</v>
      </c>
      <c r="Y290" s="264">
        <f t="shared" ca="1" si="19"/>
        <v>0.4</v>
      </c>
      <c r="Z290" s="264">
        <f t="shared" ca="1" si="19"/>
        <v>0.8</v>
      </c>
      <c r="AA290" s="264">
        <f t="shared" ca="1" si="19"/>
        <v>0.6</v>
      </c>
      <c r="AB290" s="264">
        <f t="shared" ca="1" si="19"/>
        <v>0.2</v>
      </c>
      <c r="AC290" s="264">
        <f t="shared" ca="1" si="19"/>
        <v>0.8</v>
      </c>
      <c r="AD290" s="264">
        <f t="shared" ca="1" si="19"/>
        <v>0.4</v>
      </c>
      <c r="AE290" s="264">
        <f t="shared" ca="1" si="19"/>
        <v>0.4</v>
      </c>
    </row>
    <row r="291" spans="2:31" x14ac:dyDescent="0.15">
      <c r="B291" s="222">
        <v>4</v>
      </c>
      <c r="C291" s="122" t="s">
        <v>195</v>
      </c>
      <c r="D291" s="264">
        <f t="shared" ca="1" si="20"/>
        <v>0.2</v>
      </c>
      <c r="E291" s="264">
        <f t="shared" ca="1" si="19"/>
        <v>0.4</v>
      </c>
      <c r="F291" s="264">
        <f t="shared" ca="1" si="19"/>
        <v>0</v>
      </c>
      <c r="G291" s="264">
        <f t="shared" ca="1" si="19"/>
        <v>0.2</v>
      </c>
      <c r="H291" s="264" t="str">
        <f t="shared" ca="1" si="19"/>
        <v/>
      </c>
      <c r="I291" s="264">
        <f t="shared" ca="1" si="19"/>
        <v>0.2</v>
      </c>
      <c r="J291" s="264">
        <f t="shared" ca="1" si="19"/>
        <v>0</v>
      </c>
      <c r="K291" s="264">
        <f t="shared" ca="1" si="19"/>
        <v>0</v>
      </c>
      <c r="L291" s="264">
        <f t="shared" ca="1" si="19"/>
        <v>0.4</v>
      </c>
      <c r="M291" s="264">
        <f t="shared" ca="1" si="19"/>
        <v>0.6</v>
      </c>
      <c r="N291" s="264">
        <f t="shared" ca="1" si="19"/>
        <v>0.6</v>
      </c>
      <c r="O291" s="264">
        <f t="shared" ca="1" si="19"/>
        <v>0.2</v>
      </c>
      <c r="P291" s="264">
        <f t="shared" ca="1" si="19"/>
        <v>0.4</v>
      </c>
      <c r="Q291" s="264">
        <f t="shared" ca="1" si="19"/>
        <v>0.4</v>
      </c>
      <c r="R291" s="264">
        <f t="shared" ca="1" si="19"/>
        <v>0.8</v>
      </c>
      <c r="S291" s="264">
        <f t="shared" ca="1" si="19"/>
        <v>0.2</v>
      </c>
      <c r="T291" s="264">
        <f t="shared" ca="1" si="19"/>
        <v>0.4</v>
      </c>
      <c r="U291" s="264">
        <f t="shared" ca="1" si="19"/>
        <v>0.4</v>
      </c>
      <c r="V291" s="264">
        <f t="shared" ca="1" si="19"/>
        <v>0.6</v>
      </c>
      <c r="W291" s="264">
        <f t="shared" ca="1" si="19"/>
        <v>0.6</v>
      </c>
      <c r="X291" s="264">
        <f t="shared" ca="1" si="19"/>
        <v>0</v>
      </c>
      <c r="Y291" s="264">
        <f t="shared" ca="1" si="19"/>
        <v>0.4</v>
      </c>
      <c r="Z291" s="264">
        <f t="shared" ca="1" si="19"/>
        <v>0.4</v>
      </c>
      <c r="AA291" s="264">
        <f t="shared" ca="1" si="19"/>
        <v>0</v>
      </c>
      <c r="AB291" s="264">
        <f t="shared" ca="1" si="19"/>
        <v>0.4</v>
      </c>
      <c r="AC291" s="264">
        <f t="shared" ca="1" si="19"/>
        <v>0.4</v>
      </c>
      <c r="AD291" s="264">
        <f t="shared" ca="1" si="19"/>
        <v>0.8</v>
      </c>
      <c r="AE291" s="264">
        <f t="shared" ca="1" si="19"/>
        <v>0.4</v>
      </c>
    </row>
    <row r="292" spans="2:31" x14ac:dyDescent="0.15">
      <c r="B292" s="222">
        <v>5</v>
      </c>
      <c r="C292" s="122" t="s">
        <v>196</v>
      </c>
      <c r="D292" s="264">
        <f t="shared" ca="1" si="20"/>
        <v>0.4</v>
      </c>
      <c r="E292" s="264">
        <f t="shared" ca="1" si="19"/>
        <v>0.6</v>
      </c>
      <c r="F292" s="264">
        <f t="shared" ca="1" si="19"/>
        <v>0.4</v>
      </c>
      <c r="G292" s="264">
        <f t="shared" ca="1" si="19"/>
        <v>0.4</v>
      </c>
      <c r="H292" s="264">
        <f t="shared" ca="1" si="19"/>
        <v>0.2</v>
      </c>
      <c r="I292" s="264" t="str">
        <f t="shared" ca="1" si="19"/>
        <v/>
      </c>
      <c r="J292" s="264">
        <f t="shared" ca="1" si="19"/>
        <v>0.4</v>
      </c>
      <c r="K292" s="264">
        <f t="shared" ca="1" si="19"/>
        <v>0.4</v>
      </c>
      <c r="L292" s="264">
        <f t="shared" ca="1" si="19"/>
        <v>0.4</v>
      </c>
      <c r="M292" s="264">
        <f t="shared" ca="1" si="19"/>
        <v>0.4</v>
      </c>
      <c r="N292" s="264">
        <f t="shared" ca="1" si="19"/>
        <v>0.4</v>
      </c>
      <c r="O292" s="264">
        <f t="shared" ca="1" si="19"/>
        <v>0.4</v>
      </c>
      <c r="P292" s="264">
        <f t="shared" ca="1" si="19"/>
        <v>0.4</v>
      </c>
      <c r="Q292" s="264">
        <f t="shared" ca="1" si="19"/>
        <v>0.4</v>
      </c>
      <c r="R292" s="264">
        <f t="shared" ca="1" si="19"/>
        <v>0</v>
      </c>
      <c r="S292" s="264">
        <f t="shared" ca="1" si="19"/>
        <v>0.2</v>
      </c>
      <c r="T292" s="264">
        <f t="shared" ca="1" si="19"/>
        <v>0.6</v>
      </c>
      <c r="U292" s="264">
        <f t="shared" ca="1" si="19"/>
        <v>0.2</v>
      </c>
      <c r="V292" s="264">
        <f t="shared" ca="1" si="19"/>
        <v>0.2</v>
      </c>
      <c r="W292" s="264">
        <f t="shared" ca="1" si="19"/>
        <v>0.4</v>
      </c>
      <c r="X292" s="264">
        <f t="shared" ca="1" si="19"/>
        <v>0.4</v>
      </c>
      <c r="Y292" s="264">
        <f t="shared" ca="1" si="19"/>
        <v>0</v>
      </c>
      <c r="Z292" s="264">
        <f t="shared" ca="1" si="19"/>
        <v>0.6</v>
      </c>
      <c r="AA292" s="264">
        <f t="shared" ca="1" si="19"/>
        <v>0.6</v>
      </c>
      <c r="AB292" s="264">
        <f t="shared" ca="1" si="19"/>
        <v>0.2</v>
      </c>
      <c r="AC292" s="264">
        <f t="shared" ca="1" si="19"/>
        <v>0.2</v>
      </c>
      <c r="AD292" s="264">
        <f t="shared" ca="1" si="19"/>
        <v>0</v>
      </c>
      <c r="AE292" s="264">
        <f t="shared" ca="1" si="19"/>
        <v>0.8</v>
      </c>
    </row>
    <row r="293" spans="2:31" x14ac:dyDescent="0.15">
      <c r="B293" s="222">
        <v>6</v>
      </c>
      <c r="C293" s="122" t="s">
        <v>197</v>
      </c>
      <c r="D293" s="264">
        <f t="shared" ca="1" si="20"/>
        <v>0.2</v>
      </c>
      <c r="E293" s="264">
        <f t="shared" ca="1" si="19"/>
        <v>0.6</v>
      </c>
      <c r="F293" s="264">
        <f t="shared" ca="1" si="19"/>
        <v>1</v>
      </c>
      <c r="G293" s="264">
        <f t="shared" ca="1" si="19"/>
        <v>0.6</v>
      </c>
      <c r="H293" s="264">
        <f t="shared" ca="1" si="19"/>
        <v>0</v>
      </c>
      <c r="I293" s="264">
        <f t="shared" ca="1" si="19"/>
        <v>0.4</v>
      </c>
      <c r="J293" s="264" t="str">
        <f t="shared" ca="1" si="19"/>
        <v/>
      </c>
      <c r="K293" s="264">
        <f t="shared" ca="1" si="19"/>
        <v>0.8</v>
      </c>
      <c r="L293" s="264">
        <f t="shared" ca="1" si="19"/>
        <v>0.4</v>
      </c>
      <c r="M293" s="264">
        <f t="shared" ca="1" si="19"/>
        <v>0.4</v>
      </c>
      <c r="N293" s="264">
        <f t="shared" ca="1" si="19"/>
        <v>0.4</v>
      </c>
      <c r="O293" s="264">
        <f t="shared" ca="1" si="19"/>
        <v>0.8</v>
      </c>
      <c r="P293" s="264">
        <f t="shared" ca="1" si="19"/>
        <v>0.2</v>
      </c>
      <c r="Q293" s="264">
        <f t="shared" ca="1" si="19"/>
        <v>0.6</v>
      </c>
      <c r="R293" s="264">
        <f t="shared" ca="1" si="19"/>
        <v>0.2</v>
      </c>
      <c r="S293" s="264">
        <f t="shared" ca="1" si="19"/>
        <v>0.6</v>
      </c>
      <c r="T293" s="264">
        <f t="shared" ca="1" si="19"/>
        <v>0.6</v>
      </c>
      <c r="U293" s="264">
        <f t="shared" ca="1" si="19"/>
        <v>0.4</v>
      </c>
      <c r="V293" s="264">
        <f t="shared" ca="1" si="19"/>
        <v>0</v>
      </c>
      <c r="W293" s="264">
        <f t="shared" ca="1" si="19"/>
        <v>0.2</v>
      </c>
      <c r="X293" s="264">
        <f t="shared" ca="1" si="19"/>
        <v>1</v>
      </c>
      <c r="Y293" s="264">
        <f t="shared" ca="1" si="19"/>
        <v>0.4</v>
      </c>
      <c r="Z293" s="264">
        <f t="shared" ca="1" si="19"/>
        <v>0.4</v>
      </c>
      <c r="AA293" s="264">
        <f t="shared" ca="1" si="19"/>
        <v>0.6</v>
      </c>
      <c r="AB293" s="264">
        <f t="shared" ca="1" si="19"/>
        <v>0.4</v>
      </c>
      <c r="AC293" s="264">
        <f t="shared" ca="1" si="19"/>
        <v>0.4</v>
      </c>
      <c r="AD293" s="264">
        <f t="shared" ca="1" si="19"/>
        <v>0.2</v>
      </c>
      <c r="AE293" s="264">
        <f t="shared" ca="1" si="19"/>
        <v>0.4</v>
      </c>
    </row>
    <row r="294" spans="2:31" x14ac:dyDescent="0.15">
      <c r="B294" s="222">
        <v>7</v>
      </c>
      <c r="C294" s="122" t="s">
        <v>198</v>
      </c>
      <c r="D294" s="264">
        <f t="shared" ca="1" si="20"/>
        <v>0.4</v>
      </c>
      <c r="E294" s="264">
        <f t="shared" ca="1" si="19"/>
        <v>0.6</v>
      </c>
      <c r="F294" s="264">
        <f t="shared" ca="1" si="19"/>
        <v>0.8</v>
      </c>
      <c r="G294" s="264">
        <f t="shared" ca="1" si="19"/>
        <v>0.4</v>
      </c>
      <c r="H294" s="264">
        <f t="shared" ca="1" si="19"/>
        <v>0</v>
      </c>
      <c r="I294" s="264">
        <f t="shared" ca="1" si="19"/>
        <v>0.4</v>
      </c>
      <c r="J294" s="264">
        <f t="shared" ca="1" si="19"/>
        <v>0.8</v>
      </c>
      <c r="K294" s="264" t="str">
        <f t="shared" ca="1" si="19"/>
        <v/>
      </c>
      <c r="L294" s="264">
        <f t="shared" ca="1" si="19"/>
        <v>0.2</v>
      </c>
      <c r="M294" s="264">
        <f t="shared" ca="1" si="19"/>
        <v>0.4</v>
      </c>
      <c r="N294" s="264">
        <f t="shared" ca="1" si="19"/>
        <v>0.4</v>
      </c>
      <c r="O294" s="264">
        <f t="shared" ca="1" si="19"/>
        <v>0.6</v>
      </c>
      <c r="P294" s="264">
        <f t="shared" ca="1" si="19"/>
        <v>0.4</v>
      </c>
      <c r="Q294" s="264">
        <f t="shared" ca="1" si="19"/>
        <v>0.6</v>
      </c>
      <c r="R294" s="264">
        <f t="shared" ca="1" si="19"/>
        <v>0</v>
      </c>
      <c r="S294" s="264">
        <f t="shared" ca="1" si="19"/>
        <v>0.4</v>
      </c>
      <c r="T294" s="264">
        <f t="shared" ca="1" si="19"/>
        <v>0.6</v>
      </c>
      <c r="U294" s="264">
        <f t="shared" ca="1" si="19"/>
        <v>0.6</v>
      </c>
      <c r="V294" s="264">
        <f t="shared" ca="1" si="19"/>
        <v>0.2</v>
      </c>
      <c r="W294" s="264">
        <f t="shared" ca="1" si="19"/>
        <v>0.2</v>
      </c>
      <c r="X294" s="264">
        <f t="shared" ca="1" si="19"/>
        <v>0.8</v>
      </c>
      <c r="Y294" s="264">
        <f t="shared" ca="1" si="19"/>
        <v>0.6</v>
      </c>
      <c r="Z294" s="264">
        <f t="shared" ca="1" si="19"/>
        <v>0.4</v>
      </c>
      <c r="AA294" s="264">
        <f t="shared" ca="1" si="19"/>
        <v>0.8</v>
      </c>
      <c r="AB294" s="264">
        <f t="shared" ca="1" si="19"/>
        <v>0.6</v>
      </c>
      <c r="AC294" s="264">
        <f t="shared" ca="1" si="19"/>
        <v>0.2</v>
      </c>
      <c r="AD294" s="264">
        <f t="shared" ca="1" si="19"/>
        <v>0</v>
      </c>
      <c r="AE294" s="264">
        <f t="shared" ca="1" si="19"/>
        <v>0.4</v>
      </c>
    </row>
    <row r="295" spans="2:31" x14ac:dyDescent="0.15">
      <c r="B295" s="222">
        <v>8</v>
      </c>
      <c r="C295" s="122" t="s">
        <v>199</v>
      </c>
      <c r="D295" s="264">
        <f t="shared" ca="1" si="20"/>
        <v>0.6</v>
      </c>
      <c r="E295" s="264">
        <f t="shared" ca="1" si="19"/>
        <v>0.4</v>
      </c>
      <c r="F295" s="264">
        <f t="shared" ca="1" si="19"/>
        <v>0.4</v>
      </c>
      <c r="G295" s="264">
        <f t="shared" ca="1" si="19"/>
        <v>0.8</v>
      </c>
      <c r="H295" s="264">
        <f t="shared" ca="1" si="19"/>
        <v>0.4</v>
      </c>
      <c r="I295" s="264">
        <f t="shared" ca="1" si="19"/>
        <v>0.4</v>
      </c>
      <c r="J295" s="264">
        <f t="shared" ca="1" si="19"/>
        <v>0.4</v>
      </c>
      <c r="K295" s="264">
        <f t="shared" ca="1" si="19"/>
        <v>0.2</v>
      </c>
      <c r="L295" s="264" t="str">
        <f t="shared" ca="1" si="19"/>
        <v/>
      </c>
      <c r="M295" s="264">
        <f t="shared" ca="1" si="19"/>
        <v>0.6</v>
      </c>
      <c r="N295" s="264">
        <f t="shared" ca="1" si="19"/>
        <v>0</v>
      </c>
      <c r="O295" s="264">
        <f t="shared" ca="1" si="19"/>
        <v>0.6</v>
      </c>
      <c r="P295" s="264">
        <f t="shared" ca="1" si="19"/>
        <v>0.8</v>
      </c>
      <c r="Q295" s="264">
        <f t="shared" ca="1" si="19"/>
        <v>0.4</v>
      </c>
      <c r="R295" s="264">
        <f t="shared" ca="1" si="19"/>
        <v>0.6</v>
      </c>
      <c r="S295" s="264">
        <f t="shared" ca="1" si="19"/>
        <v>0.4</v>
      </c>
      <c r="T295" s="264">
        <f t="shared" ca="1" si="19"/>
        <v>0.4</v>
      </c>
      <c r="U295" s="264">
        <f t="shared" ca="1" si="19"/>
        <v>0.6</v>
      </c>
      <c r="V295" s="264">
        <f t="shared" ca="1" si="19"/>
        <v>0.6</v>
      </c>
      <c r="W295" s="264">
        <f t="shared" ca="1" si="19"/>
        <v>0.4</v>
      </c>
      <c r="X295" s="264">
        <f t="shared" ca="1" si="19"/>
        <v>0.4</v>
      </c>
      <c r="Y295" s="264">
        <f t="shared" ca="1" si="19"/>
        <v>0.2</v>
      </c>
      <c r="Z295" s="264">
        <f t="shared" ca="1" si="19"/>
        <v>0.6</v>
      </c>
      <c r="AA295" s="264">
        <f t="shared" ca="1" si="19"/>
        <v>0.4</v>
      </c>
      <c r="AB295" s="264">
        <f t="shared" ca="1" si="19"/>
        <v>0</v>
      </c>
      <c r="AC295" s="264">
        <f t="shared" ca="1" si="19"/>
        <v>0.6</v>
      </c>
      <c r="AD295" s="264">
        <f t="shared" ca="1" si="19"/>
        <v>0.6</v>
      </c>
      <c r="AE295" s="264">
        <f t="shared" ca="1" si="19"/>
        <v>0.6</v>
      </c>
    </row>
    <row r="296" spans="2:31" x14ac:dyDescent="0.15">
      <c r="B296" s="222">
        <v>9</v>
      </c>
      <c r="C296" s="122" t="s">
        <v>200</v>
      </c>
      <c r="D296" s="264">
        <f t="shared" ca="1" si="20"/>
        <v>0.4</v>
      </c>
      <c r="E296" s="264">
        <f t="shared" ca="1" si="19"/>
        <v>0.8</v>
      </c>
      <c r="F296" s="264">
        <f t="shared" ca="1" si="19"/>
        <v>0.4</v>
      </c>
      <c r="G296" s="264">
        <f t="shared" ca="1" si="19"/>
        <v>0.4</v>
      </c>
      <c r="H296" s="264">
        <f t="shared" ca="1" si="19"/>
        <v>0.6</v>
      </c>
      <c r="I296" s="264">
        <f t="shared" ca="1" si="19"/>
        <v>0.4</v>
      </c>
      <c r="J296" s="264">
        <f t="shared" ca="1" si="19"/>
        <v>0.4</v>
      </c>
      <c r="K296" s="264">
        <f t="shared" ca="1" si="19"/>
        <v>0.4</v>
      </c>
      <c r="L296" s="264">
        <f t="shared" ca="1" si="19"/>
        <v>0.6</v>
      </c>
      <c r="M296" s="264" t="str">
        <f t="shared" ca="1" si="19"/>
        <v/>
      </c>
      <c r="N296" s="264">
        <f t="shared" ca="1" si="19"/>
        <v>0.2</v>
      </c>
      <c r="O296" s="264">
        <f t="shared" ca="1" si="19"/>
        <v>0.6</v>
      </c>
      <c r="P296" s="264">
        <f t="shared" ca="1" si="19"/>
        <v>0.6</v>
      </c>
      <c r="Q296" s="264">
        <f t="shared" ref="Q296:AE314" ca="1" si="21">IF($B296=Q$285,"", SSRSharedRatio(OFFSET($L$98:$P$98,$B296,0),OFFSET($L$98:$P$98,Q$285,0)))</f>
        <v>0.8</v>
      </c>
      <c r="R296" s="264">
        <f t="shared" ca="1" si="21"/>
        <v>0.4</v>
      </c>
      <c r="S296" s="264">
        <f t="shared" ca="1" si="21"/>
        <v>0.4</v>
      </c>
      <c r="T296" s="264">
        <f t="shared" ca="1" si="21"/>
        <v>0.8</v>
      </c>
      <c r="U296" s="264">
        <f t="shared" ca="1" si="21"/>
        <v>0.8</v>
      </c>
      <c r="V296" s="264">
        <f t="shared" ca="1" si="21"/>
        <v>0.4</v>
      </c>
      <c r="W296" s="264">
        <f t="shared" ca="1" si="21"/>
        <v>0.4</v>
      </c>
      <c r="X296" s="264">
        <f t="shared" ca="1" si="21"/>
        <v>0.4</v>
      </c>
      <c r="Y296" s="264">
        <f t="shared" ca="1" si="21"/>
        <v>0.4</v>
      </c>
      <c r="Z296" s="264">
        <f t="shared" ca="1" si="21"/>
        <v>0.6</v>
      </c>
      <c r="AA296" s="264">
        <f t="shared" ca="1" si="21"/>
        <v>0.2</v>
      </c>
      <c r="AB296" s="264">
        <f t="shared" ca="1" si="21"/>
        <v>0</v>
      </c>
      <c r="AC296" s="264">
        <f t="shared" ca="1" si="21"/>
        <v>0.2</v>
      </c>
      <c r="AD296" s="264">
        <f t="shared" ca="1" si="21"/>
        <v>0.4</v>
      </c>
      <c r="AE296" s="264">
        <f t="shared" ca="1" si="21"/>
        <v>0.6</v>
      </c>
    </row>
    <row r="297" spans="2:31" x14ac:dyDescent="0.15">
      <c r="B297" s="222">
        <v>10</v>
      </c>
      <c r="C297" s="122" t="s">
        <v>201</v>
      </c>
      <c r="D297" s="264">
        <f t="shared" ca="1" si="20"/>
        <v>0</v>
      </c>
      <c r="E297" s="264">
        <f t="shared" ca="1" si="20"/>
        <v>0.4</v>
      </c>
      <c r="F297" s="264">
        <f t="shared" ca="1" si="20"/>
        <v>0.4</v>
      </c>
      <c r="G297" s="264">
        <f t="shared" ca="1" si="20"/>
        <v>0.2</v>
      </c>
      <c r="H297" s="264">
        <f t="shared" ca="1" si="20"/>
        <v>0.6</v>
      </c>
      <c r="I297" s="264">
        <f t="shared" ca="1" si="20"/>
        <v>0.4</v>
      </c>
      <c r="J297" s="264">
        <f t="shared" ca="1" si="20"/>
        <v>0.4</v>
      </c>
      <c r="K297" s="264">
        <f t="shared" ca="1" si="20"/>
        <v>0.4</v>
      </c>
      <c r="L297" s="264">
        <f t="shared" ca="1" si="20"/>
        <v>0</v>
      </c>
      <c r="M297" s="264">
        <f t="shared" ca="1" si="20"/>
        <v>0.2</v>
      </c>
      <c r="N297" s="264" t="str">
        <f t="shared" ca="1" si="20"/>
        <v/>
      </c>
      <c r="O297" s="264">
        <f t="shared" ca="1" si="20"/>
        <v>0.2</v>
      </c>
      <c r="P297" s="264">
        <f t="shared" ca="1" si="20"/>
        <v>0</v>
      </c>
      <c r="Q297" s="264">
        <f t="shared" ca="1" si="20"/>
        <v>0.4</v>
      </c>
      <c r="R297" s="264">
        <f t="shared" ca="1" si="20"/>
        <v>0.4</v>
      </c>
      <c r="S297" s="264">
        <f t="shared" ca="1" si="20"/>
        <v>0.2</v>
      </c>
      <c r="T297" s="264">
        <f t="shared" ca="1" si="21"/>
        <v>0.4</v>
      </c>
      <c r="U297" s="264">
        <f t="shared" ca="1" si="21"/>
        <v>0</v>
      </c>
      <c r="V297" s="264">
        <f t="shared" ca="1" si="21"/>
        <v>0.2</v>
      </c>
      <c r="W297" s="264">
        <f t="shared" ca="1" si="21"/>
        <v>0.6</v>
      </c>
      <c r="X297" s="264">
        <f t="shared" ca="1" si="21"/>
        <v>0.4</v>
      </c>
      <c r="Y297" s="264">
        <f t="shared" ca="1" si="21"/>
        <v>0.4</v>
      </c>
      <c r="Z297" s="264">
        <f t="shared" ca="1" si="21"/>
        <v>0.4</v>
      </c>
      <c r="AA297" s="264">
        <f t="shared" ca="1" si="21"/>
        <v>0.4</v>
      </c>
      <c r="AB297" s="264">
        <f t="shared" ca="1" si="21"/>
        <v>0.8</v>
      </c>
      <c r="AC297" s="264">
        <f t="shared" ca="1" si="21"/>
        <v>0.4</v>
      </c>
      <c r="AD297" s="264">
        <f t="shared" ca="1" si="21"/>
        <v>0.4</v>
      </c>
      <c r="AE297" s="264">
        <f t="shared" ca="1" si="21"/>
        <v>0.4</v>
      </c>
    </row>
    <row r="298" spans="2:31" x14ac:dyDescent="0.15">
      <c r="B298" s="222">
        <v>11</v>
      </c>
      <c r="C298" s="122" t="s">
        <v>202</v>
      </c>
      <c r="D298" s="264">
        <f t="shared" ca="1" si="20"/>
        <v>0.2</v>
      </c>
      <c r="E298" s="264">
        <f t="shared" ca="1" si="20"/>
        <v>0.8</v>
      </c>
      <c r="F298" s="264">
        <f t="shared" ca="1" si="20"/>
        <v>0.8</v>
      </c>
      <c r="G298" s="264">
        <f t="shared" ca="1" si="20"/>
        <v>0.4</v>
      </c>
      <c r="H298" s="264">
        <f t="shared" ca="1" si="20"/>
        <v>0.2</v>
      </c>
      <c r="I298" s="264">
        <f t="shared" ca="1" si="20"/>
        <v>0.4</v>
      </c>
      <c r="J298" s="264">
        <f t="shared" ca="1" si="20"/>
        <v>0.8</v>
      </c>
      <c r="K298" s="264">
        <f t="shared" ca="1" si="20"/>
        <v>0.6</v>
      </c>
      <c r="L298" s="264">
        <f t="shared" ca="1" si="20"/>
        <v>0.6</v>
      </c>
      <c r="M298" s="264">
        <f t="shared" ca="1" si="20"/>
        <v>0.6</v>
      </c>
      <c r="N298" s="264">
        <f t="shared" ca="1" si="20"/>
        <v>0.2</v>
      </c>
      <c r="O298" s="264" t="str">
        <f t="shared" ca="1" si="20"/>
        <v/>
      </c>
      <c r="P298" s="264">
        <f t="shared" ca="1" si="20"/>
        <v>0.4</v>
      </c>
      <c r="Q298" s="264">
        <f t="shared" ca="1" si="20"/>
        <v>0.4</v>
      </c>
      <c r="R298" s="264">
        <f t="shared" ca="1" si="20"/>
        <v>0.4</v>
      </c>
      <c r="S298" s="264">
        <f t="shared" ca="1" si="20"/>
        <v>0.8</v>
      </c>
      <c r="T298" s="264">
        <f t="shared" ca="1" si="21"/>
        <v>0.8</v>
      </c>
      <c r="U298" s="264">
        <f t="shared" ca="1" si="21"/>
        <v>0.6</v>
      </c>
      <c r="V298" s="264">
        <f t="shared" ca="1" si="21"/>
        <v>0.2</v>
      </c>
      <c r="W298" s="264">
        <f t="shared" ca="1" si="21"/>
        <v>0</v>
      </c>
      <c r="X298" s="264">
        <f t="shared" ca="1" si="21"/>
        <v>0.8</v>
      </c>
      <c r="Y298" s="264">
        <f t="shared" ca="1" si="21"/>
        <v>0.2</v>
      </c>
      <c r="Z298" s="264">
        <f t="shared" ca="1" si="21"/>
        <v>0.2</v>
      </c>
      <c r="AA298" s="264">
        <f t="shared" ca="1" si="21"/>
        <v>0.4</v>
      </c>
      <c r="AB298" s="264">
        <f t="shared" ca="1" si="21"/>
        <v>0.2</v>
      </c>
      <c r="AC298" s="264">
        <f t="shared" ca="1" si="21"/>
        <v>0.2</v>
      </c>
      <c r="AD298" s="264">
        <f t="shared" ca="1" si="21"/>
        <v>0.4</v>
      </c>
      <c r="AE298" s="264">
        <f t="shared" ca="1" si="21"/>
        <v>0.6</v>
      </c>
    </row>
    <row r="299" spans="2:31" x14ac:dyDescent="0.15">
      <c r="B299" s="222">
        <v>12</v>
      </c>
      <c r="C299" s="122" t="s">
        <v>264</v>
      </c>
      <c r="D299" s="264">
        <f t="shared" ca="1" si="20"/>
        <v>0.8</v>
      </c>
      <c r="E299" s="264">
        <f t="shared" ca="1" si="20"/>
        <v>0.4</v>
      </c>
      <c r="F299" s="264">
        <f t="shared" ca="1" si="20"/>
        <v>0.2</v>
      </c>
      <c r="G299" s="264">
        <f t="shared" ca="1" si="20"/>
        <v>0.6</v>
      </c>
      <c r="H299" s="264">
        <f t="shared" ca="1" si="20"/>
        <v>0.4</v>
      </c>
      <c r="I299" s="264">
        <f t="shared" ca="1" si="20"/>
        <v>0.4</v>
      </c>
      <c r="J299" s="264">
        <f t="shared" ca="1" si="20"/>
        <v>0.2</v>
      </c>
      <c r="K299" s="264">
        <f t="shared" ca="1" si="20"/>
        <v>0.4</v>
      </c>
      <c r="L299" s="264">
        <f t="shared" ca="1" si="20"/>
        <v>0.8</v>
      </c>
      <c r="M299" s="264">
        <f t="shared" ca="1" si="20"/>
        <v>0.6</v>
      </c>
      <c r="N299" s="264">
        <f t="shared" ca="1" si="20"/>
        <v>0</v>
      </c>
      <c r="O299" s="264">
        <f t="shared" ca="1" si="20"/>
        <v>0.4</v>
      </c>
      <c r="P299" s="264" t="str">
        <f t="shared" ca="1" si="20"/>
        <v/>
      </c>
      <c r="Q299" s="264">
        <f t="shared" ca="1" si="20"/>
        <v>0.4</v>
      </c>
      <c r="R299" s="264">
        <f t="shared" ca="1" si="20"/>
        <v>0.4</v>
      </c>
      <c r="S299" s="264">
        <f t="shared" ca="1" si="20"/>
        <v>0.2</v>
      </c>
      <c r="T299" s="264">
        <f t="shared" ca="1" si="21"/>
        <v>0.4</v>
      </c>
      <c r="U299" s="264">
        <f t="shared" ca="1" si="21"/>
        <v>0.8</v>
      </c>
      <c r="V299" s="264">
        <f t="shared" ca="1" si="21"/>
        <v>0.8</v>
      </c>
      <c r="W299" s="264">
        <f t="shared" ca="1" si="21"/>
        <v>0.4</v>
      </c>
      <c r="X299" s="264">
        <f t="shared" ca="1" si="21"/>
        <v>0.2</v>
      </c>
      <c r="Y299" s="264">
        <f t="shared" ca="1" si="21"/>
        <v>0.4</v>
      </c>
      <c r="Z299" s="264">
        <f t="shared" ca="1" si="21"/>
        <v>0.6</v>
      </c>
      <c r="AA299" s="264">
        <f t="shared" ca="1" si="21"/>
        <v>0.6</v>
      </c>
      <c r="AB299" s="264">
        <f t="shared" ca="1" si="21"/>
        <v>0.2</v>
      </c>
      <c r="AC299" s="264">
        <f t="shared" ca="1" si="21"/>
        <v>0.4</v>
      </c>
      <c r="AD299" s="264">
        <f t="shared" ca="1" si="21"/>
        <v>0.4</v>
      </c>
      <c r="AE299" s="264">
        <f t="shared" ca="1" si="21"/>
        <v>0.6</v>
      </c>
    </row>
    <row r="300" spans="2:31" x14ac:dyDescent="0.15">
      <c r="B300" s="222">
        <v>13</v>
      </c>
      <c r="C300" s="122" t="s">
        <v>265</v>
      </c>
      <c r="D300" s="264">
        <f t="shared" ca="1" si="20"/>
        <v>0.4</v>
      </c>
      <c r="E300" s="264">
        <f t="shared" ca="1" si="20"/>
        <v>0.6</v>
      </c>
      <c r="F300" s="264">
        <f t="shared" ca="1" si="20"/>
        <v>0.6</v>
      </c>
      <c r="G300" s="264">
        <f t="shared" ca="1" si="20"/>
        <v>0.6</v>
      </c>
      <c r="H300" s="264">
        <f t="shared" ca="1" si="20"/>
        <v>0.4</v>
      </c>
      <c r="I300" s="264">
        <f t="shared" ca="1" si="20"/>
        <v>0.4</v>
      </c>
      <c r="J300" s="264">
        <f t="shared" ca="1" si="20"/>
        <v>0.6</v>
      </c>
      <c r="K300" s="264">
        <f t="shared" ca="1" si="20"/>
        <v>0.6</v>
      </c>
      <c r="L300" s="264">
        <f t="shared" ca="1" si="20"/>
        <v>0.4</v>
      </c>
      <c r="M300" s="264">
        <f t="shared" ca="1" si="20"/>
        <v>0.8</v>
      </c>
      <c r="N300" s="264">
        <f t="shared" ca="1" si="20"/>
        <v>0.4</v>
      </c>
      <c r="O300" s="264">
        <f t="shared" ca="1" si="20"/>
        <v>0.4</v>
      </c>
      <c r="P300" s="264">
        <f t="shared" ca="1" si="20"/>
        <v>0.4</v>
      </c>
      <c r="Q300" s="264" t="str">
        <f t="shared" ca="1" si="20"/>
        <v/>
      </c>
      <c r="R300" s="264">
        <f t="shared" ca="1" si="20"/>
        <v>0.2</v>
      </c>
      <c r="S300" s="264">
        <f t="shared" ca="1" si="20"/>
        <v>0.2</v>
      </c>
      <c r="T300" s="264">
        <f t="shared" ca="1" si="21"/>
        <v>0.6</v>
      </c>
      <c r="U300" s="264">
        <f t="shared" ca="1" si="21"/>
        <v>0.6</v>
      </c>
      <c r="V300" s="264">
        <f t="shared" ca="1" si="21"/>
        <v>0.2</v>
      </c>
      <c r="W300" s="264">
        <f t="shared" ca="1" si="21"/>
        <v>0.6</v>
      </c>
      <c r="X300" s="264">
        <f t="shared" ca="1" si="21"/>
        <v>0.6</v>
      </c>
      <c r="Y300" s="264">
        <f t="shared" ca="1" si="21"/>
        <v>0.6</v>
      </c>
      <c r="Z300" s="264">
        <f t="shared" ca="1" si="21"/>
        <v>0.8</v>
      </c>
      <c r="AA300" s="264">
        <f t="shared" ca="1" si="21"/>
        <v>0.4</v>
      </c>
      <c r="AB300" s="264">
        <f t="shared" ca="1" si="21"/>
        <v>0.2</v>
      </c>
      <c r="AC300" s="264">
        <f t="shared" ca="1" si="21"/>
        <v>0.4</v>
      </c>
      <c r="AD300" s="264">
        <f t="shared" ca="1" si="21"/>
        <v>0.2</v>
      </c>
      <c r="AE300" s="264">
        <f t="shared" ca="1" si="21"/>
        <v>0.4</v>
      </c>
    </row>
    <row r="301" spans="2:31" x14ac:dyDescent="0.15">
      <c r="B301" s="222">
        <v>14</v>
      </c>
      <c r="C301" s="122" t="s">
        <v>266</v>
      </c>
      <c r="D301" s="264">
        <f t="shared" ca="1" si="20"/>
        <v>0.2</v>
      </c>
      <c r="E301" s="264">
        <f t="shared" ca="1" si="20"/>
        <v>0.2</v>
      </c>
      <c r="F301" s="264">
        <f t="shared" ca="1" si="20"/>
        <v>0.2</v>
      </c>
      <c r="G301" s="264">
        <f t="shared" ca="1" si="20"/>
        <v>0.4</v>
      </c>
      <c r="H301" s="264">
        <f t="shared" ca="1" si="20"/>
        <v>0.8</v>
      </c>
      <c r="I301" s="264">
        <f t="shared" ca="1" si="20"/>
        <v>0</v>
      </c>
      <c r="J301" s="264">
        <f t="shared" ca="1" si="20"/>
        <v>0.2</v>
      </c>
      <c r="K301" s="264">
        <f t="shared" ca="1" si="20"/>
        <v>0</v>
      </c>
      <c r="L301" s="264">
        <f t="shared" ca="1" si="20"/>
        <v>0.6</v>
      </c>
      <c r="M301" s="264">
        <f t="shared" ca="1" si="20"/>
        <v>0.4</v>
      </c>
      <c r="N301" s="264">
        <f t="shared" ca="1" si="20"/>
        <v>0.4</v>
      </c>
      <c r="O301" s="264">
        <f t="shared" ca="1" si="20"/>
        <v>0.4</v>
      </c>
      <c r="P301" s="264">
        <f t="shared" ca="1" si="20"/>
        <v>0.4</v>
      </c>
      <c r="Q301" s="264">
        <f t="shared" ca="1" si="20"/>
        <v>0.2</v>
      </c>
      <c r="R301" s="264" t="str">
        <f t="shared" ca="1" si="20"/>
        <v/>
      </c>
      <c r="S301" s="264">
        <f t="shared" ca="1" si="20"/>
        <v>0.4</v>
      </c>
      <c r="T301" s="264">
        <f t="shared" ca="1" si="21"/>
        <v>0.2</v>
      </c>
      <c r="U301" s="264">
        <f t="shared" ca="1" si="21"/>
        <v>0.4</v>
      </c>
      <c r="V301" s="264">
        <f t="shared" ca="1" si="21"/>
        <v>0.6</v>
      </c>
      <c r="W301" s="264">
        <f t="shared" ca="1" si="21"/>
        <v>0.4</v>
      </c>
      <c r="X301" s="264">
        <f t="shared" ca="1" si="21"/>
        <v>0.2</v>
      </c>
      <c r="Y301" s="264">
        <f t="shared" ca="1" si="21"/>
        <v>0.4</v>
      </c>
      <c r="Z301" s="264">
        <f t="shared" ca="1" si="21"/>
        <v>0.2</v>
      </c>
      <c r="AA301" s="264">
        <f t="shared" ca="1" si="21"/>
        <v>0</v>
      </c>
      <c r="AB301" s="264">
        <f t="shared" ca="1" si="21"/>
        <v>0.4</v>
      </c>
      <c r="AC301" s="264">
        <f t="shared" ca="1" si="21"/>
        <v>0.6</v>
      </c>
      <c r="AD301" s="264">
        <f t="shared" ca="1" si="21"/>
        <v>1</v>
      </c>
      <c r="AE301" s="264">
        <f t="shared" ca="1" si="21"/>
        <v>0.2</v>
      </c>
    </row>
    <row r="302" spans="2:31" x14ac:dyDescent="0.15">
      <c r="B302" s="222">
        <v>15</v>
      </c>
      <c r="C302" s="122" t="s">
        <v>267</v>
      </c>
      <c r="D302" s="264">
        <f t="shared" ca="1" si="20"/>
        <v>0</v>
      </c>
      <c r="E302" s="264">
        <f t="shared" ca="1" si="20"/>
        <v>0.6</v>
      </c>
      <c r="F302" s="264">
        <f t="shared" ca="1" si="20"/>
        <v>0.6</v>
      </c>
      <c r="G302" s="264">
        <f t="shared" ca="1" si="20"/>
        <v>0.2</v>
      </c>
      <c r="H302" s="264">
        <f t="shared" ca="1" si="20"/>
        <v>0.2</v>
      </c>
      <c r="I302" s="264">
        <f t="shared" ca="1" si="20"/>
        <v>0.2</v>
      </c>
      <c r="J302" s="264">
        <f t="shared" ca="1" si="20"/>
        <v>0.6</v>
      </c>
      <c r="K302" s="264">
        <f t="shared" ca="1" si="20"/>
        <v>0.4</v>
      </c>
      <c r="L302" s="264">
        <f t="shared" ca="1" si="20"/>
        <v>0.4</v>
      </c>
      <c r="M302" s="264">
        <f t="shared" ca="1" si="20"/>
        <v>0.4</v>
      </c>
      <c r="N302" s="264">
        <f t="shared" ca="1" si="20"/>
        <v>0.2</v>
      </c>
      <c r="O302" s="264">
        <f t="shared" ca="1" si="20"/>
        <v>0.8</v>
      </c>
      <c r="P302" s="264">
        <f t="shared" ca="1" si="20"/>
        <v>0.2</v>
      </c>
      <c r="Q302" s="264">
        <f t="shared" ca="1" si="20"/>
        <v>0.2</v>
      </c>
      <c r="R302" s="264">
        <f t="shared" ca="1" si="20"/>
        <v>0.4</v>
      </c>
      <c r="S302" s="264" t="str">
        <f t="shared" ca="1" si="20"/>
        <v/>
      </c>
      <c r="T302" s="264">
        <f t="shared" ca="1" si="21"/>
        <v>0.6</v>
      </c>
      <c r="U302" s="264">
        <f t="shared" ca="1" si="21"/>
        <v>0.4</v>
      </c>
      <c r="V302" s="264">
        <f t="shared" ca="1" si="21"/>
        <v>0.2</v>
      </c>
      <c r="W302" s="264">
        <f t="shared" ca="1" si="21"/>
        <v>0</v>
      </c>
      <c r="X302" s="264">
        <f t="shared" ca="1" si="21"/>
        <v>0.6</v>
      </c>
      <c r="Y302" s="264">
        <f t="shared" ca="1" si="21"/>
        <v>0.2</v>
      </c>
      <c r="Z302" s="264">
        <f t="shared" ca="1" si="21"/>
        <v>0</v>
      </c>
      <c r="AA302" s="264">
        <f t="shared" ca="1" si="21"/>
        <v>0.2</v>
      </c>
      <c r="AB302" s="264">
        <f t="shared" ca="1" si="21"/>
        <v>0.2</v>
      </c>
      <c r="AC302" s="264">
        <f t="shared" ca="1" si="21"/>
        <v>0.2</v>
      </c>
      <c r="AD302" s="264">
        <f t="shared" ca="1" si="21"/>
        <v>0.4</v>
      </c>
      <c r="AE302" s="264">
        <f t="shared" ca="1" si="21"/>
        <v>0.4</v>
      </c>
    </row>
    <row r="303" spans="2:31" x14ac:dyDescent="0.15">
      <c r="B303" s="222">
        <v>16</v>
      </c>
      <c r="C303" s="122" t="s">
        <v>268</v>
      </c>
      <c r="D303" s="264">
        <f t="shared" ca="1" si="20"/>
        <v>0.2</v>
      </c>
      <c r="E303" s="264">
        <f t="shared" ca="1" si="20"/>
        <v>1</v>
      </c>
      <c r="F303" s="264">
        <f t="shared" ca="1" si="20"/>
        <v>0.6</v>
      </c>
      <c r="G303" s="264">
        <f t="shared" ca="1" si="20"/>
        <v>0.2</v>
      </c>
      <c r="H303" s="264">
        <f t="shared" ca="1" si="20"/>
        <v>0.4</v>
      </c>
      <c r="I303" s="264">
        <f t="shared" ca="1" si="20"/>
        <v>0.6</v>
      </c>
      <c r="J303" s="264">
        <f t="shared" ca="1" si="20"/>
        <v>0.6</v>
      </c>
      <c r="K303" s="264">
        <f t="shared" ca="1" si="20"/>
        <v>0.6</v>
      </c>
      <c r="L303" s="264">
        <f t="shared" ca="1" si="20"/>
        <v>0.4</v>
      </c>
      <c r="M303" s="264">
        <f t="shared" ca="1" si="20"/>
        <v>0.8</v>
      </c>
      <c r="N303" s="264">
        <f t="shared" ca="1" si="20"/>
        <v>0.4</v>
      </c>
      <c r="O303" s="264">
        <f t="shared" ca="1" si="20"/>
        <v>0.8</v>
      </c>
      <c r="P303" s="264">
        <f t="shared" ca="1" si="20"/>
        <v>0.4</v>
      </c>
      <c r="Q303" s="264">
        <f t="shared" ca="1" si="20"/>
        <v>0.6</v>
      </c>
      <c r="R303" s="264">
        <f t="shared" ca="1" si="20"/>
        <v>0.2</v>
      </c>
      <c r="S303" s="264">
        <f t="shared" ca="1" si="20"/>
        <v>0.6</v>
      </c>
      <c r="T303" s="264" t="str">
        <f t="shared" ca="1" si="21"/>
        <v/>
      </c>
      <c r="U303" s="264">
        <f t="shared" ca="1" si="21"/>
        <v>0.6</v>
      </c>
      <c r="V303" s="264">
        <f t="shared" ca="1" si="21"/>
        <v>0.2</v>
      </c>
      <c r="W303" s="264">
        <f t="shared" ca="1" si="21"/>
        <v>0.2</v>
      </c>
      <c r="X303" s="264">
        <f t="shared" ca="1" si="21"/>
        <v>0.6</v>
      </c>
      <c r="Y303" s="264">
        <f t="shared" ca="1" si="21"/>
        <v>0.2</v>
      </c>
      <c r="Z303" s="264">
        <f t="shared" ca="1" si="21"/>
        <v>0.4</v>
      </c>
      <c r="AA303" s="264">
        <f t="shared" ca="1" si="21"/>
        <v>0.4</v>
      </c>
      <c r="AB303" s="264">
        <f t="shared" ca="1" si="21"/>
        <v>0.2</v>
      </c>
      <c r="AC303" s="264">
        <f t="shared" ca="1" si="21"/>
        <v>0</v>
      </c>
      <c r="AD303" s="264">
        <f t="shared" ca="1" si="21"/>
        <v>0.2</v>
      </c>
      <c r="AE303" s="264">
        <f t="shared" ca="1" si="21"/>
        <v>0.8</v>
      </c>
    </row>
    <row r="304" spans="2:31" x14ac:dyDescent="0.15">
      <c r="B304" s="222">
        <v>17</v>
      </c>
      <c r="C304" s="122" t="s">
        <v>269</v>
      </c>
      <c r="D304" s="264">
        <f t="shared" ca="1" si="20"/>
        <v>0.6</v>
      </c>
      <c r="E304" s="264">
        <f t="shared" ca="1" si="20"/>
        <v>0.6</v>
      </c>
      <c r="F304" s="264">
        <f t="shared" ca="1" si="20"/>
        <v>0.4</v>
      </c>
      <c r="G304" s="264">
        <f t="shared" ca="1" si="20"/>
        <v>0.4</v>
      </c>
      <c r="H304" s="264">
        <f t="shared" ca="1" si="20"/>
        <v>0.4</v>
      </c>
      <c r="I304" s="264">
        <f t="shared" ca="1" si="20"/>
        <v>0.2</v>
      </c>
      <c r="J304" s="264">
        <f t="shared" ca="1" si="20"/>
        <v>0.4</v>
      </c>
      <c r="K304" s="264">
        <f t="shared" ca="1" si="20"/>
        <v>0.6</v>
      </c>
      <c r="L304" s="264">
        <f t="shared" ca="1" si="20"/>
        <v>0.6</v>
      </c>
      <c r="M304" s="264">
        <f t="shared" ca="1" si="20"/>
        <v>0.8</v>
      </c>
      <c r="N304" s="264">
        <f t="shared" ca="1" si="20"/>
        <v>0</v>
      </c>
      <c r="O304" s="264">
        <f t="shared" ca="1" si="20"/>
        <v>0.6</v>
      </c>
      <c r="P304" s="264">
        <f t="shared" ca="1" si="20"/>
        <v>0.8</v>
      </c>
      <c r="Q304" s="264">
        <f t="shared" ca="1" si="20"/>
        <v>0.6</v>
      </c>
      <c r="R304" s="264">
        <f t="shared" ca="1" si="20"/>
        <v>0.4</v>
      </c>
      <c r="S304" s="264">
        <f t="shared" ca="1" si="20"/>
        <v>0.4</v>
      </c>
      <c r="T304" s="264">
        <f t="shared" ca="1" si="21"/>
        <v>0.6</v>
      </c>
      <c r="U304" s="264" t="str">
        <f t="shared" ca="1" si="21"/>
        <v/>
      </c>
      <c r="V304" s="264">
        <f t="shared" ca="1" si="21"/>
        <v>0.6</v>
      </c>
      <c r="W304" s="264">
        <f t="shared" ca="1" si="21"/>
        <v>0.2</v>
      </c>
      <c r="X304" s="264">
        <f t="shared" ca="1" si="21"/>
        <v>0.4</v>
      </c>
      <c r="Y304" s="264">
        <f t="shared" ca="1" si="21"/>
        <v>0.6</v>
      </c>
      <c r="Z304" s="264">
        <f t="shared" ca="1" si="21"/>
        <v>0.4</v>
      </c>
      <c r="AA304" s="264">
        <f t="shared" ca="1" si="21"/>
        <v>0.4</v>
      </c>
      <c r="AB304" s="264">
        <f t="shared" ca="1" si="21"/>
        <v>0.2</v>
      </c>
      <c r="AC304" s="264">
        <f t="shared" ca="1" si="21"/>
        <v>0.2</v>
      </c>
      <c r="AD304" s="264">
        <f t="shared" ca="1" si="21"/>
        <v>0.4</v>
      </c>
      <c r="AE304" s="264">
        <f t="shared" ca="1" si="21"/>
        <v>0.4</v>
      </c>
    </row>
    <row r="305" spans="2:31" x14ac:dyDescent="0.15">
      <c r="B305" s="222">
        <v>18</v>
      </c>
      <c r="C305" s="122" t="s">
        <v>270</v>
      </c>
      <c r="D305" s="264">
        <f t="shared" ca="1" si="20"/>
        <v>0.6</v>
      </c>
      <c r="E305" s="264">
        <f t="shared" ca="1" si="20"/>
        <v>0.2</v>
      </c>
      <c r="F305" s="264">
        <f t="shared" ca="1" si="20"/>
        <v>0</v>
      </c>
      <c r="G305" s="264">
        <f t="shared" ca="1" si="20"/>
        <v>0.4</v>
      </c>
      <c r="H305" s="264">
        <f t="shared" ca="1" si="20"/>
        <v>0.6</v>
      </c>
      <c r="I305" s="264">
        <f t="shared" ca="1" si="20"/>
        <v>0.2</v>
      </c>
      <c r="J305" s="264">
        <f t="shared" ca="1" si="20"/>
        <v>0</v>
      </c>
      <c r="K305" s="264">
        <f t="shared" ca="1" si="20"/>
        <v>0.2</v>
      </c>
      <c r="L305" s="264">
        <f t="shared" ca="1" si="20"/>
        <v>0.6</v>
      </c>
      <c r="M305" s="264">
        <f t="shared" ca="1" si="20"/>
        <v>0.4</v>
      </c>
      <c r="N305" s="264">
        <f t="shared" ca="1" si="20"/>
        <v>0.2</v>
      </c>
      <c r="O305" s="264">
        <f t="shared" ca="1" si="20"/>
        <v>0.2</v>
      </c>
      <c r="P305" s="264">
        <f t="shared" ca="1" si="20"/>
        <v>0.8</v>
      </c>
      <c r="Q305" s="264">
        <f t="shared" ca="1" si="20"/>
        <v>0.2</v>
      </c>
      <c r="R305" s="264">
        <f t="shared" ca="1" si="20"/>
        <v>0.6</v>
      </c>
      <c r="S305" s="264">
        <f t="shared" ca="1" si="20"/>
        <v>0.2</v>
      </c>
      <c r="T305" s="264">
        <f t="shared" ca="1" si="21"/>
        <v>0.2</v>
      </c>
      <c r="U305" s="264">
        <f t="shared" ca="1" si="21"/>
        <v>0.6</v>
      </c>
      <c r="V305" s="264" t="str">
        <f t="shared" ca="1" si="21"/>
        <v/>
      </c>
      <c r="W305" s="264">
        <f t="shared" ca="1" si="21"/>
        <v>0.6</v>
      </c>
      <c r="X305" s="264">
        <f t="shared" ca="1" si="21"/>
        <v>0</v>
      </c>
      <c r="Y305" s="264">
        <f t="shared" ca="1" si="21"/>
        <v>0.6</v>
      </c>
      <c r="Z305" s="264">
        <f t="shared" ca="1" si="21"/>
        <v>0.4</v>
      </c>
      <c r="AA305" s="264">
        <f t="shared" ca="1" si="21"/>
        <v>0.4</v>
      </c>
      <c r="AB305" s="264">
        <f t="shared" ca="1" si="21"/>
        <v>0.4</v>
      </c>
      <c r="AC305" s="264">
        <f t="shared" ca="1" si="21"/>
        <v>0.6</v>
      </c>
      <c r="AD305" s="264">
        <f t="shared" ca="1" si="21"/>
        <v>0.6</v>
      </c>
      <c r="AE305" s="264">
        <f t="shared" ca="1" si="21"/>
        <v>0.4</v>
      </c>
    </row>
    <row r="306" spans="2:31" x14ac:dyDescent="0.15">
      <c r="B306" s="222">
        <v>19</v>
      </c>
      <c r="C306" s="122" t="s">
        <v>271</v>
      </c>
      <c r="D306" s="264">
        <f t="shared" ca="1" si="20"/>
        <v>0.4</v>
      </c>
      <c r="E306" s="264">
        <f t="shared" ca="1" si="20"/>
        <v>0.2</v>
      </c>
      <c r="F306" s="264">
        <f t="shared" ca="1" si="20"/>
        <v>0.2</v>
      </c>
      <c r="G306" s="264">
        <f t="shared" ca="1" si="20"/>
        <v>0.6</v>
      </c>
      <c r="H306" s="264">
        <f t="shared" ca="1" si="20"/>
        <v>0.6</v>
      </c>
      <c r="I306" s="264">
        <f t="shared" ca="1" si="20"/>
        <v>0.4</v>
      </c>
      <c r="J306" s="264">
        <f t="shared" ca="1" si="20"/>
        <v>0.2</v>
      </c>
      <c r="K306" s="264">
        <f t="shared" ca="1" si="20"/>
        <v>0.2</v>
      </c>
      <c r="L306" s="264">
        <f t="shared" ca="1" si="20"/>
        <v>0.4</v>
      </c>
      <c r="M306" s="264">
        <f t="shared" ca="1" si="20"/>
        <v>0.4</v>
      </c>
      <c r="N306" s="264">
        <f t="shared" ca="1" si="20"/>
        <v>0.6</v>
      </c>
      <c r="O306" s="264">
        <f t="shared" ca="1" si="20"/>
        <v>0</v>
      </c>
      <c r="P306" s="264">
        <f t="shared" ca="1" si="20"/>
        <v>0.4</v>
      </c>
      <c r="Q306" s="264">
        <f t="shared" ca="1" si="20"/>
        <v>0.6</v>
      </c>
      <c r="R306" s="264">
        <f t="shared" ca="1" si="20"/>
        <v>0.4</v>
      </c>
      <c r="S306" s="264">
        <f t="shared" ca="1" si="20"/>
        <v>0</v>
      </c>
      <c r="T306" s="264">
        <f t="shared" ca="1" si="21"/>
        <v>0.2</v>
      </c>
      <c r="U306" s="264">
        <f t="shared" ca="1" si="21"/>
        <v>0.2</v>
      </c>
      <c r="V306" s="264">
        <f t="shared" ca="1" si="21"/>
        <v>0.6</v>
      </c>
      <c r="W306" s="264" t="str">
        <f t="shared" ca="1" si="21"/>
        <v/>
      </c>
      <c r="X306" s="264">
        <f t="shared" ca="1" si="21"/>
        <v>0.2</v>
      </c>
      <c r="Y306" s="264">
        <f t="shared" ca="1" si="21"/>
        <v>0.6</v>
      </c>
      <c r="Z306" s="264">
        <f t="shared" ca="1" si="21"/>
        <v>0.8</v>
      </c>
      <c r="AA306" s="264">
        <f t="shared" ca="1" si="21"/>
        <v>0.4</v>
      </c>
      <c r="AB306" s="264">
        <f t="shared" ca="1" si="21"/>
        <v>0.4</v>
      </c>
      <c r="AC306" s="264">
        <f t="shared" ca="1" si="21"/>
        <v>0.8</v>
      </c>
      <c r="AD306" s="264">
        <f t="shared" ca="1" si="21"/>
        <v>0.4</v>
      </c>
      <c r="AE306" s="264">
        <f t="shared" ca="1" si="21"/>
        <v>0.4</v>
      </c>
    </row>
    <row r="307" spans="2:31" x14ac:dyDescent="0.15">
      <c r="B307" s="222">
        <v>20</v>
      </c>
      <c r="C307" s="122" t="s">
        <v>272</v>
      </c>
      <c r="D307" s="264">
        <f t="shared" ca="1" si="20"/>
        <v>0.2</v>
      </c>
      <c r="E307" s="264">
        <f t="shared" ca="1" si="20"/>
        <v>0.6</v>
      </c>
      <c r="F307" s="264">
        <f t="shared" ca="1" si="20"/>
        <v>1</v>
      </c>
      <c r="G307" s="264">
        <f t="shared" ca="1" si="20"/>
        <v>0.6</v>
      </c>
      <c r="H307" s="264">
        <f t="shared" ca="1" si="20"/>
        <v>0</v>
      </c>
      <c r="I307" s="264">
        <f t="shared" ca="1" si="20"/>
        <v>0.4</v>
      </c>
      <c r="J307" s="264">
        <f t="shared" ca="1" si="20"/>
        <v>1</v>
      </c>
      <c r="K307" s="264">
        <f t="shared" ca="1" si="20"/>
        <v>0.8</v>
      </c>
      <c r="L307" s="264">
        <f t="shared" ca="1" si="20"/>
        <v>0.4</v>
      </c>
      <c r="M307" s="264">
        <f t="shared" ca="1" si="20"/>
        <v>0.4</v>
      </c>
      <c r="N307" s="264">
        <f t="shared" ca="1" si="20"/>
        <v>0.4</v>
      </c>
      <c r="O307" s="264">
        <f t="shared" ca="1" si="20"/>
        <v>0.8</v>
      </c>
      <c r="P307" s="264">
        <f t="shared" ca="1" si="20"/>
        <v>0.2</v>
      </c>
      <c r="Q307" s="264">
        <f t="shared" ca="1" si="20"/>
        <v>0.6</v>
      </c>
      <c r="R307" s="264">
        <f t="shared" ca="1" si="20"/>
        <v>0.2</v>
      </c>
      <c r="S307" s="264">
        <f t="shared" ca="1" si="20"/>
        <v>0.6</v>
      </c>
      <c r="T307" s="264">
        <f t="shared" ca="1" si="21"/>
        <v>0.6</v>
      </c>
      <c r="U307" s="264">
        <f t="shared" ca="1" si="21"/>
        <v>0.4</v>
      </c>
      <c r="V307" s="264">
        <f t="shared" ca="1" si="21"/>
        <v>0</v>
      </c>
      <c r="W307" s="264">
        <f t="shared" ca="1" si="21"/>
        <v>0.2</v>
      </c>
      <c r="X307" s="264" t="str">
        <f t="shared" ca="1" si="21"/>
        <v/>
      </c>
      <c r="Y307" s="264">
        <f t="shared" ca="1" si="21"/>
        <v>0.4</v>
      </c>
      <c r="Z307" s="264">
        <f t="shared" ca="1" si="21"/>
        <v>0.4</v>
      </c>
      <c r="AA307" s="264">
        <f t="shared" ca="1" si="21"/>
        <v>0.6</v>
      </c>
      <c r="AB307" s="264">
        <f t="shared" ca="1" si="21"/>
        <v>0.4</v>
      </c>
      <c r="AC307" s="264">
        <f t="shared" ca="1" si="21"/>
        <v>0.4</v>
      </c>
      <c r="AD307" s="264">
        <f t="shared" ca="1" si="21"/>
        <v>0.2</v>
      </c>
      <c r="AE307" s="264">
        <f t="shared" ca="1" si="21"/>
        <v>0.4</v>
      </c>
    </row>
    <row r="308" spans="2:31" x14ac:dyDescent="0.15">
      <c r="B308" s="222">
        <v>21</v>
      </c>
      <c r="C308" s="122" t="s">
        <v>273</v>
      </c>
      <c r="D308" s="264">
        <f t="shared" ca="1" si="20"/>
        <v>0.4</v>
      </c>
      <c r="E308" s="264">
        <f t="shared" ca="1" si="20"/>
        <v>0.2</v>
      </c>
      <c r="F308" s="264">
        <f t="shared" ca="1" si="20"/>
        <v>0.4</v>
      </c>
      <c r="G308" s="264">
        <f t="shared" ca="1" si="20"/>
        <v>0.4</v>
      </c>
      <c r="H308" s="264">
        <f t="shared" ca="1" si="20"/>
        <v>0.4</v>
      </c>
      <c r="I308" s="264">
        <f t="shared" ca="1" si="20"/>
        <v>0</v>
      </c>
      <c r="J308" s="264">
        <f t="shared" ca="1" si="20"/>
        <v>0.4</v>
      </c>
      <c r="K308" s="264">
        <f t="shared" ca="1" si="20"/>
        <v>0.6</v>
      </c>
      <c r="L308" s="264">
        <f t="shared" ca="1" si="20"/>
        <v>0.2</v>
      </c>
      <c r="M308" s="264">
        <f t="shared" ca="1" si="20"/>
        <v>0.4</v>
      </c>
      <c r="N308" s="264">
        <f t="shared" ca="1" si="20"/>
        <v>0.4</v>
      </c>
      <c r="O308" s="264">
        <f t="shared" ca="1" si="20"/>
        <v>0.2</v>
      </c>
      <c r="P308" s="264">
        <f t="shared" ca="1" si="20"/>
        <v>0.4</v>
      </c>
      <c r="Q308" s="264">
        <f t="shared" ca="1" si="20"/>
        <v>0.6</v>
      </c>
      <c r="R308" s="264">
        <f t="shared" ca="1" si="20"/>
        <v>0.4</v>
      </c>
      <c r="S308" s="264">
        <f t="shared" ca="1" si="20"/>
        <v>0.2</v>
      </c>
      <c r="T308" s="264">
        <f t="shared" ca="1" si="21"/>
        <v>0.2</v>
      </c>
      <c r="U308" s="264">
        <f t="shared" ca="1" si="21"/>
        <v>0.6</v>
      </c>
      <c r="V308" s="264">
        <f t="shared" ca="1" si="21"/>
        <v>0.6</v>
      </c>
      <c r="W308" s="264">
        <f t="shared" ca="1" si="21"/>
        <v>0.6</v>
      </c>
      <c r="X308" s="264">
        <f t="shared" ca="1" si="21"/>
        <v>0.4</v>
      </c>
      <c r="Y308" s="264" t="str">
        <f t="shared" ca="1" si="21"/>
        <v/>
      </c>
      <c r="Z308" s="264">
        <f t="shared" ca="1" si="21"/>
        <v>0.4</v>
      </c>
      <c r="AA308" s="264">
        <f t="shared" ca="1" si="21"/>
        <v>0.4</v>
      </c>
      <c r="AB308" s="264">
        <f t="shared" ca="1" si="21"/>
        <v>0.6</v>
      </c>
      <c r="AC308" s="264">
        <f t="shared" ca="1" si="21"/>
        <v>0.6</v>
      </c>
      <c r="AD308" s="264">
        <f t="shared" ca="1" si="21"/>
        <v>0.4</v>
      </c>
      <c r="AE308" s="264">
        <f t="shared" ca="1" si="21"/>
        <v>0</v>
      </c>
    </row>
    <row r="309" spans="2:31" x14ac:dyDescent="0.15">
      <c r="B309" s="222">
        <v>22</v>
      </c>
      <c r="C309" s="122" t="s">
        <v>274</v>
      </c>
      <c r="D309" s="264">
        <f t="shared" ca="1" si="20"/>
        <v>0.6</v>
      </c>
      <c r="E309" s="264">
        <f t="shared" ca="1" si="20"/>
        <v>0.4</v>
      </c>
      <c r="F309" s="264">
        <f t="shared" ca="1" si="20"/>
        <v>0.4</v>
      </c>
      <c r="G309" s="264">
        <f t="shared" ca="1" si="20"/>
        <v>0.8</v>
      </c>
      <c r="H309" s="264">
        <f t="shared" ca="1" si="20"/>
        <v>0.4</v>
      </c>
      <c r="I309" s="264">
        <f t="shared" ca="1" si="20"/>
        <v>0.6</v>
      </c>
      <c r="J309" s="264">
        <f t="shared" ca="1" si="20"/>
        <v>0.4</v>
      </c>
      <c r="K309" s="264">
        <f t="shared" ca="1" si="20"/>
        <v>0.4</v>
      </c>
      <c r="L309" s="264">
        <f t="shared" ca="1" si="20"/>
        <v>0.6</v>
      </c>
      <c r="M309" s="264">
        <f t="shared" ca="1" si="20"/>
        <v>0.6</v>
      </c>
      <c r="N309" s="264">
        <f t="shared" ca="1" si="20"/>
        <v>0.4</v>
      </c>
      <c r="O309" s="264">
        <f t="shared" ca="1" si="20"/>
        <v>0.2</v>
      </c>
      <c r="P309" s="264">
        <f t="shared" ca="1" si="20"/>
        <v>0.6</v>
      </c>
      <c r="Q309" s="264">
        <f t="shared" ca="1" si="20"/>
        <v>0.8</v>
      </c>
      <c r="R309" s="264">
        <f t="shared" ca="1" si="20"/>
        <v>0.2</v>
      </c>
      <c r="S309" s="264">
        <f t="shared" ca="1" si="20"/>
        <v>0</v>
      </c>
      <c r="T309" s="264">
        <f t="shared" ca="1" si="21"/>
        <v>0.4</v>
      </c>
      <c r="U309" s="264">
        <f t="shared" ca="1" si="21"/>
        <v>0.4</v>
      </c>
      <c r="V309" s="264">
        <f t="shared" ca="1" si="21"/>
        <v>0.4</v>
      </c>
      <c r="W309" s="264">
        <f t="shared" ca="1" si="21"/>
        <v>0.8</v>
      </c>
      <c r="X309" s="264">
        <f t="shared" ca="1" si="21"/>
        <v>0.4</v>
      </c>
      <c r="Y309" s="264">
        <f t="shared" ca="1" si="21"/>
        <v>0.4</v>
      </c>
      <c r="Z309" s="264" t="str">
        <f t="shared" ca="1" si="21"/>
        <v/>
      </c>
      <c r="AA309" s="264">
        <f t="shared" ca="1" si="21"/>
        <v>0.6</v>
      </c>
      <c r="AB309" s="264">
        <f t="shared" ca="1" si="21"/>
        <v>0.2</v>
      </c>
      <c r="AC309" s="264">
        <f t="shared" ca="1" si="21"/>
        <v>0.6</v>
      </c>
      <c r="AD309" s="264">
        <f t="shared" ca="1" si="21"/>
        <v>0.2</v>
      </c>
      <c r="AE309" s="264">
        <f t="shared" ca="1" si="21"/>
        <v>0.6</v>
      </c>
    </row>
    <row r="310" spans="2:31" x14ac:dyDescent="0.15">
      <c r="B310" s="222">
        <v>23</v>
      </c>
      <c r="C310" s="122" t="s">
        <v>275</v>
      </c>
      <c r="D310" s="264">
        <f t="shared" ca="1" si="20"/>
        <v>0.6</v>
      </c>
      <c r="E310" s="264">
        <f t="shared" ca="1" si="20"/>
        <v>0.4</v>
      </c>
      <c r="F310" s="264">
        <f t="shared" ca="1" si="20"/>
        <v>0.6</v>
      </c>
      <c r="G310" s="264">
        <f t="shared" ca="1" si="20"/>
        <v>0.6</v>
      </c>
      <c r="H310" s="264">
        <f t="shared" ca="1" si="20"/>
        <v>0</v>
      </c>
      <c r="I310" s="264">
        <f t="shared" ca="1" si="20"/>
        <v>0.6</v>
      </c>
      <c r="J310" s="264">
        <f t="shared" ca="1" si="20"/>
        <v>0.6</v>
      </c>
      <c r="K310" s="264">
        <f t="shared" ca="1" si="20"/>
        <v>0.8</v>
      </c>
      <c r="L310" s="264">
        <f t="shared" ca="1" si="20"/>
        <v>0.4</v>
      </c>
      <c r="M310" s="264">
        <f t="shared" ca="1" si="20"/>
        <v>0.2</v>
      </c>
      <c r="N310" s="264">
        <f t="shared" ca="1" si="20"/>
        <v>0.4</v>
      </c>
      <c r="O310" s="264">
        <f t="shared" ca="1" si="20"/>
        <v>0.4</v>
      </c>
      <c r="P310" s="264">
        <f t="shared" ca="1" si="20"/>
        <v>0.6</v>
      </c>
      <c r="Q310" s="264">
        <f t="shared" ca="1" si="20"/>
        <v>0.4</v>
      </c>
      <c r="R310" s="264">
        <f t="shared" ca="1" si="20"/>
        <v>0</v>
      </c>
      <c r="S310" s="264">
        <f t="shared" ca="1" si="20"/>
        <v>0.2</v>
      </c>
      <c r="T310" s="264">
        <f t="shared" ca="1" si="21"/>
        <v>0.4</v>
      </c>
      <c r="U310" s="264">
        <f t="shared" ca="1" si="21"/>
        <v>0.4</v>
      </c>
      <c r="V310" s="264">
        <f t="shared" ca="1" si="21"/>
        <v>0.4</v>
      </c>
      <c r="W310" s="264">
        <f t="shared" ca="1" si="21"/>
        <v>0.4</v>
      </c>
      <c r="X310" s="264">
        <f t="shared" ca="1" si="21"/>
        <v>0.6</v>
      </c>
      <c r="Y310" s="264">
        <f t="shared" ca="1" si="21"/>
        <v>0.4</v>
      </c>
      <c r="Z310" s="264">
        <f t="shared" ca="1" si="21"/>
        <v>0.6</v>
      </c>
      <c r="AA310" s="264" t="str">
        <f t="shared" ca="1" si="21"/>
        <v/>
      </c>
      <c r="AB310" s="264">
        <f t="shared" ca="1" si="21"/>
        <v>0.6</v>
      </c>
      <c r="AC310" s="264">
        <f t="shared" ca="1" si="21"/>
        <v>0.4</v>
      </c>
      <c r="AD310" s="264">
        <f t="shared" ca="1" si="21"/>
        <v>0</v>
      </c>
      <c r="AE310" s="264">
        <f t="shared" ca="1" si="21"/>
        <v>0.6</v>
      </c>
    </row>
    <row r="311" spans="2:31" x14ac:dyDescent="0.15">
      <c r="B311" s="222">
        <v>24</v>
      </c>
      <c r="C311" s="122" t="s">
        <v>276</v>
      </c>
      <c r="D311" s="264">
        <f t="shared" ca="1" si="20"/>
        <v>0.2</v>
      </c>
      <c r="E311" s="264">
        <f t="shared" ca="1" si="20"/>
        <v>0.2</v>
      </c>
      <c r="F311" s="264">
        <f t="shared" ca="1" si="20"/>
        <v>0.4</v>
      </c>
      <c r="G311" s="264">
        <f t="shared" ca="1" si="20"/>
        <v>0.2</v>
      </c>
      <c r="H311" s="264">
        <f t="shared" ca="1" si="20"/>
        <v>0.4</v>
      </c>
      <c r="I311" s="264">
        <f t="shared" ca="1" si="20"/>
        <v>0.2</v>
      </c>
      <c r="J311" s="264">
        <f t="shared" ca="1" si="20"/>
        <v>0.4</v>
      </c>
      <c r="K311" s="264">
        <f t="shared" ca="1" si="20"/>
        <v>0.6</v>
      </c>
      <c r="L311" s="264">
        <f t="shared" ca="1" si="20"/>
        <v>0</v>
      </c>
      <c r="M311" s="264">
        <f t="shared" ca="1" si="20"/>
        <v>0</v>
      </c>
      <c r="N311" s="264">
        <f t="shared" ca="1" si="20"/>
        <v>0.8</v>
      </c>
      <c r="O311" s="264">
        <f t="shared" ca="1" si="20"/>
        <v>0.2</v>
      </c>
      <c r="P311" s="264">
        <f t="shared" ca="1" si="20"/>
        <v>0.2</v>
      </c>
      <c r="Q311" s="264">
        <f t="shared" ca="1" si="20"/>
        <v>0.2</v>
      </c>
      <c r="R311" s="264">
        <f t="shared" ca="1" si="20"/>
        <v>0.4</v>
      </c>
      <c r="S311" s="264">
        <f t="shared" ca="1" si="20"/>
        <v>0.2</v>
      </c>
      <c r="T311" s="264">
        <f t="shared" ca="1" si="21"/>
        <v>0.2</v>
      </c>
      <c r="U311" s="264">
        <f t="shared" ca="1" si="21"/>
        <v>0.2</v>
      </c>
      <c r="V311" s="264">
        <f t="shared" ca="1" si="21"/>
        <v>0.4</v>
      </c>
      <c r="W311" s="264">
        <f t="shared" ca="1" si="21"/>
        <v>0.4</v>
      </c>
      <c r="X311" s="264">
        <f t="shared" ca="1" si="21"/>
        <v>0.4</v>
      </c>
      <c r="Y311" s="264">
        <f t="shared" ca="1" si="21"/>
        <v>0.6</v>
      </c>
      <c r="Z311" s="264">
        <f t="shared" ca="1" si="21"/>
        <v>0.2</v>
      </c>
      <c r="AA311" s="264">
        <f t="shared" ca="1" si="21"/>
        <v>0.6</v>
      </c>
      <c r="AB311" s="264" t="str">
        <f t="shared" ca="1" si="21"/>
        <v/>
      </c>
      <c r="AC311" s="264">
        <f t="shared" ca="1" si="21"/>
        <v>0.4</v>
      </c>
      <c r="AD311" s="264">
        <f t="shared" ca="1" si="21"/>
        <v>0.4</v>
      </c>
      <c r="AE311" s="264">
        <f t="shared" ca="1" si="21"/>
        <v>0.2</v>
      </c>
    </row>
    <row r="312" spans="2:31" x14ac:dyDescent="0.15">
      <c r="B312" s="222">
        <v>25</v>
      </c>
      <c r="C312" s="122" t="s">
        <v>277</v>
      </c>
      <c r="D312" s="264">
        <f t="shared" ca="1" si="20"/>
        <v>0.4</v>
      </c>
      <c r="E312" s="264">
        <f t="shared" ca="1" si="20"/>
        <v>0</v>
      </c>
      <c r="F312" s="264">
        <f t="shared" ca="1" si="20"/>
        <v>0.4</v>
      </c>
      <c r="G312" s="264">
        <f t="shared" ca="1" si="20"/>
        <v>0.8</v>
      </c>
      <c r="H312" s="264">
        <f t="shared" ca="1" si="20"/>
        <v>0.4</v>
      </c>
      <c r="I312" s="264">
        <f t="shared" ca="1" si="20"/>
        <v>0.2</v>
      </c>
      <c r="J312" s="264">
        <f t="shared" ref="J312:Y314" ca="1" si="22">IF($B312=J$285,"", SSRSharedRatio(OFFSET($L$98:$P$98,$B312,0),OFFSET($L$98:$P$98,J$285,0)))</f>
        <v>0.4</v>
      </c>
      <c r="K312" s="264">
        <f t="shared" ca="1" si="22"/>
        <v>0.2</v>
      </c>
      <c r="L312" s="264">
        <f t="shared" ca="1" si="22"/>
        <v>0.6</v>
      </c>
      <c r="M312" s="264">
        <f t="shared" ca="1" si="22"/>
        <v>0.2</v>
      </c>
      <c r="N312" s="264">
        <f t="shared" ca="1" si="22"/>
        <v>0.4</v>
      </c>
      <c r="O312" s="264">
        <f t="shared" ca="1" si="22"/>
        <v>0.2</v>
      </c>
      <c r="P312" s="264">
        <f t="shared" ca="1" si="22"/>
        <v>0.4</v>
      </c>
      <c r="Q312" s="264">
        <f t="shared" ca="1" si="22"/>
        <v>0.4</v>
      </c>
      <c r="R312" s="264">
        <f t="shared" ca="1" si="22"/>
        <v>0.6</v>
      </c>
      <c r="S312" s="264">
        <f t="shared" ca="1" si="22"/>
        <v>0.2</v>
      </c>
      <c r="T312" s="264">
        <f t="shared" ca="1" si="22"/>
        <v>0</v>
      </c>
      <c r="U312" s="264">
        <f t="shared" ca="1" si="22"/>
        <v>0.2</v>
      </c>
      <c r="V312" s="264">
        <f t="shared" ca="1" si="22"/>
        <v>0.6</v>
      </c>
      <c r="W312" s="264">
        <f t="shared" ca="1" si="22"/>
        <v>0.8</v>
      </c>
      <c r="X312" s="264">
        <f t="shared" ca="1" si="22"/>
        <v>0.4</v>
      </c>
      <c r="Y312" s="264">
        <f t="shared" ca="1" si="22"/>
        <v>0.6</v>
      </c>
      <c r="Z312" s="264">
        <f t="shared" ca="1" si="21"/>
        <v>0.6</v>
      </c>
      <c r="AA312" s="264">
        <f t="shared" ca="1" si="21"/>
        <v>0.4</v>
      </c>
      <c r="AB312" s="264">
        <f t="shared" ca="1" si="21"/>
        <v>0.4</v>
      </c>
      <c r="AC312" s="264" t="str">
        <f t="shared" ca="1" si="21"/>
        <v/>
      </c>
      <c r="AD312" s="264">
        <f t="shared" ca="1" si="21"/>
        <v>0.6</v>
      </c>
      <c r="AE312" s="264">
        <f t="shared" ca="1" si="21"/>
        <v>0.2</v>
      </c>
    </row>
    <row r="313" spans="2:31" x14ac:dyDescent="0.15">
      <c r="B313" s="222">
        <v>26</v>
      </c>
      <c r="C313" s="122" t="s">
        <v>278</v>
      </c>
      <c r="D313" s="264">
        <f t="shared" ref="D313:S314" ca="1" si="23">IF($B313=D$285,"", SSRSharedRatio(OFFSET($L$98:$P$98,$B313,0),OFFSET($L$98:$P$98,D$285,0)))</f>
        <v>0.2</v>
      </c>
      <c r="E313" s="264">
        <f t="shared" ca="1" si="23"/>
        <v>0.2</v>
      </c>
      <c r="F313" s="264">
        <f t="shared" ca="1" si="23"/>
        <v>0.2</v>
      </c>
      <c r="G313" s="264">
        <f t="shared" ca="1" si="23"/>
        <v>0.4</v>
      </c>
      <c r="H313" s="264">
        <f t="shared" ca="1" si="23"/>
        <v>0.8</v>
      </c>
      <c r="I313" s="264">
        <f t="shared" ca="1" si="23"/>
        <v>0</v>
      </c>
      <c r="J313" s="264">
        <f t="shared" ca="1" si="23"/>
        <v>0.2</v>
      </c>
      <c r="K313" s="264">
        <f t="shared" ca="1" si="23"/>
        <v>0</v>
      </c>
      <c r="L313" s="264">
        <f t="shared" ca="1" si="23"/>
        <v>0.6</v>
      </c>
      <c r="M313" s="264">
        <f t="shared" ca="1" si="23"/>
        <v>0.4</v>
      </c>
      <c r="N313" s="264">
        <f t="shared" ca="1" si="23"/>
        <v>0.4</v>
      </c>
      <c r="O313" s="264">
        <f t="shared" ca="1" si="23"/>
        <v>0.4</v>
      </c>
      <c r="P313" s="264">
        <f t="shared" ca="1" si="23"/>
        <v>0.4</v>
      </c>
      <c r="Q313" s="264">
        <f t="shared" ca="1" si="23"/>
        <v>0.2</v>
      </c>
      <c r="R313" s="264">
        <f t="shared" ca="1" si="23"/>
        <v>1</v>
      </c>
      <c r="S313" s="264">
        <f t="shared" ca="1" si="23"/>
        <v>0.4</v>
      </c>
      <c r="T313" s="264">
        <f t="shared" ca="1" si="22"/>
        <v>0.2</v>
      </c>
      <c r="U313" s="264">
        <f t="shared" ca="1" si="22"/>
        <v>0.4</v>
      </c>
      <c r="V313" s="264">
        <f t="shared" ca="1" si="22"/>
        <v>0.6</v>
      </c>
      <c r="W313" s="264">
        <f t="shared" ca="1" si="22"/>
        <v>0.4</v>
      </c>
      <c r="X313" s="264">
        <f t="shared" ca="1" si="22"/>
        <v>0.2</v>
      </c>
      <c r="Y313" s="264">
        <f t="shared" ca="1" si="22"/>
        <v>0.4</v>
      </c>
      <c r="Z313" s="264">
        <f t="shared" ca="1" si="21"/>
        <v>0.2</v>
      </c>
      <c r="AA313" s="264">
        <f t="shared" ca="1" si="21"/>
        <v>0</v>
      </c>
      <c r="AB313" s="264">
        <f t="shared" ca="1" si="21"/>
        <v>0.4</v>
      </c>
      <c r="AC313" s="264">
        <f t="shared" ca="1" si="21"/>
        <v>0.6</v>
      </c>
      <c r="AD313" s="264" t="str">
        <f t="shared" ca="1" si="21"/>
        <v/>
      </c>
      <c r="AE313" s="264">
        <f t="shared" ca="1" si="21"/>
        <v>0.2</v>
      </c>
    </row>
    <row r="314" spans="2:31" x14ac:dyDescent="0.15">
      <c r="B314" s="265">
        <v>27</v>
      </c>
      <c r="C314" s="123" t="s">
        <v>279</v>
      </c>
      <c r="D314" s="267">
        <f t="shared" ca="1" si="23"/>
        <v>0.4</v>
      </c>
      <c r="E314" s="267">
        <f t="shared" ca="1" si="23"/>
        <v>0.8</v>
      </c>
      <c r="F314" s="267">
        <f t="shared" ca="1" si="23"/>
        <v>0.4</v>
      </c>
      <c r="G314" s="267">
        <f t="shared" ca="1" si="23"/>
        <v>0.4</v>
      </c>
      <c r="H314" s="267">
        <f t="shared" ca="1" si="23"/>
        <v>0.4</v>
      </c>
      <c r="I314" s="267">
        <f t="shared" ca="1" si="23"/>
        <v>0.8</v>
      </c>
      <c r="J314" s="267">
        <f t="shared" ca="1" si="23"/>
        <v>0.4</v>
      </c>
      <c r="K314" s="267">
        <f t="shared" ca="1" si="23"/>
        <v>0.4</v>
      </c>
      <c r="L314" s="267">
        <f t="shared" ca="1" si="23"/>
        <v>0.6</v>
      </c>
      <c r="M314" s="267">
        <f t="shared" ca="1" si="23"/>
        <v>0.6</v>
      </c>
      <c r="N314" s="267">
        <f t="shared" ca="1" si="23"/>
        <v>0.4</v>
      </c>
      <c r="O314" s="267">
        <f t="shared" ca="1" si="23"/>
        <v>0.6</v>
      </c>
      <c r="P314" s="267">
        <f t="shared" ca="1" si="23"/>
        <v>0.6</v>
      </c>
      <c r="Q314" s="267">
        <f t="shared" ca="1" si="23"/>
        <v>0.4</v>
      </c>
      <c r="R314" s="267">
        <f t="shared" ca="1" si="23"/>
        <v>0.2</v>
      </c>
      <c r="S314" s="267">
        <f t="shared" ca="1" si="23"/>
        <v>0.4</v>
      </c>
      <c r="T314" s="267">
        <f t="shared" ca="1" si="22"/>
        <v>0.8</v>
      </c>
      <c r="U314" s="267">
        <f t="shared" ca="1" si="22"/>
        <v>0.4</v>
      </c>
      <c r="V314" s="267">
        <f t="shared" ca="1" si="22"/>
        <v>0.4</v>
      </c>
      <c r="W314" s="267">
        <f t="shared" ca="1" si="22"/>
        <v>0.4</v>
      </c>
      <c r="X314" s="267">
        <f t="shared" ca="1" si="22"/>
        <v>0.4</v>
      </c>
      <c r="Y314" s="267">
        <f t="shared" ca="1" si="22"/>
        <v>0</v>
      </c>
      <c r="Z314" s="267">
        <f t="shared" ca="1" si="21"/>
        <v>0.6</v>
      </c>
      <c r="AA314" s="267">
        <f t="shared" ca="1" si="21"/>
        <v>0.6</v>
      </c>
      <c r="AB314" s="267">
        <f t="shared" ca="1" si="21"/>
        <v>0.2</v>
      </c>
      <c r="AC314" s="267">
        <f t="shared" ca="1" si="21"/>
        <v>0.2</v>
      </c>
      <c r="AD314" s="267">
        <f t="shared" ca="1" si="21"/>
        <v>0.2</v>
      </c>
      <c r="AE314" s="267" t="str">
        <f t="shared" ca="1" si="21"/>
        <v/>
      </c>
    </row>
  </sheetData>
  <mergeCells count="1">
    <mergeCell ref="B5:J5"/>
  </mergeCells>
  <phoneticPr fontId="1"/>
  <conditionalFormatting sqref="D98:H98">
    <cfRule type="cellIs" dxfId="24" priority="36" stopIfTrue="1" operator="equal">
      <formula>"/"</formula>
    </cfRule>
  </conditionalFormatting>
  <conditionalFormatting sqref="D102:H103">
    <cfRule type="cellIs" dxfId="23" priority="33" stopIfTrue="1" operator="equal">
      <formula>"/"</formula>
    </cfRule>
  </conditionalFormatting>
  <conditionalFormatting sqref="D99:H99">
    <cfRule type="cellIs" dxfId="22" priority="35" stopIfTrue="1" operator="equal">
      <formula>"/"</formula>
    </cfRule>
  </conditionalFormatting>
  <conditionalFormatting sqref="D100:H101">
    <cfRule type="cellIs" dxfId="21" priority="34" stopIfTrue="1" operator="equal">
      <formula>"/"</formula>
    </cfRule>
  </conditionalFormatting>
  <conditionalFormatting sqref="D104:H119 D121:H122">
    <cfRule type="cellIs" dxfId="20" priority="32" stopIfTrue="1" operator="equal">
      <formula>"/"</formula>
    </cfRule>
  </conditionalFormatting>
  <conditionalFormatting sqref="D123:H125">
    <cfRule type="cellIs" dxfId="19" priority="31" stopIfTrue="1" operator="equal">
      <formula>"/"</formula>
    </cfRule>
  </conditionalFormatting>
  <conditionalFormatting sqref="D86:E86 E84 G84:H84 G86:H86 G85">
    <cfRule type="cellIs" dxfId="18" priority="30" stopIfTrue="1" operator="equal">
      <formula>"/"</formula>
    </cfRule>
  </conditionalFormatting>
  <conditionalFormatting sqref="D84">
    <cfRule type="cellIs" dxfId="17" priority="29" stopIfTrue="1" operator="equal">
      <formula>"/"</formula>
    </cfRule>
  </conditionalFormatting>
  <conditionalFormatting sqref="D85">
    <cfRule type="cellIs" dxfId="16" priority="28" stopIfTrue="1" operator="equal">
      <formula>"/"</formula>
    </cfRule>
  </conditionalFormatting>
  <conditionalFormatting sqref="E85">
    <cfRule type="cellIs" dxfId="15" priority="27" stopIfTrue="1" operator="equal">
      <formula>"/"</formula>
    </cfRule>
  </conditionalFormatting>
  <conditionalFormatting sqref="F86">
    <cfRule type="cellIs" dxfId="14" priority="26" stopIfTrue="1" operator="equal">
      <formula>"/"</formula>
    </cfRule>
  </conditionalFormatting>
  <conditionalFormatting sqref="F85">
    <cfRule type="cellIs" dxfId="13" priority="25" stopIfTrue="1" operator="equal">
      <formula>"/"</formula>
    </cfRule>
  </conditionalFormatting>
  <conditionalFormatting sqref="F84">
    <cfRule type="cellIs" dxfId="12" priority="24" stopIfTrue="1" operator="equal">
      <formula>"/"</formula>
    </cfRule>
  </conditionalFormatting>
  <conditionalFormatting sqref="H85">
    <cfRule type="cellIs" dxfId="11" priority="23" stopIfTrue="1" operator="equal">
      <formula>"/"</formula>
    </cfRule>
  </conditionalFormatting>
  <conditionalFormatting sqref="D127:E127 G127:H127">
    <cfRule type="cellIs" dxfId="10" priority="22" stopIfTrue="1" operator="equal">
      <formula>"/"</formula>
    </cfRule>
  </conditionalFormatting>
  <conditionalFormatting sqref="F127">
    <cfRule type="cellIs" dxfId="9" priority="21" stopIfTrue="1" operator="equal">
      <formula>"/"</formula>
    </cfRule>
  </conditionalFormatting>
  <conditionalFormatting sqref="D153:E153 E152 G152:H153">
    <cfRule type="cellIs" dxfId="8" priority="20" stopIfTrue="1" operator="equal">
      <formula>"/"</formula>
    </cfRule>
  </conditionalFormatting>
  <conditionalFormatting sqref="D152">
    <cfRule type="cellIs" dxfId="7" priority="19" stopIfTrue="1" operator="equal">
      <formula>"/"</formula>
    </cfRule>
  </conditionalFormatting>
  <conditionalFormatting sqref="F153">
    <cfRule type="cellIs" dxfId="6" priority="16" stopIfTrue="1" operator="equal">
      <formula>"/"</formula>
    </cfRule>
  </conditionalFormatting>
  <conditionalFormatting sqref="F152">
    <cfRule type="cellIs" dxfId="5" priority="14" stopIfTrue="1" operator="equal">
      <formula>"/"</formula>
    </cfRule>
  </conditionalFormatting>
  <conditionalFormatting sqref="D170:AE197">
    <cfRule type="cellIs" dxfId="4" priority="8" operator="greaterThan">
      <formula>$D$162</formula>
    </cfRule>
  </conditionalFormatting>
  <conditionalFormatting sqref="D209:AE236">
    <cfRule type="cellIs" dxfId="3" priority="6" operator="greaterThan">
      <formula>$D$202</formula>
    </cfRule>
  </conditionalFormatting>
  <conditionalFormatting sqref="D248:AE275">
    <cfRule type="cellIs" dxfId="2" priority="4" operator="greaterThan">
      <formula>$D$241</formula>
    </cfRule>
  </conditionalFormatting>
  <conditionalFormatting sqref="D287:AE314">
    <cfRule type="cellIs" dxfId="1" priority="2" operator="greaterThan">
      <formula>$D$280</formula>
    </cfRule>
  </conditionalFormatting>
  <conditionalFormatting sqref="D120:H120">
    <cfRule type="cellIs" dxfId="0" priority="1" stopIfTrue="1" operator="equal">
      <formula>"/"</formula>
    </cfRule>
  </conditionalFormatting>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570"/>
  <sheetViews>
    <sheetView workbookViewId="0">
      <selection activeCell="E564" sqref="E564"/>
    </sheetView>
  </sheetViews>
  <sheetFormatPr defaultRowHeight="15.75" x14ac:dyDescent="0.15"/>
  <cols>
    <col min="1" max="1" width="8.75" style="14" customWidth="1"/>
    <col min="2" max="2" width="4.375" style="14" customWidth="1"/>
    <col min="3" max="3" width="6" style="14" customWidth="1"/>
    <col min="4" max="4" width="15.375" style="14" customWidth="1"/>
    <col min="5" max="5" width="9.625" style="14" bestFit="1" customWidth="1"/>
    <col min="6" max="16384" width="9" style="14"/>
  </cols>
  <sheetData>
    <row r="1" spans="1:17" ht="18.75" x14ac:dyDescent="0.15">
      <c r="A1" s="253" t="s">
        <v>129</v>
      </c>
      <c r="F1" s="17"/>
      <c r="I1" s="17" t="s">
        <v>130</v>
      </c>
      <c r="J1" s="14" t="str">
        <f>GUGS()</f>
        <v>GUGS: ver. 1.01</v>
      </c>
      <c r="K1" s="17"/>
      <c r="M1" s="17"/>
    </row>
    <row r="2" spans="1:17" x14ac:dyDescent="0.15">
      <c r="A2" s="16"/>
      <c r="F2" s="17"/>
      <c r="I2" s="17"/>
      <c r="K2" s="17"/>
      <c r="M2" s="17"/>
    </row>
    <row r="3" spans="1:17" x14ac:dyDescent="0.15">
      <c r="A3" s="47" t="s">
        <v>1219</v>
      </c>
      <c r="B3" s="48"/>
      <c r="C3" s="48"/>
      <c r="D3" s="48"/>
      <c r="E3" s="48"/>
      <c r="F3" s="49"/>
      <c r="G3" s="48"/>
      <c r="H3" s="48"/>
      <c r="I3" s="49"/>
      <c r="J3" s="48"/>
      <c r="K3" s="49"/>
      <c r="L3" s="48"/>
      <c r="M3" s="49"/>
      <c r="N3" s="48"/>
      <c r="O3" s="48"/>
      <c r="P3" s="48"/>
      <c r="Q3" s="48"/>
    </row>
    <row r="5" spans="1:17" ht="36.75" customHeight="1" x14ac:dyDescent="0.15">
      <c r="B5" s="305" t="s">
        <v>1571</v>
      </c>
      <c r="C5" s="305"/>
      <c r="D5" s="305"/>
      <c r="E5" s="305"/>
      <c r="F5" s="305"/>
      <c r="G5" s="305"/>
      <c r="H5" s="305"/>
      <c r="I5" s="305"/>
      <c r="J5" s="305"/>
    </row>
    <row r="8" spans="1:17" x14ac:dyDescent="0.15">
      <c r="A8" s="66" t="s">
        <v>395</v>
      </c>
      <c r="B8" s="67" t="s">
        <v>1093</v>
      </c>
      <c r="C8" s="67"/>
      <c r="D8" s="67"/>
      <c r="E8" s="67"/>
      <c r="F8" s="68"/>
      <c r="G8" s="67"/>
      <c r="H8" s="67"/>
      <c r="I8" s="68"/>
      <c r="J8" s="67"/>
      <c r="K8" s="68"/>
      <c r="L8" s="67"/>
      <c r="M8" s="68"/>
      <c r="N8" s="67"/>
      <c r="O8" s="67"/>
      <c r="P8" s="67"/>
      <c r="Q8" s="67"/>
    </row>
    <row r="9" spans="1:17" x14ac:dyDescent="0.15">
      <c r="C9" s="14" t="s">
        <v>878</v>
      </c>
    </row>
    <row r="11" spans="1:17" x14ac:dyDescent="0.15">
      <c r="D11" s="69" t="s">
        <v>879</v>
      </c>
      <c r="E11" s="70" t="s">
        <v>1384</v>
      </c>
      <c r="F11" s="58"/>
      <c r="G11" s="58"/>
      <c r="H11" s="58"/>
      <c r="I11" s="71"/>
    </row>
    <row r="12" spans="1:17" x14ac:dyDescent="0.15">
      <c r="D12" s="72" t="s">
        <v>886</v>
      </c>
      <c r="E12" s="32" t="s">
        <v>1385</v>
      </c>
      <c r="F12" s="32"/>
      <c r="G12" s="32"/>
      <c r="H12" s="32"/>
      <c r="I12" s="73"/>
    </row>
    <row r="13" spans="1:17" x14ac:dyDescent="0.15">
      <c r="D13" s="74" t="s">
        <v>887</v>
      </c>
      <c r="E13" s="62" t="s">
        <v>1103</v>
      </c>
      <c r="F13" s="62"/>
      <c r="G13" s="62"/>
      <c r="H13" s="62"/>
      <c r="I13" s="75"/>
    </row>
    <row r="15" spans="1:17" x14ac:dyDescent="0.15">
      <c r="D15" s="114"/>
      <c r="E15" s="129" t="s">
        <v>880</v>
      </c>
    </row>
    <row r="16" spans="1:17" x14ac:dyDescent="0.15">
      <c r="D16" s="130" t="s">
        <v>881</v>
      </c>
      <c r="E16" s="78" t="s">
        <v>882</v>
      </c>
    </row>
    <row r="17" spans="1:17" x14ac:dyDescent="0.15">
      <c r="D17" s="131" t="s">
        <v>1652</v>
      </c>
      <c r="E17" s="81" t="str">
        <f>compnuc(D17)</f>
        <v>T</v>
      </c>
    </row>
    <row r="18" spans="1:17" x14ac:dyDescent="0.15">
      <c r="D18" s="131" t="s">
        <v>85</v>
      </c>
      <c r="E18" s="81" t="str">
        <f t="shared" ref="E18:E20" si="0">compnuc(D18)</f>
        <v>G</v>
      </c>
    </row>
    <row r="19" spans="1:17" x14ac:dyDescent="0.15">
      <c r="D19" s="131" t="s">
        <v>883</v>
      </c>
      <c r="E19" s="81" t="str">
        <f t="shared" si="0"/>
        <v>C</v>
      </c>
    </row>
    <row r="20" spans="1:17" x14ac:dyDescent="0.15">
      <c r="D20" s="131" t="s">
        <v>83</v>
      </c>
      <c r="E20" s="81" t="str">
        <f t="shared" si="0"/>
        <v>A</v>
      </c>
    </row>
    <row r="21" spans="1:17" x14ac:dyDescent="0.15">
      <c r="D21" s="131" t="s">
        <v>90</v>
      </c>
      <c r="E21" s="81" t="str">
        <f>compnuc(D21)</f>
        <v>N</v>
      </c>
    </row>
    <row r="22" spans="1:17" x14ac:dyDescent="0.15">
      <c r="D22" s="131" t="s">
        <v>885</v>
      </c>
      <c r="E22" s="81" t="str">
        <f>compnuc(D22)</f>
        <v>T</v>
      </c>
      <c r="F22" s="14" t="s">
        <v>1116</v>
      </c>
    </row>
    <row r="23" spans="1:17" x14ac:dyDescent="0.15">
      <c r="D23" s="132" t="s">
        <v>153</v>
      </c>
      <c r="E23" s="84" t="str">
        <f>compnuc(D23)</f>
        <v>*</v>
      </c>
      <c r="F23" s="14" t="s">
        <v>884</v>
      </c>
    </row>
    <row r="26" spans="1:17" x14ac:dyDescent="0.15">
      <c r="A26" s="66" t="s">
        <v>1018</v>
      </c>
      <c r="B26" s="67" t="s">
        <v>905</v>
      </c>
      <c r="C26" s="67"/>
      <c r="D26" s="67"/>
      <c r="E26" s="67"/>
      <c r="F26" s="68"/>
      <c r="G26" s="67"/>
      <c r="H26" s="67"/>
      <c r="I26" s="68"/>
      <c r="J26" s="67"/>
      <c r="K26" s="68"/>
      <c r="L26" s="67"/>
      <c r="M26" s="68"/>
      <c r="N26" s="67"/>
      <c r="O26" s="67"/>
      <c r="P26" s="67"/>
      <c r="Q26" s="67"/>
    </row>
    <row r="27" spans="1:17" x14ac:dyDescent="0.15">
      <c r="C27" s="14" t="s">
        <v>906</v>
      </c>
    </row>
    <row r="28" spans="1:17" x14ac:dyDescent="0.15">
      <c r="C28" s="14" t="s">
        <v>1092</v>
      </c>
    </row>
    <row r="30" spans="1:17" x14ac:dyDescent="0.15">
      <c r="D30" s="69" t="s">
        <v>879</v>
      </c>
      <c r="E30" s="70" t="s">
        <v>1386</v>
      </c>
      <c r="F30" s="58"/>
      <c r="G30" s="58"/>
      <c r="H30" s="71"/>
    </row>
    <row r="31" spans="1:17" x14ac:dyDescent="0.15">
      <c r="D31" s="72" t="s">
        <v>886</v>
      </c>
      <c r="E31" s="32" t="s">
        <v>1387</v>
      </c>
      <c r="F31" s="32"/>
      <c r="G31" s="32"/>
      <c r="H31" s="73"/>
    </row>
    <row r="32" spans="1:17" x14ac:dyDescent="0.15">
      <c r="D32" s="74" t="s">
        <v>887</v>
      </c>
      <c r="E32" s="62" t="s">
        <v>907</v>
      </c>
      <c r="F32" s="62"/>
      <c r="G32" s="62"/>
      <c r="H32" s="75"/>
    </row>
    <row r="34" spans="1:17" x14ac:dyDescent="0.15">
      <c r="D34" s="114"/>
      <c r="E34" s="129" t="s">
        <v>908</v>
      </c>
    </row>
    <row r="35" spans="1:17" x14ac:dyDescent="0.15">
      <c r="D35" s="130" t="s">
        <v>881</v>
      </c>
      <c r="E35" s="130"/>
      <c r="F35" s="78" t="s">
        <v>882</v>
      </c>
      <c r="G35" s="78"/>
    </row>
    <row r="36" spans="1:17" x14ac:dyDescent="0.15">
      <c r="D36" s="133" t="s">
        <v>890</v>
      </c>
      <c r="E36" s="131"/>
      <c r="F36" s="134" t="str">
        <f>comp(D36)</f>
        <v>TGCA</v>
      </c>
      <c r="G36" s="81"/>
      <c r="H36" s="14" t="s">
        <v>899</v>
      </c>
    </row>
    <row r="37" spans="1:17" x14ac:dyDescent="0.15">
      <c r="D37" s="133" t="s">
        <v>891</v>
      </c>
      <c r="E37" s="131"/>
      <c r="F37" s="134" t="str">
        <f t="shared" ref="F37:F42" si="1">comp(D37)</f>
        <v>GTTCGATGT</v>
      </c>
      <c r="G37" s="81"/>
      <c r="H37" s="14" t="s">
        <v>900</v>
      </c>
    </row>
    <row r="38" spans="1:17" x14ac:dyDescent="0.15">
      <c r="D38" s="133" t="s">
        <v>893</v>
      </c>
      <c r="E38" s="131"/>
      <c r="F38" s="134" t="str">
        <f t="shared" si="1"/>
        <v>***GN**T</v>
      </c>
      <c r="G38" s="81"/>
      <c r="H38" s="14" t="s">
        <v>910</v>
      </c>
    </row>
    <row r="39" spans="1:17" x14ac:dyDescent="0.15">
      <c r="D39" s="133" t="s">
        <v>898</v>
      </c>
      <c r="E39" s="133"/>
      <c r="F39" s="134" t="str">
        <f t="shared" si="1"/>
        <v>TTTCA</v>
      </c>
      <c r="G39" s="81"/>
      <c r="H39" s="14" t="s">
        <v>915</v>
      </c>
    </row>
    <row r="40" spans="1:17" x14ac:dyDescent="0.15">
      <c r="D40" s="133" t="s">
        <v>897</v>
      </c>
      <c r="E40" s="133"/>
      <c r="F40" s="134" t="str">
        <f t="shared" si="1"/>
        <v>TAANGG</v>
      </c>
      <c r="G40" s="81"/>
      <c r="H40" s="14" t="s">
        <v>914</v>
      </c>
    </row>
    <row r="41" spans="1:17" x14ac:dyDescent="0.15">
      <c r="D41" s="133"/>
      <c r="E41" s="133"/>
      <c r="F41" s="134" t="str">
        <f t="shared" si="1"/>
        <v/>
      </c>
      <c r="G41" s="81"/>
      <c r="H41" s="14" t="s">
        <v>904</v>
      </c>
    </row>
    <row r="42" spans="1:17" x14ac:dyDescent="0.15">
      <c r="D42" s="135">
        <v>123</v>
      </c>
      <c r="E42" s="135"/>
      <c r="F42" s="136" t="str">
        <f t="shared" si="1"/>
        <v>***</v>
      </c>
      <c r="G42" s="84"/>
      <c r="H42" s="14" t="s">
        <v>884</v>
      </c>
    </row>
    <row r="45" spans="1:17" x14ac:dyDescent="0.15">
      <c r="A45" s="66" t="s">
        <v>397</v>
      </c>
      <c r="B45" s="67" t="s">
        <v>888</v>
      </c>
      <c r="C45" s="67"/>
      <c r="D45" s="67"/>
      <c r="E45" s="67"/>
      <c r="F45" s="68"/>
      <c r="G45" s="67"/>
      <c r="H45" s="67"/>
      <c r="I45" s="68"/>
      <c r="J45" s="67"/>
      <c r="K45" s="68"/>
      <c r="L45" s="67"/>
      <c r="M45" s="68"/>
      <c r="N45" s="67"/>
      <c r="O45" s="67"/>
      <c r="P45" s="67"/>
      <c r="Q45" s="67"/>
    </row>
    <row r="46" spans="1:17" x14ac:dyDescent="0.15">
      <c r="C46" s="14" t="s">
        <v>894</v>
      </c>
    </row>
    <row r="47" spans="1:17" x14ac:dyDescent="0.15">
      <c r="C47" s="14" t="s">
        <v>895</v>
      </c>
    </row>
    <row r="49" spans="1:17" x14ac:dyDescent="0.15">
      <c r="D49" s="69" t="s">
        <v>879</v>
      </c>
      <c r="E49" s="70" t="s">
        <v>1388</v>
      </c>
      <c r="F49" s="58"/>
      <c r="G49" s="58"/>
      <c r="H49" s="71"/>
    </row>
    <row r="50" spans="1:17" x14ac:dyDescent="0.15">
      <c r="D50" s="72" t="s">
        <v>886</v>
      </c>
      <c r="E50" s="32" t="s">
        <v>1389</v>
      </c>
      <c r="F50" s="32"/>
      <c r="G50" s="32"/>
      <c r="H50" s="73"/>
    </row>
    <row r="51" spans="1:17" x14ac:dyDescent="0.15">
      <c r="D51" s="74" t="s">
        <v>887</v>
      </c>
      <c r="E51" s="62" t="s">
        <v>896</v>
      </c>
      <c r="F51" s="62"/>
      <c r="G51" s="62"/>
      <c r="H51" s="75"/>
    </row>
    <row r="53" spans="1:17" x14ac:dyDescent="0.15">
      <c r="D53" s="114"/>
      <c r="E53" s="129" t="s">
        <v>889</v>
      </c>
    </row>
    <row r="54" spans="1:17" x14ac:dyDescent="0.15">
      <c r="D54" s="130" t="s">
        <v>881</v>
      </c>
      <c r="E54" s="130"/>
      <c r="F54" s="78" t="s">
        <v>882</v>
      </c>
      <c r="G54" s="78"/>
    </row>
    <row r="55" spans="1:17" x14ac:dyDescent="0.15">
      <c r="D55" s="133" t="s">
        <v>1653</v>
      </c>
      <c r="E55" s="131"/>
      <c r="F55" s="134" t="str">
        <f>reverse(D55)</f>
        <v>TGCA</v>
      </c>
      <c r="G55" s="81"/>
      <c r="H55" s="14" t="s">
        <v>899</v>
      </c>
    </row>
    <row r="56" spans="1:17" x14ac:dyDescent="0.15">
      <c r="D56" s="133" t="s">
        <v>891</v>
      </c>
      <c r="E56" s="131"/>
      <c r="F56" s="134" t="str">
        <f t="shared" ref="F56:F61" si="2">reverse(D56)</f>
        <v>ACATCGAAC</v>
      </c>
      <c r="G56" s="81"/>
      <c r="H56" s="14" t="s">
        <v>900</v>
      </c>
    </row>
    <row r="57" spans="1:17" x14ac:dyDescent="0.15">
      <c r="D57" s="133" t="s">
        <v>893</v>
      </c>
      <c r="E57" s="131"/>
      <c r="F57" s="81" t="str">
        <f t="shared" si="2"/>
        <v>ARLNCQLK</v>
      </c>
      <c r="G57" s="81"/>
      <c r="H57" s="14" t="s">
        <v>901</v>
      </c>
    </row>
    <row r="58" spans="1:17" x14ac:dyDescent="0.15">
      <c r="D58" s="133" t="s">
        <v>898</v>
      </c>
      <c r="E58" s="133"/>
      <c r="F58" s="134" t="str">
        <f t="shared" si="2"/>
        <v>UGAAA</v>
      </c>
      <c r="G58" s="81"/>
      <c r="H58" s="14" t="s">
        <v>902</v>
      </c>
    </row>
    <row r="59" spans="1:17" x14ac:dyDescent="0.15">
      <c r="D59" s="133" t="s">
        <v>897</v>
      </c>
      <c r="E59" s="133"/>
      <c r="F59" s="134" t="str">
        <f t="shared" si="2"/>
        <v>CCNTTA</v>
      </c>
      <c r="G59" s="81"/>
      <c r="H59" s="14" t="s">
        <v>903</v>
      </c>
    </row>
    <row r="60" spans="1:17" x14ac:dyDescent="0.15">
      <c r="D60" s="133"/>
      <c r="E60" s="133"/>
      <c r="F60" s="134"/>
      <c r="G60" s="81"/>
      <c r="H60" s="14" t="s">
        <v>904</v>
      </c>
    </row>
    <row r="61" spans="1:17" x14ac:dyDescent="0.15">
      <c r="D61" s="135">
        <v>123</v>
      </c>
      <c r="E61" s="135"/>
      <c r="F61" s="136" t="str">
        <f t="shared" si="2"/>
        <v>***</v>
      </c>
      <c r="G61" s="84"/>
      <c r="H61" s="14" t="s">
        <v>884</v>
      </c>
    </row>
    <row r="64" spans="1:17" x14ac:dyDescent="0.15">
      <c r="A64" s="66" t="s">
        <v>398</v>
      </c>
      <c r="B64" s="67" t="s">
        <v>911</v>
      </c>
      <c r="C64" s="67"/>
      <c r="D64" s="67"/>
      <c r="E64" s="67"/>
      <c r="F64" s="68"/>
      <c r="G64" s="67"/>
      <c r="H64" s="67"/>
      <c r="I64" s="68"/>
      <c r="J64" s="67"/>
      <c r="K64" s="68"/>
      <c r="L64" s="67"/>
      <c r="M64" s="68"/>
      <c r="N64" s="67"/>
      <c r="O64" s="67"/>
      <c r="P64" s="67"/>
      <c r="Q64" s="67"/>
    </row>
    <row r="65" spans="3:8" x14ac:dyDescent="0.15">
      <c r="C65" s="14" t="s">
        <v>1096</v>
      </c>
    </row>
    <row r="66" spans="3:8" x14ac:dyDescent="0.15">
      <c r="C66" s="14" t="s">
        <v>1092</v>
      </c>
    </row>
    <row r="68" spans="3:8" x14ac:dyDescent="0.15">
      <c r="D68" s="69" t="s">
        <v>879</v>
      </c>
      <c r="E68" s="70" t="s">
        <v>1390</v>
      </c>
      <c r="F68" s="58"/>
      <c r="G68" s="58"/>
      <c r="H68" s="71"/>
    </row>
    <row r="69" spans="3:8" x14ac:dyDescent="0.15">
      <c r="D69" s="72" t="s">
        <v>886</v>
      </c>
      <c r="E69" s="32" t="s">
        <v>1391</v>
      </c>
      <c r="F69" s="32"/>
      <c r="G69" s="32"/>
      <c r="H69" s="73"/>
    </row>
    <row r="70" spans="3:8" x14ac:dyDescent="0.15">
      <c r="D70" s="74" t="s">
        <v>887</v>
      </c>
      <c r="E70" s="62" t="s">
        <v>1094</v>
      </c>
      <c r="F70" s="62"/>
      <c r="G70" s="62"/>
      <c r="H70" s="75"/>
    </row>
    <row r="72" spans="3:8" x14ac:dyDescent="0.15">
      <c r="D72" s="114"/>
      <c r="E72" s="129" t="s">
        <v>913</v>
      </c>
    </row>
    <row r="73" spans="3:8" x14ac:dyDescent="0.15">
      <c r="D73" s="130" t="s">
        <v>881</v>
      </c>
      <c r="E73" s="130"/>
      <c r="F73" s="78" t="s">
        <v>882</v>
      </c>
      <c r="G73" s="78"/>
    </row>
    <row r="74" spans="3:8" x14ac:dyDescent="0.15">
      <c r="D74" s="133" t="s">
        <v>890</v>
      </c>
      <c r="E74" s="131"/>
      <c r="F74" s="134" t="str">
        <f>revcomp(D74)</f>
        <v>ACGT</v>
      </c>
      <c r="G74" s="81"/>
      <c r="H74" s="14" t="s">
        <v>899</v>
      </c>
    </row>
    <row r="75" spans="3:8" x14ac:dyDescent="0.15">
      <c r="D75" s="133" t="s">
        <v>891</v>
      </c>
      <c r="E75" s="131"/>
      <c r="F75" s="134" t="str">
        <f t="shared" ref="F75:F80" si="3">revcomp(D75)</f>
        <v>TGTAGCTTG</v>
      </c>
      <c r="G75" s="81"/>
      <c r="H75" s="14" t="s">
        <v>900</v>
      </c>
    </row>
    <row r="76" spans="3:8" x14ac:dyDescent="0.15">
      <c r="D76" s="133" t="s">
        <v>893</v>
      </c>
      <c r="E76" s="131"/>
      <c r="F76" s="134" t="str">
        <f t="shared" si="3"/>
        <v>T**NG***</v>
      </c>
      <c r="G76" s="81"/>
      <c r="H76" s="14" t="s">
        <v>910</v>
      </c>
    </row>
    <row r="77" spans="3:8" x14ac:dyDescent="0.15">
      <c r="D77" s="133" t="s">
        <v>898</v>
      </c>
      <c r="E77" s="133"/>
      <c r="F77" s="134" t="str">
        <f t="shared" si="3"/>
        <v>ACTTT</v>
      </c>
      <c r="G77" s="81"/>
      <c r="H77" s="14" t="s">
        <v>915</v>
      </c>
    </row>
    <row r="78" spans="3:8" x14ac:dyDescent="0.15">
      <c r="D78" s="133" t="s">
        <v>897</v>
      </c>
      <c r="E78" s="133"/>
      <c r="F78" s="134" t="str">
        <f t="shared" si="3"/>
        <v>GGNAAT</v>
      </c>
      <c r="G78" s="81"/>
      <c r="H78" s="14" t="s">
        <v>914</v>
      </c>
    </row>
    <row r="79" spans="3:8" x14ac:dyDescent="0.15">
      <c r="D79" s="133"/>
      <c r="E79" s="133"/>
      <c r="F79" s="134" t="str">
        <f t="shared" si="3"/>
        <v/>
      </c>
      <c r="G79" s="81"/>
      <c r="H79" s="14" t="s">
        <v>904</v>
      </c>
    </row>
    <row r="80" spans="3:8" x14ac:dyDescent="0.15">
      <c r="D80" s="135">
        <v>123</v>
      </c>
      <c r="E80" s="135"/>
      <c r="F80" s="136" t="str">
        <f t="shared" si="3"/>
        <v>***</v>
      </c>
      <c r="G80" s="84"/>
      <c r="H80" s="14" t="s">
        <v>884</v>
      </c>
    </row>
    <row r="83" spans="1:17" x14ac:dyDescent="0.15">
      <c r="A83" s="66" t="s">
        <v>399</v>
      </c>
      <c r="B83" s="67" t="s">
        <v>920</v>
      </c>
      <c r="C83" s="67"/>
      <c r="D83" s="67"/>
      <c r="E83" s="67"/>
      <c r="F83" s="68"/>
      <c r="G83" s="67"/>
      <c r="H83" s="67"/>
      <c r="I83" s="68"/>
      <c r="J83" s="67"/>
      <c r="K83" s="68"/>
      <c r="L83" s="67"/>
      <c r="M83" s="68"/>
      <c r="N83" s="67"/>
      <c r="O83" s="67"/>
      <c r="P83" s="67"/>
      <c r="Q83" s="67"/>
    </row>
    <row r="84" spans="1:17" x14ac:dyDescent="0.15">
      <c r="C84" s="14" t="s">
        <v>1095</v>
      </c>
    </row>
    <row r="85" spans="1:17" x14ac:dyDescent="0.15">
      <c r="C85" s="14" t="s">
        <v>895</v>
      </c>
    </row>
    <row r="87" spans="1:17" x14ac:dyDescent="0.15">
      <c r="D87" s="69" t="s">
        <v>879</v>
      </c>
      <c r="E87" s="70" t="s">
        <v>1392</v>
      </c>
      <c r="F87" s="58"/>
      <c r="G87" s="58"/>
      <c r="H87" s="71"/>
    </row>
    <row r="88" spans="1:17" x14ac:dyDescent="0.15">
      <c r="D88" s="72" t="s">
        <v>886</v>
      </c>
      <c r="E88" s="32" t="s">
        <v>1393</v>
      </c>
      <c r="F88" s="32"/>
      <c r="G88" s="32"/>
      <c r="H88" s="73"/>
    </row>
    <row r="89" spans="1:17" x14ac:dyDescent="0.15">
      <c r="D89" s="72"/>
      <c r="E89" s="32" t="s">
        <v>1394</v>
      </c>
      <c r="F89" s="32"/>
      <c r="G89" s="32"/>
      <c r="H89" s="73"/>
    </row>
    <row r="90" spans="1:17" x14ac:dyDescent="0.15">
      <c r="D90" s="74" t="s">
        <v>887</v>
      </c>
      <c r="E90" s="62" t="s">
        <v>916</v>
      </c>
      <c r="F90" s="62"/>
      <c r="G90" s="62"/>
      <c r="H90" s="75"/>
    </row>
    <row r="92" spans="1:17" x14ac:dyDescent="0.15">
      <c r="D92" s="84"/>
      <c r="E92" s="115"/>
      <c r="F92" s="137" t="s">
        <v>918</v>
      </c>
    </row>
    <row r="93" spans="1:17" x14ac:dyDescent="0.15">
      <c r="D93" s="138" t="s">
        <v>1000</v>
      </c>
      <c r="E93" s="133" t="s">
        <v>917</v>
      </c>
      <c r="F93" s="133"/>
      <c r="G93" s="133"/>
      <c r="H93" s="133"/>
      <c r="I93" s="133"/>
      <c r="J93" s="133"/>
      <c r="K93" s="133"/>
      <c r="L93" s="133"/>
      <c r="M93" s="133"/>
      <c r="N93" s="133"/>
      <c r="O93" s="133"/>
    </row>
    <row r="94" spans="1:17" x14ac:dyDescent="0.15">
      <c r="D94" s="133" t="s">
        <v>919</v>
      </c>
      <c r="E94" s="133">
        <v>3</v>
      </c>
    </row>
    <row r="95" spans="1:17" x14ac:dyDescent="0.15">
      <c r="D95" s="136" t="s">
        <v>882</v>
      </c>
      <c r="E95" s="136" t="str">
        <f>splitseq(E93,E94)</f>
        <v xml:space="preserve">CAA GCT ACA GTG TAA TTT ACG AGC CCA ATT TTG CTA CTG GTC ACC CTC TGA CTC AAC AAT </v>
      </c>
      <c r="F95" s="84"/>
      <c r="G95" s="84"/>
      <c r="H95" s="84"/>
      <c r="I95" s="84"/>
      <c r="J95" s="84"/>
      <c r="K95" s="84"/>
      <c r="L95" s="84"/>
      <c r="M95" s="84"/>
      <c r="N95" s="84"/>
      <c r="O95" s="84"/>
    </row>
    <row r="96" spans="1:17" x14ac:dyDescent="0.15">
      <c r="D96" s="138" t="s">
        <v>1000</v>
      </c>
      <c r="E96" s="133" t="s">
        <v>917</v>
      </c>
      <c r="F96" s="133"/>
      <c r="G96" s="133"/>
      <c r="H96" s="133"/>
      <c r="I96" s="133"/>
      <c r="J96" s="133"/>
      <c r="K96" s="133"/>
      <c r="L96" s="133"/>
      <c r="M96" s="133"/>
      <c r="N96" s="133"/>
      <c r="O96" s="133"/>
    </row>
    <row r="97" spans="1:17" x14ac:dyDescent="0.15">
      <c r="D97" s="133" t="s">
        <v>919</v>
      </c>
      <c r="E97" s="133">
        <v>5</v>
      </c>
    </row>
    <row r="98" spans="1:17" x14ac:dyDescent="0.15">
      <c r="D98" s="136" t="s">
        <v>882</v>
      </c>
      <c r="E98" s="136" t="str">
        <f>splitseq(E96,E97)</f>
        <v xml:space="preserve">CAAGC TACAG TGTAA TTTAC GAGCC CAATT TTGCT ACTGG TCACC CTCTG ACTCA ACAAT </v>
      </c>
      <c r="F98" s="84"/>
      <c r="G98" s="84"/>
      <c r="H98" s="84"/>
      <c r="I98" s="84"/>
      <c r="J98" s="84"/>
      <c r="K98" s="84"/>
      <c r="L98" s="84"/>
      <c r="M98" s="84"/>
      <c r="N98" s="84"/>
      <c r="O98" s="84"/>
    </row>
    <row r="99" spans="1:17" x14ac:dyDescent="0.15">
      <c r="D99" s="138" t="s">
        <v>1000</v>
      </c>
      <c r="E99" s="133" t="s">
        <v>917</v>
      </c>
      <c r="F99" s="133"/>
      <c r="G99" s="133"/>
      <c r="H99" s="133"/>
      <c r="I99" s="133"/>
      <c r="J99" s="133"/>
      <c r="K99" s="133"/>
      <c r="L99" s="133"/>
      <c r="M99" s="133"/>
      <c r="N99" s="133"/>
      <c r="O99" s="133"/>
    </row>
    <row r="100" spans="1:17" x14ac:dyDescent="0.15">
      <c r="D100" s="133" t="s">
        <v>919</v>
      </c>
      <c r="E100" s="133" t="s">
        <v>953</v>
      </c>
      <c r="H100" s="14" t="s">
        <v>954</v>
      </c>
    </row>
    <row r="101" spans="1:17" x14ac:dyDescent="0.15">
      <c r="D101" s="136" t="s">
        <v>882</v>
      </c>
      <c r="E101" s="136" t="str">
        <f>splitseq(E99)</f>
        <v xml:space="preserve">CAA GCT ACA GTG TAA TTT ACG AGC CCA ATT TTG CTA CTG GTC ACC CTC TGA CTC AAC AAT </v>
      </c>
      <c r="F101" s="84"/>
      <c r="G101" s="84"/>
      <c r="H101" s="84"/>
      <c r="I101" s="84"/>
      <c r="J101" s="84"/>
      <c r="K101" s="84"/>
      <c r="L101" s="84"/>
      <c r="M101" s="84"/>
      <c r="N101" s="84"/>
      <c r="O101" s="84"/>
    </row>
    <row r="104" spans="1:17" x14ac:dyDescent="0.15">
      <c r="A104" s="66" t="s">
        <v>393</v>
      </c>
      <c r="B104" s="67" t="s">
        <v>1117</v>
      </c>
      <c r="C104" s="67"/>
      <c r="D104" s="67"/>
      <c r="E104" s="67"/>
      <c r="F104" s="68"/>
      <c r="G104" s="67"/>
      <c r="H104" s="67"/>
      <c r="I104" s="68"/>
      <c r="J104" s="67"/>
      <c r="K104" s="68"/>
      <c r="L104" s="67"/>
      <c r="M104" s="68"/>
      <c r="N104" s="67"/>
      <c r="O104" s="67"/>
      <c r="P104" s="67"/>
      <c r="Q104" s="67"/>
    </row>
    <row r="105" spans="1:17" x14ac:dyDescent="0.15">
      <c r="C105" s="14" t="s">
        <v>1097</v>
      </c>
    </row>
    <row r="106" spans="1:17" x14ac:dyDescent="0.15">
      <c r="C106" s="14" t="s">
        <v>895</v>
      </c>
    </row>
    <row r="108" spans="1:17" x14ac:dyDescent="0.15">
      <c r="D108" s="69" t="s">
        <v>879</v>
      </c>
      <c r="E108" s="70" t="s">
        <v>1395</v>
      </c>
      <c r="F108" s="58"/>
      <c r="G108" s="58"/>
      <c r="H108" s="71"/>
    </row>
    <row r="109" spans="1:17" x14ac:dyDescent="0.15">
      <c r="D109" s="72" t="s">
        <v>886</v>
      </c>
      <c r="E109" s="32" t="s">
        <v>1396</v>
      </c>
      <c r="F109" s="32"/>
      <c r="G109" s="32"/>
      <c r="H109" s="73"/>
    </row>
    <row r="110" spans="1:17" x14ac:dyDescent="0.15">
      <c r="D110" s="72"/>
      <c r="E110" s="32" t="s">
        <v>1397</v>
      </c>
      <c r="F110" s="32"/>
      <c r="G110" s="32"/>
      <c r="H110" s="73"/>
    </row>
    <row r="111" spans="1:17" x14ac:dyDescent="0.15">
      <c r="D111" s="74" t="s">
        <v>887</v>
      </c>
      <c r="E111" s="62" t="s">
        <v>1099</v>
      </c>
      <c r="F111" s="62"/>
      <c r="G111" s="62"/>
      <c r="H111" s="75"/>
    </row>
    <row r="113" spans="1:17" x14ac:dyDescent="0.15">
      <c r="D113" s="84"/>
      <c r="E113" s="115"/>
      <c r="F113" s="137" t="s">
        <v>921</v>
      </c>
    </row>
    <row r="114" spans="1:17" x14ac:dyDescent="0.15">
      <c r="D114" s="138" t="s">
        <v>1000</v>
      </c>
      <c r="E114" s="133" t="s">
        <v>917</v>
      </c>
      <c r="F114" s="133"/>
      <c r="G114" s="133"/>
      <c r="H114" s="133"/>
      <c r="I114" s="133"/>
      <c r="J114" s="133"/>
      <c r="K114" s="133"/>
      <c r="L114" s="133"/>
      <c r="M114" s="133"/>
      <c r="N114" s="133"/>
      <c r="O114" s="133"/>
    </row>
    <row r="115" spans="1:17" x14ac:dyDescent="0.15">
      <c r="D115" s="133" t="s">
        <v>922</v>
      </c>
      <c r="E115" s="133">
        <v>3</v>
      </c>
    </row>
    <row r="116" spans="1:17" x14ac:dyDescent="0.15">
      <c r="D116" s="136" t="s">
        <v>882</v>
      </c>
      <c r="E116" s="136" t="str">
        <f>bracket(E114,E115)</f>
        <v>CA[A]GCTACAGTGTAATTTACGAGCCCAATTTTGCTACTGGTCACCCTCTGACTCAACAAT</v>
      </c>
      <c r="F116" s="84"/>
      <c r="G116" s="84"/>
      <c r="H116" s="84"/>
      <c r="I116" s="84"/>
      <c r="J116" s="84"/>
      <c r="K116" s="84"/>
      <c r="L116" s="84"/>
      <c r="M116" s="84"/>
      <c r="N116" s="84"/>
      <c r="O116" s="84"/>
    </row>
    <row r="117" spans="1:17" x14ac:dyDescent="0.15">
      <c r="D117" s="138" t="s">
        <v>1000</v>
      </c>
      <c r="E117" s="133" t="s">
        <v>917</v>
      </c>
      <c r="F117" s="133"/>
      <c r="G117" s="133"/>
      <c r="H117" s="133"/>
      <c r="I117" s="133"/>
      <c r="J117" s="133"/>
      <c r="K117" s="133"/>
      <c r="L117" s="133"/>
      <c r="M117" s="133"/>
      <c r="N117" s="133"/>
      <c r="O117" s="133"/>
    </row>
    <row r="118" spans="1:17" x14ac:dyDescent="0.15">
      <c r="D118" s="133" t="s">
        <v>923</v>
      </c>
      <c r="E118" s="133">
        <v>20</v>
      </c>
    </row>
    <row r="119" spans="1:17" x14ac:dyDescent="0.15">
      <c r="D119" s="136" t="s">
        <v>882</v>
      </c>
      <c r="E119" s="136" t="str">
        <f>bracket(E117,E118)</f>
        <v>CAAGCTACAGTGTAATTTA[C]GAGCCCAATTTTGCTACTGGTCACCCTCTGACTCAACAAT</v>
      </c>
      <c r="F119" s="84"/>
      <c r="G119" s="84"/>
      <c r="H119" s="84"/>
      <c r="I119" s="84"/>
      <c r="J119" s="84"/>
      <c r="K119" s="84"/>
      <c r="L119" s="84"/>
      <c r="M119" s="84"/>
      <c r="N119" s="84"/>
      <c r="O119" s="84"/>
    </row>
    <row r="120" spans="1:17" x14ac:dyDescent="0.15">
      <c r="D120" s="138" t="s">
        <v>1000</v>
      </c>
      <c r="E120" s="133" t="s">
        <v>917</v>
      </c>
      <c r="F120" s="133"/>
      <c r="G120" s="133"/>
      <c r="H120" s="133"/>
      <c r="I120" s="133"/>
      <c r="J120" s="133"/>
      <c r="K120" s="133"/>
      <c r="L120" s="133"/>
      <c r="M120" s="133"/>
      <c r="N120" s="133"/>
      <c r="O120" s="133"/>
    </row>
    <row r="121" spans="1:17" x14ac:dyDescent="0.15">
      <c r="D121" s="133" t="s">
        <v>923</v>
      </c>
      <c r="E121" s="133">
        <v>100</v>
      </c>
      <c r="F121" s="14" t="s">
        <v>1118</v>
      </c>
    </row>
    <row r="122" spans="1:17" x14ac:dyDescent="0.15">
      <c r="D122" s="136" t="s">
        <v>882</v>
      </c>
      <c r="E122" s="136" t="str">
        <f>bracket(E120,E121)</f>
        <v>CAAGCTACAGTGTAATTTACGAGCCCAATTTTGCTACTGGTCACCCTCTGACTCAACAA[T]</v>
      </c>
      <c r="F122" s="84"/>
      <c r="G122" s="84"/>
      <c r="H122" s="84"/>
      <c r="I122" s="84"/>
      <c r="J122" s="84"/>
      <c r="K122" s="84"/>
      <c r="L122" s="84"/>
      <c r="M122" s="84"/>
      <c r="N122" s="84"/>
      <c r="O122" s="84"/>
    </row>
    <row r="125" spans="1:17" x14ac:dyDescent="0.15">
      <c r="A125" s="66" t="s">
        <v>394</v>
      </c>
      <c r="B125" s="67" t="s">
        <v>924</v>
      </c>
      <c r="C125" s="67"/>
      <c r="D125" s="67"/>
      <c r="E125" s="67"/>
      <c r="F125" s="68"/>
      <c r="G125" s="67"/>
      <c r="H125" s="67"/>
      <c r="I125" s="68"/>
      <c r="J125" s="67"/>
      <c r="K125" s="68"/>
      <c r="L125" s="67"/>
      <c r="M125" s="68"/>
      <c r="N125" s="67"/>
      <c r="O125" s="67"/>
      <c r="P125" s="67"/>
      <c r="Q125" s="67"/>
    </row>
    <row r="126" spans="1:17" x14ac:dyDescent="0.15">
      <c r="C126" s="14" t="s">
        <v>1098</v>
      </c>
    </row>
    <row r="127" spans="1:17" x14ac:dyDescent="0.15">
      <c r="C127" s="14" t="s">
        <v>895</v>
      </c>
    </row>
    <row r="129" spans="4:15" x14ac:dyDescent="0.15">
      <c r="D129" s="69" t="s">
        <v>879</v>
      </c>
      <c r="E129" s="70" t="s">
        <v>1398</v>
      </c>
      <c r="F129" s="58"/>
      <c r="G129" s="58"/>
      <c r="H129" s="71"/>
    </row>
    <row r="130" spans="4:15" x14ac:dyDescent="0.15">
      <c r="D130" s="72" t="s">
        <v>886</v>
      </c>
      <c r="E130" s="32" t="s">
        <v>1399</v>
      </c>
      <c r="F130" s="32"/>
      <c r="G130" s="32"/>
      <c r="H130" s="73"/>
    </row>
    <row r="131" spans="4:15" x14ac:dyDescent="0.15">
      <c r="D131" s="74" t="s">
        <v>887</v>
      </c>
      <c r="E131" s="62" t="s">
        <v>1119</v>
      </c>
      <c r="F131" s="62"/>
      <c r="G131" s="62"/>
      <c r="H131" s="75"/>
    </row>
    <row r="133" spans="4:15" x14ac:dyDescent="0.15">
      <c r="D133" s="84"/>
      <c r="E133" s="115"/>
      <c r="F133" s="137" t="s">
        <v>926</v>
      </c>
    </row>
    <row r="134" spans="4:15" x14ac:dyDescent="0.15">
      <c r="D134" s="138" t="s">
        <v>1000</v>
      </c>
      <c r="E134" s="133" t="s">
        <v>927</v>
      </c>
      <c r="F134" s="133"/>
      <c r="G134" s="133"/>
      <c r="H134" s="133"/>
      <c r="I134" s="133"/>
      <c r="J134" s="133"/>
      <c r="K134" s="133"/>
      <c r="L134" s="133"/>
      <c r="M134" s="133"/>
      <c r="N134" s="133"/>
      <c r="O134" s="133"/>
    </row>
    <row r="135" spans="4:15" x14ac:dyDescent="0.15">
      <c r="D135" s="136" t="s">
        <v>882</v>
      </c>
      <c r="E135" s="136" t="str">
        <f>shrink(E134)</f>
        <v>CAAGCTACAGTGTAATTTACGAGCCCAATTTTGCTACTGGTCACCCTCTGACTCAACAAT</v>
      </c>
      <c r="F135" s="84"/>
      <c r="G135" s="84"/>
      <c r="H135" s="84"/>
      <c r="I135" s="84"/>
      <c r="J135" s="84"/>
      <c r="K135" s="84"/>
      <c r="L135" s="84"/>
      <c r="M135" s="139" t="s">
        <v>933</v>
      </c>
      <c r="N135" s="84"/>
      <c r="O135" s="84"/>
    </row>
    <row r="136" spans="4:15" x14ac:dyDescent="0.15">
      <c r="D136" s="138" t="s">
        <v>1000</v>
      </c>
      <c r="E136" s="133" t="s">
        <v>928</v>
      </c>
      <c r="F136" s="133"/>
      <c r="G136" s="133"/>
      <c r="H136" s="133"/>
      <c r="I136" s="133"/>
      <c r="J136" s="133"/>
      <c r="K136" s="133"/>
      <c r="L136" s="133"/>
      <c r="M136" s="133"/>
      <c r="N136" s="133"/>
      <c r="O136" s="133"/>
    </row>
    <row r="137" spans="4:15" x14ac:dyDescent="0.15">
      <c r="D137" s="136" t="s">
        <v>882</v>
      </c>
      <c r="E137" s="136" t="str">
        <f>shrink(E136)</f>
        <v>CAAGCTACAGTGTAATTTACGAGCCCAATTTTGCTACTGGTCACCCTCTGACTCAACAAT</v>
      </c>
      <c r="F137" s="84"/>
      <c r="G137" s="84"/>
      <c r="H137" s="84"/>
      <c r="I137" s="84"/>
      <c r="J137" s="84"/>
      <c r="K137" s="84"/>
      <c r="L137" s="84"/>
      <c r="M137" s="139" t="s">
        <v>932</v>
      </c>
      <c r="N137" s="84"/>
      <c r="O137" s="84"/>
    </row>
    <row r="138" spans="4:15" x14ac:dyDescent="0.15">
      <c r="D138" s="138" t="s">
        <v>1000</v>
      </c>
      <c r="E138" s="133" t="s">
        <v>931</v>
      </c>
      <c r="F138" s="133"/>
      <c r="G138" s="133"/>
      <c r="H138" s="133"/>
      <c r="I138" s="133"/>
      <c r="J138" s="133"/>
      <c r="K138" s="133"/>
      <c r="L138" s="133"/>
      <c r="M138" s="133"/>
      <c r="N138" s="133"/>
      <c r="O138" s="133"/>
    </row>
    <row r="139" spans="4:15" x14ac:dyDescent="0.15">
      <c r="D139" s="136" t="s">
        <v>882</v>
      </c>
      <c r="E139" s="136" t="str">
        <f>shrink(E138)</f>
        <v>CAAGCTACAGTGTAATTTACGAGCCCAATTTTGCTACTGGTCACCCTCTGACTCAACAAT</v>
      </c>
      <c r="F139" s="84"/>
      <c r="G139" s="84"/>
      <c r="H139" s="84"/>
      <c r="I139" s="84"/>
      <c r="J139" s="84"/>
      <c r="K139" s="84"/>
      <c r="L139" s="84"/>
      <c r="M139" s="139" t="s">
        <v>934</v>
      </c>
      <c r="N139" s="84"/>
      <c r="O139" s="84"/>
    </row>
    <row r="140" spans="4:15" x14ac:dyDescent="0.15">
      <c r="D140" s="138" t="s">
        <v>1000</v>
      </c>
      <c r="E140" s="133" t="s">
        <v>929</v>
      </c>
      <c r="F140" s="133"/>
      <c r="G140" s="133"/>
      <c r="H140" s="133"/>
      <c r="I140" s="133"/>
      <c r="J140" s="133"/>
      <c r="K140" s="133"/>
      <c r="L140" s="133"/>
      <c r="M140" s="133"/>
      <c r="N140" s="133"/>
      <c r="O140" s="133"/>
    </row>
    <row r="141" spans="4:15" x14ac:dyDescent="0.15">
      <c r="D141" s="136" t="s">
        <v>882</v>
      </c>
      <c r="E141" s="136" t="str">
        <f>shrink(E140)</f>
        <v>CAAGCTACAGTGTAATTTACGAGCCCAATTTTGCTACTGGTCACCCTCTGACTCAACAAT</v>
      </c>
      <c r="F141" s="84"/>
      <c r="G141" s="84"/>
      <c r="H141" s="84"/>
      <c r="I141" s="84"/>
      <c r="J141" s="84"/>
      <c r="K141" s="84"/>
      <c r="L141" s="84"/>
      <c r="M141" s="139" t="s">
        <v>935</v>
      </c>
      <c r="N141" s="84"/>
      <c r="O141" s="84"/>
    </row>
    <row r="142" spans="4:15" ht="97.5" customHeight="1" x14ac:dyDescent="0.15">
      <c r="D142" s="138" t="s">
        <v>1000</v>
      </c>
      <c r="E142" s="306" t="s">
        <v>930</v>
      </c>
      <c r="F142" s="306"/>
      <c r="G142" s="133"/>
      <c r="H142" s="133"/>
      <c r="I142" s="133"/>
      <c r="J142" s="133"/>
      <c r="K142" s="133"/>
      <c r="L142" s="133"/>
      <c r="M142" s="133"/>
      <c r="N142" s="133"/>
      <c r="O142" s="133"/>
    </row>
    <row r="143" spans="4:15" x14ac:dyDescent="0.15">
      <c r="D143" s="136" t="s">
        <v>882</v>
      </c>
      <c r="E143" s="136" t="str">
        <f>shrink(E142)</f>
        <v>CAAGCTACAGTGTAATTTACGAGCCCAATTTTGCTACTGGTCACCCTCTGACTCAACAAT</v>
      </c>
      <c r="F143" s="84"/>
      <c r="G143" s="84"/>
      <c r="H143" s="84"/>
      <c r="I143" s="84"/>
      <c r="J143" s="84"/>
      <c r="K143" s="84"/>
      <c r="L143" s="84"/>
      <c r="M143" s="139" t="s">
        <v>936</v>
      </c>
      <c r="N143" s="84"/>
      <c r="O143" s="84"/>
    </row>
    <row r="146" spans="1:17" x14ac:dyDescent="0.15">
      <c r="A146" s="66" t="s">
        <v>425</v>
      </c>
      <c r="B146" s="67" t="s">
        <v>1102</v>
      </c>
      <c r="C146" s="67"/>
      <c r="D146" s="67"/>
      <c r="E146" s="67"/>
      <c r="F146" s="68"/>
      <c r="G146" s="67"/>
      <c r="H146" s="67"/>
      <c r="I146" s="68"/>
      <c r="J146" s="67"/>
      <c r="K146" s="68"/>
      <c r="L146" s="67"/>
      <c r="M146" s="68"/>
      <c r="N146" s="67"/>
      <c r="O146" s="67"/>
      <c r="P146" s="67"/>
      <c r="Q146" s="67"/>
    </row>
    <row r="147" spans="1:17" x14ac:dyDescent="0.15">
      <c r="C147" s="14" t="s">
        <v>1100</v>
      </c>
    </row>
    <row r="148" spans="1:17" x14ac:dyDescent="0.15">
      <c r="C148" s="14" t="s">
        <v>938</v>
      </c>
    </row>
    <row r="150" spans="1:17" x14ac:dyDescent="0.15">
      <c r="D150" s="69" t="s">
        <v>879</v>
      </c>
      <c r="E150" s="70" t="s">
        <v>1400</v>
      </c>
      <c r="F150" s="58"/>
      <c r="G150" s="58"/>
      <c r="H150" s="58"/>
      <c r="I150" s="58"/>
      <c r="J150" s="71"/>
    </row>
    <row r="151" spans="1:17" x14ac:dyDescent="0.15">
      <c r="D151" s="72" t="s">
        <v>886</v>
      </c>
      <c r="E151" s="32" t="s">
        <v>1401</v>
      </c>
      <c r="F151" s="32"/>
      <c r="G151" s="32"/>
      <c r="H151" s="32"/>
      <c r="I151" s="32"/>
      <c r="J151" s="73"/>
    </row>
    <row r="152" spans="1:17" x14ac:dyDescent="0.15">
      <c r="D152" s="74" t="s">
        <v>887</v>
      </c>
      <c r="E152" s="62" t="s">
        <v>1104</v>
      </c>
      <c r="F152" s="62"/>
      <c r="G152" s="62"/>
      <c r="H152" s="62"/>
      <c r="I152" s="62"/>
      <c r="J152" s="75"/>
    </row>
    <row r="154" spans="1:17" x14ac:dyDescent="0.15">
      <c r="D154" s="114"/>
      <c r="E154" s="129" t="s">
        <v>973</v>
      </c>
    </row>
    <row r="155" spans="1:17" x14ac:dyDescent="0.15">
      <c r="D155" s="130" t="s">
        <v>881</v>
      </c>
      <c r="E155" s="130"/>
      <c r="F155" s="78" t="s">
        <v>882</v>
      </c>
      <c r="G155" s="78"/>
    </row>
    <row r="156" spans="1:17" x14ac:dyDescent="0.15">
      <c r="D156" s="131" t="s">
        <v>11</v>
      </c>
      <c r="E156" s="131"/>
      <c r="F156" s="82" t="str">
        <f>DNA2Rnuc(D156)</f>
        <v>A</v>
      </c>
      <c r="G156" s="81"/>
      <c r="H156" s="14" t="s">
        <v>969</v>
      </c>
    </row>
    <row r="157" spans="1:17" x14ac:dyDescent="0.15">
      <c r="D157" s="131" t="s">
        <v>83</v>
      </c>
      <c r="E157" s="131"/>
      <c r="F157" s="83" t="str">
        <f t="shared" ref="F157:F163" si="4">DNA2Rnuc(D157)</f>
        <v>U</v>
      </c>
      <c r="G157" s="81"/>
      <c r="H157" s="14" t="s">
        <v>967</v>
      </c>
    </row>
    <row r="158" spans="1:17" x14ac:dyDescent="0.15">
      <c r="D158" s="131" t="s">
        <v>77</v>
      </c>
      <c r="E158" s="131"/>
      <c r="F158" s="83" t="str">
        <f t="shared" si="4"/>
        <v>a</v>
      </c>
      <c r="G158" s="81"/>
      <c r="H158" s="14" t="s">
        <v>966</v>
      </c>
    </row>
    <row r="159" spans="1:17" x14ac:dyDescent="0.15">
      <c r="D159" s="131" t="s">
        <v>315</v>
      </c>
      <c r="E159" s="133"/>
      <c r="F159" s="83" t="str">
        <f t="shared" si="4"/>
        <v>U</v>
      </c>
      <c r="G159" s="81"/>
      <c r="H159" s="14" t="s">
        <v>965</v>
      </c>
    </row>
    <row r="160" spans="1:17" x14ac:dyDescent="0.15">
      <c r="D160" s="131" t="s">
        <v>90</v>
      </c>
      <c r="E160" s="133"/>
      <c r="F160" s="83" t="str">
        <f t="shared" si="4"/>
        <v>N</v>
      </c>
      <c r="G160" s="81"/>
    </row>
    <row r="161" spans="1:17" x14ac:dyDescent="0.15">
      <c r="D161" s="140" t="s">
        <v>970</v>
      </c>
      <c r="E161" s="133"/>
      <c r="F161" s="83" t="str">
        <f t="shared" si="4"/>
        <v>/</v>
      </c>
      <c r="G161" s="81"/>
      <c r="H161" s="14" t="s">
        <v>972</v>
      </c>
    </row>
    <row r="162" spans="1:17" x14ac:dyDescent="0.15">
      <c r="D162" s="131" t="s">
        <v>971</v>
      </c>
      <c r="E162" s="133"/>
      <c r="F162" s="83" t="str">
        <f t="shared" si="4"/>
        <v>[</v>
      </c>
      <c r="G162" s="81"/>
      <c r="H162" s="14" t="s">
        <v>972</v>
      </c>
    </row>
    <row r="163" spans="1:17" x14ac:dyDescent="0.15">
      <c r="D163" s="132">
        <v>123</v>
      </c>
      <c r="E163" s="135"/>
      <c r="F163" s="84" t="str">
        <f t="shared" si="4"/>
        <v>*</v>
      </c>
      <c r="G163" s="84"/>
      <c r="H163" s="14" t="s">
        <v>884</v>
      </c>
    </row>
    <row r="166" spans="1:17" x14ac:dyDescent="0.15">
      <c r="A166" s="66" t="s">
        <v>426</v>
      </c>
      <c r="B166" s="67" t="s">
        <v>1101</v>
      </c>
      <c r="C166" s="67"/>
      <c r="D166" s="67"/>
      <c r="E166" s="67"/>
      <c r="F166" s="68"/>
      <c r="G166" s="67"/>
      <c r="H166" s="67"/>
      <c r="I166" s="67"/>
      <c r="J166" s="68"/>
      <c r="K166" s="68"/>
      <c r="L166" s="67"/>
      <c r="M166" s="68"/>
      <c r="N166" s="67"/>
      <c r="O166" s="67"/>
      <c r="P166" s="67"/>
      <c r="Q166" s="67"/>
    </row>
    <row r="167" spans="1:17" x14ac:dyDescent="0.15">
      <c r="C167" s="14" t="s">
        <v>968</v>
      </c>
    </row>
    <row r="168" spans="1:17" x14ac:dyDescent="0.15">
      <c r="C168" s="14" t="s">
        <v>938</v>
      </c>
    </row>
    <row r="170" spans="1:17" x14ac:dyDescent="0.15">
      <c r="D170" s="69" t="s">
        <v>879</v>
      </c>
      <c r="E170" s="70" t="s">
        <v>1402</v>
      </c>
      <c r="F170" s="58"/>
      <c r="G170" s="58"/>
      <c r="H170" s="58"/>
      <c r="I170" s="58"/>
      <c r="J170" s="71"/>
    </row>
    <row r="171" spans="1:17" x14ac:dyDescent="0.15">
      <c r="D171" s="72" t="s">
        <v>886</v>
      </c>
      <c r="E171" s="32" t="s">
        <v>1403</v>
      </c>
      <c r="F171" s="32"/>
      <c r="G171" s="32"/>
      <c r="H171" s="32"/>
      <c r="I171" s="32"/>
      <c r="J171" s="73"/>
    </row>
    <row r="172" spans="1:17" x14ac:dyDescent="0.15">
      <c r="D172" s="74" t="s">
        <v>887</v>
      </c>
      <c r="E172" s="62" t="s">
        <v>1105</v>
      </c>
      <c r="F172" s="62"/>
      <c r="G172" s="62"/>
      <c r="H172" s="62"/>
      <c r="I172" s="62"/>
      <c r="J172" s="75"/>
    </row>
    <row r="174" spans="1:17" x14ac:dyDescent="0.15">
      <c r="D174" s="114"/>
      <c r="E174" s="129" t="s">
        <v>974</v>
      </c>
    </row>
    <row r="175" spans="1:17" x14ac:dyDescent="0.15">
      <c r="D175" s="130" t="s">
        <v>881</v>
      </c>
      <c r="E175" s="130"/>
      <c r="F175" s="78" t="s">
        <v>882</v>
      </c>
      <c r="G175" s="78"/>
    </row>
    <row r="176" spans="1:17" x14ac:dyDescent="0.15">
      <c r="D176" s="131" t="s">
        <v>11</v>
      </c>
      <c r="E176" s="131"/>
      <c r="F176" s="81" t="str">
        <f>RNA2Dnuc(D176)</f>
        <v>A</v>
      </c>
      <c r="G176" s="81"/>
      <c r="H176" s="14" t="s">
        <v>969</v>
      </c>
    </row>
    <row r="177" spans="1:17" x14ac:dyDescent="0.15">
      <c r="D177" s="131" t="s">
        <v>83</v>
      </c>
      <c r="E177" s="131"/>
      <c r="F177" s="81" t="str">
        <f t="shared" ref="F177:F183" si="5">RNA2Dnuc(D177)</f>
        <v>T</v>
      </c>
      <c r="G177" s="81"/>
      <c r="H177" s="14" t="s">
        <v>967</v>
      </c>
    </row>
    <row r="178" spans="1:17" x14ac:dyDescent="0.15">
      <c r="D178" s="131" t="s">
        <v>77</v>
      </c>
      <c r="E178" s="131"/>
      <c r="F178" s="81" t="str">
        <f t="shared" si="5"/>
        <v>a</v>
      </c>
      <c r="G178" s="81"/>
      <c r="H178" s="14" t="s">
        <v>966</v>
      </c>
    </row>
    <row r="179" spans="1:17" x14ac:dyDescent="0.15">
      <c r="D179" s="131" t="s">
        <v>315</v>
      </c>
      <c r="E179" s="133"/>
      <c r="F179" s="81" t="str">
        <f t="shared" si="5"/>
        <v>T</v>
      </c>
      <c r="G179" s="81"/>
      <c r="H179" s="14" t="s">
        <v>965</v>
      </c>
    </row>
    <row r="180" spans="1:17" x14ac:dyDescent="0.15">
      <c r="D180" s="131" t="s">
        <v>90</v>
      </c>
      <c r="E180" s="133"/>
      <c r="F180" s="81" t="str">
        <f t="shared" si="5"/>
        <v>N</v>
      </c>
      <c r="G180" s="81"/>
    </row>
    <row r="181" spans="1:17" x14ac:dyDescent="0.15">
      <c r="D181" s="140" t="s">
        <v>970</v>
      </c>
      <c r="E181" s="133"/>
      <c r="F181" s="81" t="str">
        <f t="shared" si="5"/>
        <v>/</v>
      </c>
      <c r="G181" s="81"/>
      <c r="H181" s="14" t="s">
        <v>972</v>
      </c>
    </row>
    <row r="182" spans="1:17" x14ac:dyDescent="0.15">
      <c r="D182" s="131" t="s">
        <v>971</v>
      </c>
      <c r="E182" s="133"/>
      <c r="F182" s="81" t="str">
        <f t="shared" si="5"/>
        <v>[</v>
      </c>
      <c r="G182" s="81"/>
      <c r="H182" s="14" t="s">
        <v>972</v>
      </c>
    </row>
    <row r="183" spans="1:17" x14ac:dyDescent="0.15">
      <c r="D183" s="132">
        <v>123</v>
      </c>
      <c r="E183" s="135"/>
      <c r="F183" s="84" t="str">
        <f t="shared" si="5"/>
        <v>*</v>
      </c>
      <c r="G183" s="84"/>
      <c r="H183" s="14" t="s">
        <v>884</v>
      </c>
    </row>
    <row r="186" spans="1:17" x14ac:dyDescent="0.15">
      <c r="A186" s="66" t="s">
        <v>975</v>
      </c>
      <c r="B186" s="67" t="s">
        <v>1106</v>
      </c>
      <c r="C186" s="67"/>
      <c r="D186" s="67"/>
      <c r="E186" s="67"/>
      <c r="F186" s="68"/>
      <c r="G186" s="67"/>
      <c r="H186" s="67"/>
      <c r="I186" s="68"/>
      <c r="J186" s="67"/>
      <c r="K186" s="68"/>
      <c r="L186" s="67"/>
      <c r="M186" s="68"/>
      <c r="N186" s="67"/>
      <c r="O186" s="67"/>
      <c r="P186" s="67"/>
      <c r="Q186" s="67"/>
    </row>
    <row r="187" spans="1:17" x14ac:dyDescent="0.15">
      <c r="C187" s="14" t="s">
        <v>1108</v>
      </c>
    </row>
    <row r="188" spans="1:17" x14ac:dyDescent="0.15">
      <c r="C188" s="14" t="s">
        <v>938</v>
      </c>
    </row>
    <row r="190" spans="1:17" x14ac:dyDescent="0.15">
      <c r="D190" s="69" t="s">
        <v>879</v>
      </c>
      <c r="E190" s="70" t="s">
        <v>1404</v>
      </c>
      <c r="F190" s="58"/>
      <c r="G190" s="58"/>
      <c r="H190" s="58"/>
      <c r="I190" s="58"/>
      <c r="J190" s="71"/>
    </row>
    <row r="191" spans="1:17" x14ac:dyDescent="0.15">
      <c r="D191" s="72" t="s">
        <v>886</v>
      </c>
      <c r="E191" s="32" t="s">
        <v>1405</v>
      </c>
      <c r="F191" s="32"/>
      <c r="G191" s="32"/>
      <c r="H191" s="32"/>
      <c r="I191" s="32"/>
      <c r="J191" s="73"/>
    </row>
    <row r="192" spans="1:17" x14ac:dyDescent="0.15">
      <c r="D192" s="74" t="s">
        <v>887</v>
      </c>
      <c r="E192" s="62" t="s">
        <v>1086</v>
      </c>
      <c r="F192" s="62"/>
      <c r="G192" s="62"/>
      <c r="H192" s="62"/>
      <c r="I192" s="62"/>
      <c r="J192" s="75"/>
    </row>
    <row r="194" spans="1:17" x14ac:dyDescent="0.15">
      <c r="D194" s="114"/>
      <c r="E194" s="129" t="s">
        <v>939</v>
      </c>
    </row>
    <row r="195" spans="1:17" x14ac:dyDescent="0.15">
      <c r="D195" s="130" t="s">
        <v>881</v>
      </c>
      <c r="E195" s="130"/>
      <c r="F195" s="78" t="s">
        <v>882</v>
      </c>
      <c r="G195" s="78"/>
    </row>
    <row r="196" spans="1:17" x14ac:dyDescent="0.15">
      <c r="D196" s="133" t="s">
        <v>890</v>
      </c>
      <c r="E196" s="131"/>
      <c r="F196" s="134" t="str">
        <f>toRNA(D196)</f>
        <v>ACGU</v>
      </c>
      <c r="G196" s="81"/>
      <c r="H196" s="14" t="s">
        <v>899</v>
      </c>
    </row>
    <row r="197" spans="1:17" x14ac:dyDescent="0.15">
      <c r="D197" s="133" t="s">
        <v>891</v>
      </c>
      <c r="E197" s="131"/>
      <c r="F197" s="134" t="str">
        <f t="shared" ref="F197:F202" si="6">toRNA(D197)</f>
        <v>CAAGCUACA</v>
      </c>
      <c r="G197" s="81"/>
      <c r="H197" s="14" t="s">
        <v>900</v>
      </c>
    </row>
    <row r="198" spans="1:17" x14ac:dyDescent="0.15">
      <c r="D198" s="133" t="s">
        <v>893</v>
      </c>
      <c r="E198" s="131"/>
      <c r="F198" s="134" t="str">
        <f t="shared" si="6"/>
        <v>***CN**A</v>
      </c>
      <c r="G198" s="81"/>
      <c r="H198" s="14" t="s">
        <v>910</v>
      </c>
    </row>
    <row r="199" spans="1:17" x14ac:dyDescent="0.15">
      <c r="D199" s="133" t="s">
        <v>898</v>
      </c>
      <c r="E199" s="133"/>
      <c r="F199" s="134" t="str">
        <f t="shared" si="6"/>
        <v>AAAGU</v>
      </c>
      <c r="G199" s="81"/>
      <c r="H199" s="14" t="s">
        <v>947</v>
      </c>
    </row>
    <row r="200" spans="1:17" x14ac:dyDescent="0.15">
      <c r="D200" s="133" t="s">
        <v>897</v>
      </c>
      <c r="E200" s="133"/>
      <c r="F200" s="134" t="str">
        <f t="shared" si="6"/>
        <v>AUUNCC</v>
      </c>
      <c r="G200" s="81"/>
      <c r="H200" s="14" t="s">
        <v>940</v>
      </c>
    </row>
    <row r="201" spans="1:17" x14ac:dyDescent="0.15">
      <c r="D201" s="133"/>
      <c r="E201" s="133"/>
      <c r="F201" s="134" t="str">
        <f t="shared" si="6"/>
        <v/>
      </c>
      <c r="G201" s="81"/>
      <c r="H201" s="14" t="s">
        <v>904</v>
      </c>
    </row>
    <row r="202" spans="1:17" x14ac:dyDescent="0.15">
      <c r="D202" s="135">
        <v>123</v>
      </c>
      <c r="E202" s="135"/>
      <c r="F202" s="136" t="str">
        <f t="shared" si="6"/>
        <v>***</v>
      </c>
      <c r="G202" s="84"/>
      <c r="H202" s="14" t="s">
        <v>884</v>
      </c>
    </row>
    <row r="205" spans="1:17" x14ac:dyDescent="0.15">
      <c r="A205" s="66" t="s">
        <v>428</v>
      </c>
      <c r="B205" s="67" t="s">
        <v>1109</v>
      </c>
      <c r="C205" s="67"/>
      <c r="D205" s="67"/>
      <c r="E205" s="67"/>
      <c r="F205" s="68"/>
      <c r="G205" s="67"/>
      <c r="H205" s="67"/>
      <c r="I205" s="68"/>
      <c r="J205" s="67"/>
      <c r="K205" s="68"/>
      <c r="L205" s="67"/>
      <c r="M205" s="68"/>
      <c r="N205" s="67"/>
      <c r="O205" s="67"/>
      <c r="P205" s="67"/>
      <c r="Q205" s="67"/>
    </row>
    <row r="206" spans="1:17" x14ac:dyDescent="0.15">
      <c r="C206" s="14" t="s">
        <v>1107</v>
      </c>
    </row>
    <row r="207" spans="1:17" x14ac:dyDescent="0.15">
      <c r="C207" s="14" t="s">
        <v>941</v>
      </c>
    </row>
    <row r="209" spans="1:17" x14ac:dyDescent="0.15">
      <c r="D209" s="69" t="s">
        <v>879</v>
      </c>
      <c r="E209" s="70" t="s">
        <v>1654</v>
      </c>
      <c r="F209" s="58"/>
      <c r="G209" s="58"/>
      <c r="H209" s="58"/>
      <c r="I209" s="58"/>
      <c r="J209" s="71"/>
    </row>
    <row r="210" spans="1:17" x14ac:dyDescent="0.15">
      <c r="D210" s="72" t="s">
        <v>886</v>
      </c>
      <c r="E210" s="32" t="s">
        <v>1406</v>
      </c>
      <c r="F210" s="32"/>
      <c r="G210" s="32"/>
      <c r="H210" s="32"/>
      <c r="I210" s="32"/>
      <c r="J210" s="73"/>
    </row>
    <row r="211" spans="1:17" x14ac:dyDescent="0.15">
      <c r="D211" s="74" t="s">
        <v>887</v>
      </c>
      <c r="E211" s="62" t="s">
        <v>1087</v>
      </c>
      <c r="F211" s="62"/>
      <c r="G211" s="62"/>
      <c r="H211" s="62"/>
      <c r="I211" s="62"/>
      <c r="J211" s="75"/>
    </row>
    <row r="213" spans="1:17" x14ac:dyDescent="0.15">
      <c r="D213" s="114"/>
      <c r="E213" s="129" t="s">
        <v>942</v>
      </c>
    </row>
    <row r="214" spans="1:17" x14ac:dyDescent="0.15">
      <c r="D214" s="130" t="s">
        <v>881</v>
      </c>
      <c r="E214" s="130"/>
      <c r="F214" s="78" t="s">
        <v>882</v>
      </c>
      <c r="G214" s="78"/>
    </row>
    <row r="215" spans="1:17" x14ac:dyDescent="0.15">
      <c r="D215" s="133" t="s">
        <v>943</v>
      </c>
      <c r="E215" s="131"/>
      <c r="F215" s="134" t="str">
        <f>toDNA(D215)</f>
        <v>ACGT</v>
      </c>
      <c r="G215" s="81"/>
      <c r="H215" s="14" t="s">
        <v>899</v>
      </c>
    </row>
    <row r="216" spans="1:17" x14ac:dyDescent="0.15">
      <c r="D216" s="133" t="s">
        <v>944</v>
      </c>
      <c r="E216" s="131"/>
      <c r="F216" s="134" t="str">
        <f t="shared" ref="F216:F221" si="7">toDNA(D216)</f>
        <v>CAAGCTACA</v>
      </c>
      <c r="G216" s="81"/>
      <c r="H216" s="14" t="s">
        <v>900</v>
      </c>
    </row>
    <row r="217" spans="1:17" x14ac:dyDescent="0.15">
      <c r="D217" s="133" t="s">
        <v>893</v>
      </c>
      <c r="E217" s="131"/>
      <c r="F217" s="134" t="str">
        <f t="shared" si="7"/>
        <v>***CN**A</v>
      </c>
      <c r="G217" s="81"/>
      <c r="H217" s="14" t="s">
        <v>910</v>
      </c>
    </row>
    <row r="218" spans="1:17" x14ac:dyDescent="0.15">
      <c r="D218" s="133" t="s">
        <v>945</v>
      </c>
      <c r="E218" s="133"/>
      <c r="F218" s="134" t="str">
        <f t="shared" si="7"/>
        <v>AAAGT</v>
      </c>
      <c r="G218" s="81"/>
      <c r="H218" s="14" t="s">
        <v>946</v>
      </c>
    </row>
    <row r="219" spans="1:17" x14ac:dyDescent="0.15">
      <c r="D219" s="133" t="s">
        <v>897</v>
      </c>
      <c r="E219" s="133"/>
      <c r="F219" s="134" t="str">
        <f t="shared" si="7"/>
        <v>ATTNCC</v>
      </c>
      <c r="G219" s="81"/>
      <c r="H219" s="14" t="s">
        <v>940</v>
      </c>
    </row>
    <row r="220" spans="1:17" x14ac:dyDescent="0.15">
      <c r="D220" s="133"/>
      <c r="E220" s="133"/>
      <c r="F220" s="134" t="str">
        <f t="shared" si="7"/>
        <v/>
      </c>
      <c r="G220" s="81"/>
      <c r="H220" s="14" t="s">
        <v>904</v>
      </c>
    </row>
    <row r="221" spans="1:17" x14ac:dyDescent="0.15">
      <c r="D221" s="135">
        <v>123</v>
      </c>
      <c r="E221" s="135"/>
      <c r="F221" s="136" t="str">
        <f t="shared" si="7"/>
        <v>***</v>
      </c>
      <c r="G221" s="84"/>
      <c r="H221" s="14" t="s">
        <v>884</v>
      </c>
    </row>
    <row r="224" spans="1:17" x14ac:dyDescent="0.15">
      <c r="A224" s="66" t="s">
        <v>976</v>
      </c>
      <c r="B224" s="67" t="s">
        <v>1110</v>
      </c>
      <c r="C224" s="67"/>
      <c r="D224" s="67"/>
      <c r="E224" s="67"/>
      <c r="F224" s="68"/>
      <c r="G224" s="67"/>
      <c r="H224" s="67"/>
      <c r="I224" s="68"/>
      <c r="J224" s="67"/>
      <c r="K224" s="68"/>
      <c r="L224" s="67"/>
      <c r="M224" s="68"/>
      <c r="N224" s="67"/>
      <c r="O224" s="67"/>
      <c r="P224" s="67"/>
      <c r="Q224" s="67"/>
    </row>
    <row r="225" spans="3:15" x14ac:dyDescent="0.15">
      <c r="C225" s="14" t="s">
        <v>1605</v>
      </c>
    </row>
    <row r="226" spans="3:15" x14ac:dyDescent="0.15">
      <c r="C226" s="14" t="s">
        <v>895</v>
      </c>
    </row>
    <row r="227" spans="3:15" x14ac:dyDescent="0.15">
      <c r="C227" s="141" t="s">
        <v>950</v>
      </c>
      <c r="D227" s="14" t="s">
        <v>1010</v>
      </c>
    </row>
    <row r="228" spans="3:15" x14ac:dyDescent="0.15">
      <c r="C228" s="142"/>
    </row>
    <row r="229" spans="3:15" x14ac:dyDescent="0.15">
      <c r="D229" s="69" t="s">
        <v>879</v>
      </c>
      <c r="E229" s="70" t="s">
        <v>1407</v>
      </c>
      <c r="F229" s="58"/>
      <c r="G229" s="58"/>
      <c r="H229" s="58"/>
      <c r="I229" s="71"/>
    </row>
    <row r="230" spans="3:15" x14ac:dyDescent="0.15">
      <c r="D230" s="72" t="s">
        <v>886</v>
      </c>
      <c r="E230" s="32" t="s">
        <v>1408</v>
      </c>
      <c r="F230" s="32"/>
      <c r="G230" s="32"/>
      <c r="H230" s="32"/>
      <c r="I230" s="73"/>
    </row>
    <row r="231" spans="3:15" x14ac:dyDescent="0.15">
      <c r="D231" s="72"/>
      <c r="E231" s="32" t="s">
        <v>1409</v>
      </c>
      <c r="F231" s="32"/>
      <c r="G231" s="32"/>
      <c r="H231" s="32"/>
      <c r="I231" s="73"/>
    </row>
    <row r="232" spans="3:15" x14ac:dyDescent="0.15">
      <c r="D232" s="74" t="s">
        <v>887</v>
      </c>
      <c r="E232" s="62" t="s">
        <v>948</v>
      </c>
      <c r="F232" s="62"/>
      <c r="G232" s="62"/>
      <c r="H232" s="62"/>
      <c r="I232" s="75"/>
    </row>
    <row r="234" spans="3:15" x14ac:dyDescent="0.15">
      <c r="D234" s="84"/>
      <c r="E234" s="115"/>
      <c r="F234" s="137" t="s">
        <v>949</v>
      </c>
    </row>
    <row r="235" spans="3:15" x14ac:dyDescent="0.15">
      <c r="D235" s="138" t="s">
        <v>1000</v>
      </c>
      <c r="E235" s="133" t="s">
        <v>1655</v>
      </c>
      <c r="F235" s="133"/>
      <c r="G235" s="133"/>
      <c r="H235" s="133"/>
      <c r="I235" s="133"/>
      <c r="J235" s="133"/>
      <c r="K235" s="133"/>
      <c r="L235" s="133"/>
      <c r="M235" s="133"/>
      <c r="N235" s="133"/>
      <c r="O235" s="133"/>
    </row>
    <row r="236" spans="3:15" x14ac:dyDescent="0.15">
      <c r="D236" s="133" t="s">
        <v>919</v>
      </c>
      <c r="E236" s="133">
        <v>5</v>
      </c>
    </row>
    <row r="237" spans="3:15" ht="171" customHeight="1" x14ac:dyDescent="0.15">
      <c r="D237" s="136" t="s">
        <v>882</v>
      </c>
      <c r="E237" s="143" t="str">
        <f>fold(E235,E236)</f>
        <v xml:space="preserve">CAAGC_x000D_
TACAG_x000D_
TGTAA_x000D_
TTTAC_x000D_
GAGCC_x000D_
CAATT_x000D_
TTGCT_x000D_
ACTGG_x000D_
TCACC_x000D_
CTCTG_x000D_
ACTCA_x000D_
ACAAT_x000D_
</v>
      </c>
      <c r="F237" s="84"/>
      <c r="G237" s="84"/>
      <c r="H237" s="84"/>
      <c r="I237" s="84"/>
      <c r="J237" s="84"/>
      <c r="K237" s="84"/>
      <c r="L237" s="84"/>
      <c r="M237" s="84"/>
      <c r="N237" s="84"/>
      <c r="O237" s="84"/>
    </row>
    <row r="238" spans="3:15" x14ac:dyDescent="0.15">
      <c r="D238" s="138" t="s">
        <v>1000</v>
      </c>
      <c r="E238" s="133" t="s">
        <v>917</v>
      </c>
      <c r="F238" s="133"/>
      <c r="G238" s="133"/>
      <c r="H238" s="133"/>
      <c r="I238" s="133"/>
      <c r="J238" s="133"/>
      <c r="K238" s="133"/>
      <c r="L238" s="133"/>
      <c r="M238" s="133"/>
      <c r="N238" s="133"/>
      <c r="O238" s="133"/>
    </row>
    <row r="239" spans="3:15" x14ac:dyDescent="0.15">
      <c r="D239" s="133" t="s">
        <v>919</v>
      </c>
      <c r="E239" s="133">
        <v>10</v>
      </c>
    </row>
    <row r="240" spans="3:15" ht="99.75" customHeight="1" x14ac:dyDescent="0.15">
      <c r="D240" s="136" t="s">
        <v>882</v>
      </c>
      <c r="E240" s="307" t="str">
        <f>fold(E238,E239)</f>
        <v xml:space="preserve">CAAGCTACAG_x000D_
TGTAATTTAC_x000D_
GAGCCCAATT_x000D_
TTGCTACTGG_x000D_
TCACCCTCTG_x000D_
ACTCAACAAT_x000D_
</v>
      </c>
      <c r="F240" s="307"/>
      <c r="G240" s="307"/>
      <c r="H240" s="307"/>
      <c r="I240" s="84"/>
      <c r="J240" s="84"/>
      <c r="K240" s="84"/>
      <c r="L240" s="84"/>
      <c r="M240" s="84"/>
      <c r="N240" s="84"/>
      <c r="O240" s="84"/>
    </row>
    <row r="241" spans="1:17" x14ac:dyDescent="0.15">
      <c r="D241" s="138" t="s">
        <v>1000</v>
      </c>
      <c r="E241" s="133" t="s">
        <v>917</v>
      </c>
      <c r="F241" s="133"/>
      <c r="G241" s="133"/>
      <c r="H241" s="133"/>
      <c r="I241" s="133"/>
      <c r="J241" s="133"/>
      <c r="K241" s="133"/>
      <c r="L241" s="133"/>
      <c r="M241" s="133"/>
      <c r="N241" s="133"/>
      <c r="O241" s="133"/>
    </row>
    <row r="242" spans="1:17" x14ac:dyDescent="0.15">
      <c r="D242" s="133" t="s">
        <v>919</v>
      </c>
      <c r="E242" s="133">
        <v>20</v>
      </c>
    </row>
    <row r="243" spans="1:17" ht="52.5" customHeight="1" x14ac:dyDescent="0.15">
      <c r="D243" s="136" t="s">
        <v>882</v>
      </c>
      <c r="E243" s="307" t="str">
        <f>fold(E241,E242)</f>
        <v xml:space="preserve">CAAGCTACAGTGTAATTTAC_x000D_
GAGCCCAATTTTGCTACTGG_x000D_
TCACCCTCTGACTCAACAAT_x000D_
</v>
      </c>
      <c r="F243" s="307"/>
      <c r="G243" s="307"/>
      <c r="H243" s="307"/>
      <c r="I243" s="84"/>
      <c r="J243" s="84"/>
      <c r="K243" s="84"/>
      <c r="L243" s="84"/>
      <c r="M243" s="84"/>
      <c r="N243" s="84"/>
      <c r="O243" s="84"/>
    </row>
    <row r="246" spans="1:17" x14ac:dyDescent="0.15">
      <c r="A246" s="66" t="s">
        <v>958</v>
      </c>
      <c r="B246" s="67" t="s">
        <v>1111</v>
      </c>
      <c r="C246" s="67"/>
      <c r="D246" s="67"/>
      <c r="E246" s="67"/>
      <c r="F246" s="68"/>
      <c r="G246" s="67"/>
      <c r="H246" s="67"/>
      <c r="I246" s="68"/>
      <c r="J246" s="67"/>
      <c r="K246" s="68"/>
      <c r="L246" s="67"/>
      <c r="M246" s="68"/>
      <c r="N246" s="67"/>
      <c r="O246" s="67"/>
      <c r="P246" s="67"/>
      <c r="Q246" s="67"/>
    </row>
    <row r="247" spans="1:17" x14ac:dyDescent="0.15">
      <c r="C247" s="14" t="s">
        <v>1135</v>
      </c>
    </row>
    <row r="248" spans="1:17" x14ac:dyDescent="0.15">
      <c r="C248" s="14" t="s">
        <v>1092</v>
      </c>
    </row>
    <row r="250" spans="1:17" x14ac:dyDescent="0.15">
      <c r="D250" s="69" t="s">
        <v>879</v>
      </c>
      <c r="E250" s="70" t="s">
        <v>1410</v>
      </c>
      <c r="F250" s="58"/>
      <c r="G250" s="58"/>
      <c r="H250" s="71"/>
    </row>
    <row r="251" spans="1:17" x14ac:dyDescent="0.15">
      <c r="D251" s="72" t="s">
        <v>886</v>
      </c>
      <c r="E251" s="32" t="s">
        <v>1393</v>
      </c>
      <c r="F251" s="32"/>
      <c r="G251" s="32"/>
      <c r="H251" s="73"/>
    </row>
    <row r="252" spans="1:17" x14ac:dyDescent="0.15">
      <c r="D252" s="72"/>
      <c r="E252" s="32" t="s">
        <v>1411</v>
      </c>
      <c r="F252" s="32"/>
      <c r="G252" s="32"/>
      <c r="H252" s="73"/>
    </row>
    <row r="253" spans="1:17" x14ac:dyDescent="0.15">
      <c r="D253" s="74" t="s">
        <v>887</v>
      </c>
      <c r="E253" s="62" t="s">
        <v>983</v>
      </c>
      <c r="F253" s="62"/>
      <c r="G253" s="62"/>
      <c r="H253" s="75"/>
    </row>
    <row r="255" spans="1:17" x14ac:dyDescent="0.15">
      <c r="D255" s="84"/>
      <c r="E255" s="115"/>
      <c r="F255" s="137" t="s">
        <v>984</v>
      </c>
    </row>
    <row r="256" spans="1:17" x14ac:dyDescent="0.15">
      <c r="D256" s="138" t="s">
        <v>1000</v>
      </c>
      <c r="E256" s="133" t="s">
        <v>917</v>
      </c>
      <c r="F256" s="133"/>
      <c r="G256" s="133"/>
      <c r="H256" s="133"/>
      <c r="I256" s="133"/>
      <c r="J256" s="133"/>
      <c r="K256" s="133"/>
      <c r="L256" s="133"/>
      <c r="M256" s="133"/>
      <c r="N256" s="133"/>
      <c r="O256" s="133"/>
    </row>
    <row r="257" spans="1:17" x14ac:dyDescent="0.15">
      <c r="D257" s="133" t="s">
        <v>985</v>
      </c>
      <c r="E257" s="133">
        <v>5</v>
      </c>
    </row>
    <row r="258" spans="1:17" x14ac:dyDescent="0.15">
      <c r="D258" s="136" t="s">
        <v>882</v>
      </c>
      <c r="E258" s="136" t="str">
        <f>clip5(E256,E257)</f>
        <v>CAAGC</v>
      </c>
      <c r="F258" s="84"/>
      <c r="G258" s="84"/>
      <c r="H258" s="84"/>
      <c r="I258" s="84"/>
      <c r="J258" s="84"/>
      <c r="K258" s="84"/>
      <c r="L258" s="84"/>
      <c r="M258" s="84"/>
      <c r="N258" s="84"/>
      <c r="O258" s="84"/>
    </row>
    <row r="259" spans="1:17" x14ac:dyDescent="0.15">
      <c r="D259" s="138" t="s">
        <v>1000</v>
      </c>
      <c r="E259" s="133" t="s">
        <v>917</v>
      </c>
      <c r="F259" s="133"/>
      <c r="G259" s="133"/>
      <c r="H259" s="133"/>
      <c r="I259" s="133"/>
      <c r="J259" s="133"/>
      <c r="K259" s="133"/>
      <c r="L259" s="133"/>
      <c r="M259" s="133"/>
      <c r="N259" s="133"/>
      <c r="O259" s="133"/>
    </row>
    <row r="260" spans="1:17" x14ac:dyDescent="0.15">
      <c r="D260" s="133" t="s">
        <v>985</v>
      </c>
      <c r="E260" s="133">
        <v>10</v>
      </c>
    </row>
    <row r="261" spans="1:17" x14ac:dyDescent="0.15">
      <c r="D261" s="136" t="s">
        <v>882</v>
      </c>
      <c r="E261" s="136" t="str">
        <f>clip5(E259,E260)</f>
        <v>CAAGCTACAG</v>
      </c>
      <c r="F261" s="84"/>
      <c r="G261" s="84"/>
      <c r="H261" s="84"/>
      <c r="I261" s="84"/>
      <c r="J261" s="84"/>
      <c r="K261" s="84"/>
      <c r="L261" s="84"/>
      <c r="M261" s="84"/>
      <c r="N261" s="84"/>
      <c r="O261" s="84"/>
    </row>
    <row r="262" spans="1:17" x14ac:dyDescent="0.15">
      <c r="D262" s="138" t="s">
        <v>1000</v>
      </c>
      <c r="E262" s="133" t="s">
        <v>917</v>
      </c>
      <c r="F262" s="133"/>
      <c r="G262" s="133"/>
      <c r="H262" s="133"/>
      <c r="I262" s="133"/>
      <c r="J262" s="133"/>
      <c r="K262" s="133"/>
      <c r="L262" s="133"/>
      <c r="M262" s="133"/>
      <c r="N262" s="133"/>
      <c r="O262" s="133"/>
    </row>
    <row r="263" spans="1:17" x14ac:dyDescent="0.15">
      <c r="D263" s="133" t="s">
        <v>985</v>
      </c>
      <c r="E263" s="133">
        <v>15</v>
      </c>
    </row>
    <row r="264" spans="1:17" x14ac:dyDescent="0.15">
      <c r="D264" s="136" t="s">
        <v>882</v>
      </c>
      <c r="E264" s="136" t="str">
        <f>clip5(E262,E263)</f>
        <v>CAAGCTACAGTGTAA</v>
      </c>
      <c r="F264" s="84"/>
      <c r="G264" s="84"/>
      <c r="H264" s="84"/>
      <c r="I264" s="84"/>
      <c r="J264" s="84"/>
      <c r="K264" s="84"/>
      <c r="L264" s="84"/>
      <c r="M264" s="84"/>
      <c r="N264" s="84"/>
      <c r="O264" s="84"/>
    </row>
    <row r="265" spans="1:17" x14ac:dyDescent="0.15">
      <c r="D265" s="138" t="s">
        <v>1000</v>
      </c>
      <c r="E265" s="133" t="s">
        <v>917</v>
      </c>
      <c r="F265" s="133"/>
      <c r="G265" s="133"/>
      <c r="H265" s="133"/>
      <c r="I265" s="133"/>
      <c r="J265" s="133"/>
      <c r="K265" s="133"/>
      <c r="L265" s="133"/>
      <c r="M265" s="133"/>
      <c r="N265" s="133"/>
      <c r="O265" s="133"/>
    </row>
    <row r="266" spans="1:17" x14ac:dyDescent="0.15">
      <c r="D266" s="133" t="s">
        <v>985</v>
      </c>
      <c r="E266" s="133"/>
      <c r="G266" s="14" t="s">
        <v>1112</v>
      </c>
    </row>
    <row r="267" spans="1:17" x14ac:dyDescent="0.15">
      <c r="D267" s="136" t="s">
        <v>882</v>
      </c>
      <c r="E267" s="136" t="str">
        <f>clip5(E265)</f>
        <v>C</v>
      </c>
      <c r="F267" s="84"/>
      <c r="G267" s="84"/>
      <c r="H267" s="84"/>
      <c r="I267" s="84"/>
      <c r="J267" s="84"/>
      <c r="K267" s="84"/>
      <c r="L267" s="84"/>
      <c r="M267" s="139"/>
      <c r="N267" s="84"/>
      <c r="O267" s="84"/>
    </row>
    <row r="270" spans="1:17" x14ac:dyDescent="0.15">
      <c r="A270" s="66" t="s">
        <v>959</v>
      </c>
      <c r="B270" s="67" t="s">
        <v>1113</v>
      </c>
      <c r="C270" s="67"/>
      <c r="D270" s="67"/>
      <c r="E270" s="67"/>
      <c r="F270" s="68"/>
      <c r="G270" s="67"/>
      <c r="H270" s="67"/>
      <c r="I270" s="68"/>
      <c r="J270" s="67"/>
      <c r="K270" s="68"/>
      <c r="L270" s="67"/>
      <c r="M270" s="68"/>
      <c r="N270" s="67"/>
      <c r="O270" s="67"/>
      <c r="P270" s="67"/>
      <c r="Q270" s="67"/>
    </row>
    <row r="271" spans="1:17" x14ac:dyDescent="0.15">
      <c r="C271" s="14" t="s">
        <v>1136</v>
      </c>
    </row>
    <row r="272" spans="1:17" x14ac:dyDescent="0.15">
      <c r="C272" s="14" t="s">
        <v>1092</v>
      </c>
    </row>
    <row r="274" spans="4:15" x14ac:dyDescent="0.15">
      <c r="D274" s="69" t="s">
        <v>879</v>
      </c>
      <c r="E274" s="70" t="s">
        <v>1412</v>
      </c>
      <c r="F274" s="58"/>
      <c r="G274" s="58"/>
      <c r="H274" s="71"/>
    </row>
    <row r="275" spans="4:15" x14ac:dyDescent="0.15">
      <c r="D275" s="72" t="s">
        <v>886</v>
      </c>
      <c r="E275" s="32" t="s">
        <v>1391</v>
      </c>
      <c r="F275" s="32"/>
      <c r="G275" s="32"/>
      <c r="H275" s="73"/>
    </row>
    <row r="276" spans="4:15" x14ac:dyDescent="0.15">
      <c r="D276" s="72"/>
      <c r="E276" s="32" t="s">
        <v>1413</v>
      </c>
      <c r="F276" s="32"/>
      <c r="G276" s="32"/>
      <c r="H276" s="73"/>
    </row>
    <row r="277" spans="4:15" x14ac:dyDescent="0.15">
      <c r="D277" s="74" t="s">
        <v>887</v>
      </c>
      <c r="E277" s="62" t="s">
        <v>983</v>
      </c>
      <c r="F277" s="62"/>
      <c r="G277" s="62"/>
      <c r="H277" s="75"/>
    </row>
    <row r="279" spans="4:15" x14ac:dyDescent="0.15">
      <c r="D279" s="84"/>
      <c r="E279" s="115"/>
      <c r="F279" s="137" t="s">
        <v>988</v>
      </c>
    </row>
    <row r="280" spans="4:15" x14ac:dyDescent="0.15">
      <c r="D280" s="138" t="s">
        <v>1000</v>
      </c>
      <c r="E280" s="133" t="s">
        <v>917</v>
      </c>
      <c r="F280" s="133"/>
      <c r="G280" s="133"/>
      <c r="H280" s="133"/>
      <c r="I280" s="133"/>
      <c r="J280" s="133"/>
      <c r="K280" s="133"/>
      <c r="L280" s="133"/>
      <c r="M280" s="133"/>
      <c r="N280" s="133"/>
      <c r="O280" s="133"/>
    </row>
    <row r="281" spans="4:15" x14ac:dyDescent="0.15">
      <c r="D281" s="133" t="s">
        <v>985</v>
      </c>
      <c r="E281" s="133">
        <v>5</v>
      </c>
    </row>
    <row r="282" spans="4:15" x14ac:dyDescent="0.15">
      <c r="D282" s="136" t="s">
        <v>882</v>
      </c>
      <c r="E282" s="136" t="str">
        <f>clip3(E280,E281)</f>
        <v>ACAAT</v>
      </c>
      <c r="F282" s="84"/>
      <c r="G282" s="84"/>
      <c r="H282" s="84"/>
      <c r="I282" s="84"/>
      <c r="J282" s="84"/>
      <c r="K282" s="84"/>
      <c r="L282" s="84"/>
      <c r="M282" s="84"/>
      <c r="N282" s="84"/>
      <c r="O282" s="84"/>
    </row>
    <row r="283" spans="4:15" x14ac:dyDescent="0.15">
      <c r="D283" s="138" t="s">
        <v>1000</v>
      </c>
      <c r="E283" s="133" t="s">
        <v>917</v>
      </c>
      <c r="F283" s="133"/>
      <c r="G283" s="133"/>
      <c r="H283" s="133"/>
      <c r="I283" s="133"/>
      <c r="J283" s="133"/>
      <c r="K283" s="133"/>
      <c r="L283" s="133"/>
      <c r="M283" s="133"/>
      <c r="N283" s="133"/>
      <c r="O283" s="133"/>
    </row>
    <row r="284" spans="4:15" x14ac:dyDescent="0.15">
      <c r="D284" s="133" t="s">
        <v>985</v>
      </c>
      <c r="E284" s="133">
        <v>10</v>
      </c>
    </row>
    <row r="285" spans="4:15" x14ac:dyDescent="0.15">
      <c r="D285" s="136" t="s">
        <v>882</v>
      </c>
      <c r="E285" s="136" t="str">
        <f>clip3(E283,E284)</f>
        <v>ACTCAACAAT</v>
      </c>
      <c r="F285" s="84"/>
      <c r="G285" s="84"/>
      <c r="H285" s="84"/>
      <c r="I285" s="84"/>
      <c r="J285" s="84"/>
      <c r="K285" s="84"/>
      <c r="L285" s="84"/>
      <c r="M285" s="84"/>
      <c r="N285" s="84"/>
      <c r="O285" s="84"/>
    </row>
    <row r="286" spans="4:15" x14ac:dyDescent="0.15">
      <c r="D286" s="138" t="s">
        <v>1000</v>
      </c>
      <c r="E286" s="133" t="s">
        <v>917</v>
      </c>
      <c r="F286" s="133"/>
      <c r="G286" s="133"/>
      <c r="H286" s="133"/>
      <c r="I286" s="133"/>
      <c r="J286" s="133"/>
      <c r="K286" s="133"/>
      <c r="L286" s="133"/>
      <c r="M286" s="133"/>
      <c r="N286" s="133"/>
      <c r="O286" s="133"/>
    </row>
    <row r="287" spans="4:15" x14ac:dyDescent="0.15">
      <c r="D287" s="133" t="s">
        <v>985</v>
      </c>
      <c r="E287" s="133">
        <v>15</v>
      </c>
    </row>
    <row r="288" spans="4:15" x14ac:dyDescent="0.15">
      <c r="D288" s="136" t="s">
        <v>882</v>
      </c>
      <c r="E288" s="136" t="str">
        <f>clip3(E286,E287)</f>
        <v>CTCTGACTCAACAAT</v>
      </c>
      <c r="F288" s="84"/>
      <c r="G288" s="84"/>
      <c r="H288" s="84"/>
      <c r="I288" s="84"/>
      <c r="J288" s="84"/>
      <c r="K288" s="84"/>
      <c r="L288" s="84"/>
      <c r="M288" s="84"/>
      <c r="N288" s="84"/>
      <c r="O288" s="84"/>
    </row>
    <row r="289" spans="1:17" x14ac:dyDescent="0.15">
      <c r="D289" s="138" t="s">
        <v>1000</v>
      </c>
      <c r="E289" s="133" t="s">
        <v>917</v>
      </c>
      <c r="F289" s="133"/>
      <c r="G289" s="133"/>
      <c r="H289" s="133"/>
      <c r="I289" s="133"/>
      <c r="J289" s="133"/>
      <c r="K289" s="133"/>
      <c r="L289" s="133"/>
      <c r="M289" s="133"/>
      <c r="N289" s="133"/>
      <c r="O289" s="133"/>
    </row>
    <row r="290" spans="1:17" x14ac:dyDescent="0.15">
      <c r="D290" s="133" t="s">
        <v>985</v>
      </c>
      <c r="E290" s="133"/>
      <c r="G290" s="14" t="s">
        <v>1114</v>
      </c>
    </row>
    <row r="291" spans="1:17" x14ac:dyDescent="0.15">
      <c r="D291" s="136" t="s">
        <v>882</v>
      </c>
      <c r="E291" s="136" t="str">
        <f>clip3(E289)</f>
        <v>T</v>
      </c>
      <c r="F291" s="84"/>
      <c r="G291" s="84"/>
      <c r="H291" s="84"/>
      <c r="I291" s="84"/>
      <c r="J291" s="84"/>
      <c r="K291" s="84"/>
      <c r="L291" s="84"/>
      <c r="M291" s="139"/>
      <c r="N291" s="84"/>
      <c r="O291" s="84"/>
    </row>
    <row r="294" spans="1:17" x14ac:dyDescent="0.15">
      <c r="A294" s="66" t="s">
        <v>960</v>
      </c>
      <c r="B294" s="67" t="s">
        <v>1120</v>
      </c>
      <c r="C294" s="67"/>
      <c r="D294" s="67"/>
      <c r="E294" s="67"/>
      <c r="F294" s="68"/>
      <c r="G294" s="67"/>
      <c r="H294" s="67"/>
      <c r="I294" s="68"/>
      <c r="J294" s="67"/>
      <c r="K294" s="68"/>
      <c r="L294" s="67"/>
      <c r="M294" s="68"/>
      <c r="N294" s="67"/>
      <c r="O294" s="67"/>
      <c r="P294" s="67"/>
      <c r="Q294" s="67"/>
    </row>
    <row r="295" spans="1:17" x14ac:dyDescent="0.15">
      <c r="C295" s="14" t="s">
        <v>1121</v>
      </c>
    </row>
    <row r="296" spans="1:17" x14ac:dyDescent="0.15">
      <c r="C296" s="14" t="s">
        <v>1092</v>
      </c>
    </row>
    <row r="298" spans="1:17" x14ac:dyDescent="0.15">
      <c r="D298" s="69" t="s">
        <v>879</v>
      </c>
      <c r="E298" s="70" t="s">
        <v>1414</v>
      </c>
      <c r="F298" s="58"/>
      <c r="G298" s="58"/>
      <c r="H298" s="71"/>
    </row>
    <row r="299" spans="1:17" x14ac:dyDescent="0.15">
      <c r="D299" s="72" t="s">
        <v>886</v>
      </c>
      <c r="E299" s="32" t="s">
        <v>1415</v>
      </c>
      <c r="F299" s="32"/>
      <c r="G299" s="32"/>
      <c r="H299" s="73"/>
    </row>
    <row r="300" spans="1:17" x14ac:dyDescent="0.15">
      <c r="D300" s="72"/>
      <c r="E300" s="32" t="s">
        <v>1416</v>
      </c>
      <c r="F300" s="32"/>
      <c r="G300" s="32"/>
      <c r="H300" s="73"/>
    </row>
    <row r="301" spans="1:17" x14ac:dyDescent="0.15">
      <c r="D301" s="74" t="s">
        <v>887</v>
      </c>
      <c r="E301" s="62" t="s">
        <v>1122</v>
      </c>
      <c r="F301" s="62"/>
      <c r="G301" s="62"/>
      <c r="H301" s="75"/>
    </row>
    <row r="303" spans="1:17" x14ac:dyDescent="0.15">
      <c r="D303" s="84"/>
      <c r="E303" s="115"/>
      <c r="F303" s="137" t="s">
        <v>1088</v>
      </c>
    </row>
    <row r="304" spans="1:17" x14ac:dyDescent="0.15">
      <c r="D304" s="138" t="s">
        <v>1000</v>
      </c>
      <c r="E304" s="133" t="s">
        <v>917</v>
      </c>
      <c r="F304" s="133"/>
      <c r="G304" s="133"/>
      <c r="H304" s="133"/>
      <c r="I304" s="133"/>
      <c r="J304" s="133"/>
      <c r="K304" s="133"/>
      <c r="L304" s="133"/>
      <c r="M304" s="133"/>
      <c r="N304" s="133"/>
      <c r="O304" s="133"/>
    </row>
    <row r="305" spans="4:15" x14ac:dyDescent="0.15">
      <c r="D305" s="133" t="s">
        <v>952</v>
      </c>
      <c r="E305" s="133">
        <v>1</v>
      </c>
    </row>
    <row r="306" spans="4:15" x14ac:dyDescent="0.15">
      <c r="D306" s="136" t="s">
        <v>882</v>
      </c>
      <c r="E306" s="136" t="str">
        <f>nuc2aa(E304,E305)</f>
        <v>QATV*FTSPILLLVTL*LNN</v>
      </c>
      <c r="F306" s="84"/>
      <c r="G306" s="84"/>
      <c r="H306" s="84"/>
      <c r="I306" s="84"/>
      <c r="J306" s="84"/>
      <c r="K306" s="84"/>
      <c r="L306" s="84"/>
      <c r="M306" s="84"/>
      <c r="N306" s="84"/>
      <c r="O306" s="84"/>
    </row>
    <row r="307" spans="4:15" x14ac:dyDescent="0.15">
      <c r="D307" s="138" t="s">
        <v>1000</v>
      </c>
      <c r="E307" s="133" t="s">
        <v>917</v>
      </c>
      <c r="F307" s="133"/>
      <c r="G307" s="133"/>
      <c r="H307" s="133"/>
      <c r="I307" s="133"/>
      <c r="J307" s="133"/>
      <c r="K307" s="133"/>
      <c r="L307" s="133"/>
      <c r="M307" s="133"/>
      <c r="N307" s="133"/>
      <c r="O307" s="133"/>
    </row>
    <row r="308" spans="4:15" x14ac:dyDescent="0.15">
      <c r="D308" s="133" t="s">
        <v>952</v>
      </c>
      <c r="E308" s="133">
        <v>2</v>
      </c>
    </row>
    <row r="309" spans="4:15" x14ac:dyDescent="0.15">
      <c r="D309" s="136" t="s">
        <v>882</v>
      </c>
      <c r="E309" s="136" t="str">
        <f>nuc2aa(E307,E308)</f>
        <v>KLQCNLRAQFCYWSPSDST-</v>
      </c>
      <c r="F309" s="84"/>
      <c r="G309" s="84"/>
      <c r="H309" s="84"/>
      <c r="I309" s="84"/>
      <c r="J309" s="84"/>
      <c r="K309" s="84"/>
      <c r="L309" s="84"/>
      <c r="M309" s="84"/>
      <c r="N309" s="84"/>
      <c r="O309" s="84"/>
    </row>
    <row r="310" spans="4:15" x14ac:dyDescent="0.15">
      <c r="D310" s="138" t="s">
        <v>1000</v>
      </c>
      <c r="E310" s="133" t="s">
        <v>917</v>
      </c>
      <c r="F310" s="133"/>
      <c r="G310" s="133"/>
      <c r="H310" s="133"/>
      <c r="I310" s="133"/>
      <c r="J310" s="133"/>
      <c r="K310" s="133"/>
      <c r="L310" s="133"/>
      <c r="M310" s="133"/>
      <c r="N310" s="133"/>
      <c r="O310" s="133"/>
    </row>
    <row r="311" spans="4:15" x14ac:dyDescent="0.15">
      <c r="D311" s="133" t="s">
        <v>952</v>
      </c>
      <c r="E311" s="133">
        <v>3</v>
      </c>
    </row>
    <row r="312" spans="4:15" x14ac:dyDescent="0.15">
      <c r="D312" s="136" t="s">
        <v>882</v>
      </c>
      <c r="E312" s="136" t="str">
        <f>nuc2aa(E310,E311)</f>
        <v>SYSVIYEPNFATGHPLTQQ-</v>
      </c>
      <c r="F312" s="84"/>
      <c r="G312" s="84"/>
      <c r="H312" s="84"/>
      <c r="I312" s="84"/>
      <c r="J312" s="84"/>
      <c r="K312" s="84"/>
      <c r="L312" s="84"/>
      <c r="M312" s="84"/>
      <c r="N312" s="84"/>
      <c r="O312" s="84"/>
    </row>
    <row r="313" spans="4:15" x14ac:dyDescent="0.15">
      <c r="D313" s="138" t="s">
        <v>1000</v>
      </c>
      <c r="E313" s="133" t="s">
        <v>917</v>
      </c>
      <c r="F313" s="133"/>
      <c r="G313" s="133"/>
      <c r="H313" s="133"/>
      <c r="I313" s="133"/>
      <c r="J313" s="133"/>
      <c r="K313" s="133"/>
      <c r="L313" s="133"/>
      <c r="M313" s="133"/>
      <c r="N313" s="133"/>
      <c r="O313" s="133"/>
    </row>
    <row r="314" spans="4:15" x14ac:dyDescent="0.15">
      <c r="D314" s="133" t="s">
        <v>952</v>
      </c>
      <c r="E314" s="133">
        <v>5</v>
      </c>
      <c r="G314" s="14" t="s">
        <v>1014</v>
      </c>
    </row>
    <row r="315" spans="4:15" x14ac:dyDescent="0.15">
      <c r="D315" s="136" t="s">
        <v>882</v>
      </c>
      <c r="E315" s="136" t="str">
        <f>nuc2aa(E313,E314)</f>
        <v>KLQCNLRAQFCYWSPSDST-</v>
      </c>
      <c r="F315" s="84"/>
      <c r="G315" s="84"/>
      <c r="H315" s="84"/>
      <c r="I315" s="84"/>
      <c r="J315" s="84"/>
      <c r="K315" s="84"/>
      <c r="L315" s="84"/>
      <c r="M315" s="139"/>
      <c r="N315" s="84"/>
      <c r="O315" s="84"/>
    </row>
    <row r="316" spans="4:15" x14ac:dyDescent="0.15">
      <c r="D316" s="138" t="s">
        <v>1000</v>
      </c>
      <c r="E316" s="133" t="s">
        <v>917</v>
      </c>
      <c r="F316" s="133"/>
      <c r="G316" s="133"/>
      <c r="H316" s="133"/>
      <c r="I316" s="133"/>
      <c r="J316" s="133"/>
      <c r="K316" s="133"/>
      <c r="L316" s="133"/>
      <c r="M316" s="133"/>
      <c r="N316" s="133"/>
      <c r="O316" s="133"/>
    </row>
    <row r="317" spans="4:15" x14ac:dyDescent="0.15">
      <c r="D317" s="133" t="s">
        <v>952</v>
      </c>
      <c r="E317" s="133">
        <v>-3</v>
      </c>
      <c r="G317" s="14" t="s">
        <v>1013</v>
      </c>
    </row>
    <row r="318" spans="4:15" x14ac:dyDescent="0.15">
      <c r="D318" s="136" t="s">
        <v>882</v>
      </c>
      <c r="E318" s="136" t="str">
        <f>nuc2aa(E316,E317)</f>
        <v>QATV*FTSPILLLVTL*LNN</v>
      </c>
      <c r="F318" s="84"/>
      <c r="G318" s="84"/>
      <c r="H318" s="84"/>
      <c r="I318" s="84"/>
      <c r="J318" s="84"/>
      <c r="K318" s="84"/>
      <c r="L318" s="84"/>
      <c r="M318" s="139"/>
      <c r="N318" s="84"/>
      <c r="O318" s="84"/>
    </row>
    <row r="321" spans="1:17" x14ac:dyDescent="0.15">
      <c r="A321" s="66" t="s">
        <v>961</v>
      </c>
      <c r="B321" s="67" t="s">
        <v>1123</v>
      </c>
      <c r="C321" s="67"/>
      <c r="D321" s="67"/>
      <c r="E321" s="67"/>
      <c r="F321" s="68"/>
      <c r="G321" s="67"/>
      <c r="H321" s="67"/>
      <c r="I321" s="68"/>
      <c r="J321" s="67"/>
      <c r="K321" s="68"/>
      <c r="L321" s="67"/>
      <c r="M321" s="68"/>
      <c r="N321" s="67"/>
      <c r="O321" s="67"/>
      <c r="P321" s="67"/>
      <c r="Q321" s="67"/>
    </row>
    <row r="322" spans="1:17" x14ac:dyDescent="0.15">
      <c r="C322" s="14" t="s">
        <v>1137</v>
      </c>
    </row>
    <row r="323" spans="1:17" x14ac:dyDescent="0.15">
      <c r="C323" s="14" t="s">
        <v>1092</v>
      </c>
    </row>
    <row r="325" spans="1:17" x14ac:dyDescent="0.15">
      <c r="D325" s="69" t="s">
        <v>879</v>
      </c>
      <c r="E325" s="70" t="s">
        <v>1417</v>
      </c>
      <c r="F325" s="58"/>
      <c r="G325" s="58"/>
      <c r="H325" s="58"/>
      <c r="I325" s="58"/>
      <c r="J325" s="58"/>
      <c r="K325" s="71"/>
    </row>
    <row r="326" spans="1:17" x14ac:dyDescent="0.15">
      <c r="D326" s="72" t="s">
        <v>886</v>
      </c>
      <c r="E326" s="32" t="s">
        <v>1393</v>
      </c>
      <c r="F326" s="32"/>
      <c r="G326" s="32"/>
      <c r="H326" s="32"/>
      <c r="I326" s="32"/>
      <c r="J326" s="32"/>
      <c r="K326" s="73"/>
    </row>
    <row r="327" spans="1:17" x14ac:dyDescent="0.15">
      <c r="D327" s="74" t="s">
        <v>887</v>
      </c>
      <c r="E327" s="62" t="s">
        <v>1124</v>
      </c>
      <c r="F327" s="62"/>
      <c r="G327" s="62"/>
      <c r="H327" s="62"/>
      <c r="I327" s="62"/>
      <c r="J327" s="62"/>
      <c r="K327" s="75"/>
    </row>
    <row r="329" spans="1:17" x14ac:dyDescent="0.15">
      <c r="D329" s="84"/>
      <c r="E329" s="115"/>
      <c r="F329" s="137" t="s">
        <v>980</v>
      </c>
    </row>
    <row r="330" spans="1:17" x14ac:dyDescent="0.15">
      <c r="D330" s="138" t="s">
        <v>1000</v>
      </c>
      <c r="E330" s="133" t="s">
        <v>917</v>
      </c>
      <c r="F330" s="133"/>
      <c r="G330" s="133"/>
      <c r="H330" s="133"/>
      <c r="I330" s="133"/>
      <c r="J330" s="133"/>
      <c r="K330" s="133"/>
      <c r="L330" s="133"/>
      <c r="M330" s="133"/>
      <c r="N330" s="133"/>
      <c r="O330" s="133"/>
    </row>
    <row r="331" spans="1:17" x14ac:dyDescent="0.15">
      <c r="D331" s="136" t="s">
        <v>882</v>
      </c>
      <c r="E331" s="136" t="str">
        <f>composition(E330)</f>
        <v>A:17 C:17 G:9 T:17 Else:0 Total:60</v>
      </c>
      <c r="F331" s="84"/>
      <c r="G331" s="84"/>
      <c r="H331" s="84"/>
      <c r="I331" s="84"/>
      <c r="J331" s="84"/>
      <c r="K331" s="84"/>
      <c r="L331" s="84"/>
      <c r="M331" s="84"/>
      <c r="N331" s="84"/>
      <c r="O331" s="84"/>
    </row>
    <row r="332" spans="1:17" x14ac:dyDescent="0.15">
      <c r="D332" s="138" t="s">
        <v>1000</v>
      </c>
      <c r="E332" s="133" t="s">
        <v>981</v>
      </c>
      <c r="F332" s="133"/>
      <c r="G332" s="133"/>
      <c r="H332" s="133"/>
      <c r="I332" s="133"/>
      <c r="J332" s="133"/>
      <c r="K332" s="133"/>
      <c r="L332" s="133"/>
      <c r="M332" s="133"/>
      <c r="N332" s="133"/>
      <c r="O332" s="133"/>
    </row>
    <row r="333" spans="1:17" x14ac:dyDescent="0.15">
      <c r="D333" s="136" t="s">
        <v>882</v>
      </c>
      <c r="E333" s="136" t="str">
        <f>composition(E332)</f>
        <v>A:16 C:16 G:13 T:15 Else:0 Total:60</v>
      </c>
      <c r="F333" s="84"/>
      <c r="G333" s="84"/>
      <c r="H333" s="84"/>
      <c r="I333" s="84"/>
      <c r="J333" s="84"/>
      <c r="K333" s="84"/>
      <c r="L333" s="84"/>
      <c r="M333" s="84"/>
      <c r="N333" s="84"/>
      <c r="O333" s="84"/>
    </row>
    <row r="334" spans="1:17" x14ac:dyDescent="0.15">
      <c r="D334" s="138" t="s">
        <v>1000</v>
      </c>
      <c r="E334" s="133" t="s">
        <v>982</v>
      </c>
      <c r="F334" s="133"/>
      <c r="G334" s="133"/>
      <c r="H334" s="133"/>
      <c r="I334" s="133"/>
      <c r="J334" s="133"/>
      <c r="K334" s="133"/>
      <c r="L334" s="133"/>
      <c r="M334" s="133"/>
      <c r="N334" s="133"/>
      <c r="O334" s="133"/>
    </row>
    <row r="335" spans="1:17" x14ac:dyDescent="0.15">
      <c r="D335" s="136" t="s">
        <v>882</v>
      </c>
      <c r="E335" s="136" t="str">
        <f>composition(E334)</f>
        <v>A:16 C:17 G:13 T:17 Else:18 Total:81</v>
      </c>
      <c r="F335" s="84"/>
      <c r="G335" s="84"/>
      <c r="H335" s="84"/>
      <c r="I335" s="84"/>
      <c r="J335" s="84"/>
      <c r="K335" s="84"/>
      <c r="L335" s="84"/>
      <c r="M335" s="84"/>
      <c r="N335" s="84"/>
      <c r="O335" s="84"/>
    </row>
    <row r="338" spans="1:17" x14ac:dyDescent="0.15">
      <c r="A338" s="66" t="s">
        <v>989</v>
      </c>
      <c r="B338" s="67" t="s">
        <v>1125</v>
      </c>
      <c r="C338" s="67"/>
      <c r="D338" s="67"/>
      <c r="E338" s="67"/>
      <c r="F338" s="68"/>
      <c r="G338" s="67"/>
      <c r="H338" s="67"/>
      <c r="I338" s="68"/>
      <c r="J338" s="67"/>
      <c r="K338" s="68"/>
      <c r="L338" s="67"/>
      <c r="M338" s="68"/>
      <c r="N338" s="67"/>
      <c r="O338" s="67"/>
      <c r="P338" s="67"/>
      <c r="Q338" s="67"/>
    </row>
    <row r="339" spans="1:17" x14ac:dyDescent="0.15">
      <c r="C339" s="14" t="s">
        <v>1126</v>
      </c>
    </row>
    <row r="340" spans="1:17" x14ac:dyDescent="0.15">
      <c r="C340" s="14" t="s">
        <v>1092</v>
      </c>
    </row>
    <row r="342" spans="1:17" x14ac:dyDescent="0.15">
      <c r="D342" s="69" t="s">
        <v>879</v>
      </c>
      <c r="E342" s="70" t="s">
        <v>1418</v>
      </c>
      <c r="F342" s="58"/>
      <c r="G342" s="58"/>
      <c r="H342" s="71"/>
    </row>
    <row r="343" spans="1:17" x14ac:dyDescent="0.15">
      <c r="D343" s="72" t="s">
        <v>886</v>
      </c>
      <c r="E343" s="32" t="s">
        <v>1393</v>
      </c>
      <c r="F343" s="32"/>
      <c r="G343" s="32"/>
      <c r="H343" s="73"/>
    </row>
    <row r="344" spans="1:17" x14ac:dyDescent="0.15">
      <c r="D344" s="74" t="s">
        <v>887</v>
      </c>
      <c r="E344" s="62" t="s">
        <v>991</v>
      </c>
      <c r="F344" s="62"/>
      <c r="G344" s="62"/>
      <c r="H344" s="75"/>
    </row>
    <row r="346" spans="1:17" x14ac:dyDescent="0.15">
      <c r="D346" s="84"/>
      <c r="E346" s="115"/>
      <c r="F346" s="137" t="s">
        <v>992</v>
      </c>
    </row>
    <row r="347" spans="1:17" x14ac:dyDescent="0.15">
      <c r="D347" s="138" t="s">
        <v>1000</v>
      </c>
      <c r="E347" s="133" t="s">
        <v>917</v>
      </c>
      <c r="F347" s="133"/>
      <c r="G347" s="133"/>
      <c r="H347" s="133"/>
      <c r="I347" s="133"/>
      <c r="J347" s="133"/>
      <c r="K347" s="133"/>
      <c r="L347" s="133"/>
      <c r="M347" s="133"/>
      <c r="N347" s="133"/>
      <c r="O347" s="133"/>
    </row>
    <row r="348" spans="1:17" x14ac:dyDescent="0.15">
      <c r="D348" s="136" t="s">
        <v>882</v>
      </c>
      <c r="E348" s="136">
        <f>GCratio(E347)</f>
        <v>0.43333333333333335</v>
      </c>
      <c r="F348" s="84"/>
      <c r="G348" s="84"/>
      <c r="H348" s="84"/>
      <c r="I348" s="84"/>
      <c r="J348" s="84"/>
      <c r="K348" s="84"/>
      <c r="L348" s="84"/>
      <c r="M348" s="84"/>
      <c r="N348" s="84"/>
      <c r="O348" s="84"/>
    </row>
    <row r="349" spans="1:17" x14ac:dyDescent="0.15">
      <c r="D349" s="138" t="s">
        <v>1000</v>
      </c>
      <c r="E349" s="133" t="s">
        <v>981</v>
      </c>
      <c r="F349" s="133"/>
      <c r="G349" s="133"/>
      <c r="H349" s="133"/>
      <c r="I349" s="133"/>
      <c r="J349" s="133"/>
      <c r="K349" s="133"/>
      <c r="L349" s="133"/>
      <c r="M349" s="133"/>
      <c r="N349" s="133"/>
      <c r="O349" s="133"/>
    </row>
    <row r="350" spans="1:17" x14ac:dyDescent="0.15">
      <c r="D350" s="136" t="s">
        <v>882</v>
      </c>
      <c r="E350" s="136">
        <f>GCratio(E349)</f>
        <v>0.48333333333333334</v>
      </c>
      <c r="F350" s="84"/>
      <c r="G350" s="84"/>
      <c r="H350" s="84"/>
      <c r="I350" s="84"/>
      <c r="J350" s="84"/>
      <c r="K350" s="84"/>
      <c r="L350" s="84"/>
      <c r="M350" s="84"/>
      <c r="N350" s="84"/>
      <c r="O350" s="84"/>
    </row>
    <row r="351" spans="1:17" x14ac:dyDescent="0.15">
      <c r="D351" s="138" t="s">
        <v>1000</v>
      </c>
      <c r="E351" s="133" t="s">
        <v>982</v>
      </c>
      <c r="F351" s="133"/>
      <c r="G351" s="133"/>
      <c r="H351" s="133"/>
      <c r="I351" s="133"/>
      <c r="J351" s="133"/>
      <c r="K351" s="133"/>
      <c r="L351" s="133"/>
      <c r="M351" s="133"/>
      <c r="N351" s="133"/>
      <c r="O351" s="133"/>
    </row>
    <row r="352" spans="1:17" x14ac:dyDescent="0.15">
      <c r="D352" s="136" t="s">
        <v>882</v>
      </c>
      <c r="E352" s="136">
        <f>GCratio(E351)</f>
        <v>0.37037037037037035</v>
      </c>
      <c r="F352" s="84"/>
      <c r="G352" s="84"/>
      <c r="H352" s="84"/>
      <c r="I352" s="84"/>
      <c r="J352" s="84"/>
      <c r="K352" s="84"/>
      <c r="L352" s="84"/>
      <c r="M352" s="84"/>
      <c r="N352" s="84"/>
      <c r="O352" s="84"/>
    </row>
    <row r="355" spans="1:17" x14ac:dyDescent="0.15">
      <c r="A355" s="66" t="s">
        <v>993</v>
      </c>
      <c r="B355" s="67" t="s">
        <v>1115</v>
      </c>
      <c r="C355" s="67"/>
      <c r="D355" s="67"/>
      <c r="E355" s="67"/>
      <c r="F355" s="68"/>
      <c r="G355" s="67"/>
      <c r="H355" s="67"/>
      <c r="I355" s="68"/>
      <c r="J355" s="67"/>
      <c r="K355" s="68"/>
      <c r="L355" s="67"/>
      <c r="M355" s="68"/>
      <c r="N355" s="67"/>
      <c r="O355" s="67"/>
      <c r="P355" s="67"/>
      <c r="Q355" s="67"/>
    </row>
    <row r="356" spans="1:17" x14ac:dyDescent="0.15">
      <c r="C356" s="14" t="s">
        <v>1127</v>
      </c>
    </row>
    <row r="357" spans="1:17" x14ac:dyDescent="0.15">
      <c r="C357" s="14" t="s">
        <v>1021</v>
      </c>
    </row>
    <row r="359" spans="1:17" x14ac:dyDescent="0.15">
      <c r="D359" s="69" t="s">
        <v>879</v>
      </c>
      <c r="E359" s="70" t="s">
        <v>1419</v>
      </c>
      <c r="F359" s="58"/>
      <c r="G359" s="58"/>
      <c r="H359" s="58"/>
      <c r="I359" s="58"/>
      <c r="J359" s="58"/>
      <c r="K359" s="58"/>
      <c r="L359" s="58"/>
      <c r="M359" s="71"/>
    </row>
    <row r="360" spans="1:17" x14ac:dyDescent="0.15">
      <c r="D360" s="72" t="s">
        <v>886</v>
      </c>
      <c r="E360" s="32" t="s">
        <v>1420</v>
      </c>
      <c r="F360" s="32"/>
      <c r="G360" s="32"/>
      <c r="H360" s="32"/>
      <c r="I360" s="32"/>
      <c r="J360" s="32"/>
      <c r="K360" s="32"/>
      <c r="L360" s="32"/>
      <c r="M360" s="73"/>
    </row>
    <row r="361" spans="1:17" x14ac:dyDescent="0.15">
      <c r="D361" s="72"/>
      <c r="E361" s="32" t="s">
        <v>1421</v>
      </c>
      <c r="F361" s="32"/>
      <c r="G361" s="32"/>
      <c r="H361" s="32"/>
      <c r="I361" s="32"/>
      <c r="J361" s="32"/>
      <c r="K361" s="32"/>
      <c r="L361" s="32"/>
      <c r="M361" s="73"/>
    </row>
    <row r="362" spans="1:17" x14ac:dyDescent="0.15">
      <c r="D362" s="72"/>
      <c r="E362" s="32" t="s">
        <v>1422</v>
      </c>
      <c r="F362" s="32"/>
      <c r="G362" s="32"/>
      <c r="H362" s="32"/>
      <c r="I362" s="32"/>
      <c r="J362" s="32"/>
      <c r="K362" s="32"/>
      <c r="L362" s="32"/>
      <c r="M362" s="73"/>
    </row>
    <row r="363" spans="1:17" x14ac:dyDescent="0.15">
      <c r="D363" s="74" t="s">
        <v>887</v>
      </c>
      <c r="E363" s="62" t="s">
        <v>996</v>
      </c>
      <c r="F363" s="62"/>
      <c r="G363" s="62"/>
      <c r="H363" s="62"/>
      <c r="I363" s="62"/>
      <c r="J363" s="62"/>
      <c r="K363" s="62"/>
      <c r="L363" s="62"/>
      <c r="M363" s="75"/>
    </row>
    <row r="365" spans="1:17" x14ac:dyDescent="0.15">
      <c r="D365" s="84"/>
      <c r="E365" s="115"/>
      <c r="F365" s="137" t="s">
        <v>997</v>
      </c>
    </row>
    <row r="366" spans="1:17" x14ac:dyDescent="0.15">
      <c r="D366" s="138" t="s">
        <v>1000</v>
      </c>
      <c r="E366" s="133" t="s">
        <v>1656</v>
      </c>
      <c r="F366" s="133"/>
      <c r="G366" s="133"/>
      <c r="H366" s="133"/>
      <c r="I366" s="133"/>
      <c r="J366" s="133"/>
      <c r="K366" s="133"/>
      <c r="L366" s="133"/>
      <c r="M366" s="133"/>
      <c r="N366" s="133"/>
      <c r="O366" s="133"/>
    </row>
    <row r="367" spans="1:17" x14ac:dyDescent="0.15">
      <c r="D367" s="138" t="s">
        <v>995</v>
      </c>
      <c r="E367" s="133" t="s">
        <v>1001</v>
      </c>
      <c r="F367" s="133"/>
      <c r="G367" s="133"/>
      <c r="H367" s="133"/>
      <c r="I367" s="133"/>
      <c r="J367" s="133"/>
      <c r="K367" s="133"/>
      <c r="L367" s="133"/>
      <c r="M367" s="133"/>
      <c r="N367" s="133"/>
      <c r="O367" s="133"/>
    </row>
    <row r="368" spans="1:17" x14ac:dyDescent="0.15">
      <c r="D368" s="133" t="s">
        <v>998</v>
      </c>
      <c r="E368" s="133">
        <v>1</v>
      </c>
    </row>
    <row r="369" spans="1:17" x14ac:dyDescent="0.15">
      <c r="D369" s="136" t="s">
        <v>882</v>
      </c>
      <c r="E369" s="136">
        <f>motifcount(E366,E367,E368)</f>
        <v>1</v>
      </c>
      <c r="F369" s="84"/>
      <c r="G369" s="84"/>
      <c r="H369" s="84"/>
      <c r="I369" s="84"/>
      <c r="J369" s="84"/>
      <c r="K369" s="84"/>
      <c r="L369" s="84"/>
      <c r="M369" s="84"/>
      <c r="N369" s="84"/>
      <c r="O369" s="84"/>
    </row>
    <row r="370" spans="1:17" x14ac:dyDescent="0.15">
      <c r="D370" s="138" t="s">
        <v>1000</v>
      </c>
      <c r="E370" s="133" t="s">
        <v>999</v>
      </c>
      <c r="F370" s="133"/>
      <c r="G370" s="133"/>
      <c r="H370" s="133"/>
      <c r="I370" s="133"/>
      <c r="J370" s="133"/>
      <c r="K370" s="133"/>
      <c r="L370" s="133"/>
      <c r="M370" s="133"/>
      <c r="N370" s="133"/>
      <c r="O370" s="133"/>
    </row>
    <row r="371" spans="1:17" x14ac:dyDescent="0.15">
      <c r="D371" s="138" t="s">
        <v>995</v>
      </c>
      <c r="E371" s="133" t="s">
        <v>1002</v>
      </c>
      <c r="F371" s="133"/>
      <c r="G371" s="133"/>
      <c r="H371" s="133"/>
      <c r="I371" s="133"/>
      <c r="J371" s="133"/>
      <c r="K371" s="133"/>
      <c r="L371" s="133"/>
      <c r="M371" s="133"/>
      <c r="N371" s="133"/>
      <c r="O371" s="133"/>
    </row>
    <row r="372" spans="1:17" x14ac:dyDescent="0.15">
      <c r="D372" s="133" t="s">
        <v>998</v>
      </c>
      <c r="E372" s="133">
        <v>10</v>
      </c>
    </row>
    <row r="373" spans="1:17" x14ac:dyDescent="0.15">
      <c r="D373" s="136" t="s">
        <v>882</v>
      </c>
      <c r="E373" s="136">
        <f>motifcount(E370,E371,E372)</f>
        <v>7</v>
      </c>
      <c r="F373" s="84"/>
      <c r="G373" s="84"/>
      <c r="H373" s="84"/>
      <c r="I373" s="84"/>
      <c r="J373" s="84"/>
      <c r="K373" s="84"/>
      <c r="L373" s="84"/>
      <c r="M373" s="84"/>
      <c r="N373" s="84"/>
      <c r="O373" s="84"/>
    </row>
    <row r="374" spans="1:17" x14ac:dyDescent="0.15">
      <c r="D374" s="138" t="s">
        <v>1000</v>
      </c>
      <c r="E374" s="133" t="s">
        <v>917</v>
      </c>
      <c r="F374" s="133"/>
      <c r="G374" s="133"/>
      <c r="H374" s="133"/>
      <c r="I374" s="133"/>
      <c r="J374" s="133"/>
      <c r="K374" s="133"/>
      <c r="L374" s="133"/>
      <c r="M374" s="133"/>
      <c r="N374" s="133"/>
      <c r="O374" s="133"/>
    </row>
    <row r="375" spans="1:17" x14ac:dyDescent="0.15">
      <c r="D375" s="138" t="s">
        <v>995</v>
      </c>
      <c r="E375" s="133" t="s">
        <v>1003</v>
      </c>
      <c r="F375" s="133"/>
      <c r="G375" s="133"/>
      <c r="H375" s="133"/>
      <c r="I375" s="133"/>
      <c r="J375" s="133"/>
      <c r="K375" s="133"/>
      <c r="L375" s="133"/>
      <c r="M375" s="133"/>
      <c r="N375" s="133"/>
      <c r="O375" s="133"/>
    </row>
    <row r="376" spans="1:17" x14ac:dyDescent="0.15">
      <c r="D376" s="133" t="s">
        <v>998</v>
      </c>
      <c r="E376" s="133">
        <v>1</v>
      </c>
    </row>
    <row r="377" spans="1:17" x14ac:dyDescent="0.15">
      <c r="D377" s="136" t="s">
        <v>882</v>
      </c>
      <c r="E377" s="136">
        <f>motifcount(E374,E375,E376)</f>
        <v>2</v>
      </c>
      <c r="F377" s="84"/>
      <c r="G377" s="84"/>
      <c r="H377" s="84"/>
      <c r="I377" s="84"/>
      <c r="J377" s="84"/>
      <c r="K377" s="84"/>
      <c r="L377" s="84"/>
      <c r="M377" s="84"/>
      <c r="N377" s="84"/>
      <c r="O377" s="84"/>
    </row>
    <row r="378" spans="1:17" x14ac:dyDescent="0.15">
      <c r="D378" s="138" t="s">
        <v>1000</v>
      </c>
      <c r="E378" s="133" t="s">
        <v>917</v>
      </c>
      <c r="F378" s="133"/>
      <c r="G378" s="133"/>
      <c r="H378" s="133"/>
      <c r="I378" s="133"/>
      <c r="J378" s="133"/>
      <c r="K378" s="133"/>
      <c r="L378" s="133"/>
      <c r="M378" s="133"/>
      <c r="N378" s="133"/>
      <c r="O378" s="133"/>
    </row>
    <row r="379" spans="1:17" x14ac:dyDescent="0.15">
      <c r="D379" s="138" t="s">
        <v>995</v>
      </c>
      <c r="E379" s="133" t="s">
        <v>1003</v>
      </c>
      <c r="F379" s="133"/>
      <c r="G379" s="133"/>
      <c r="H379" s="133"/>
      <c r="I379" s="133"/>
      <c r="J379" s="133"/>
      <c r="K379" s="133"/>
      <c r="L379" s="133"/>
      <c r="M379" s="133"/>
      <c r="N379" s="133"/>
      <c r="O379" s="133"/>
    </row>
    <row r="380" spans="1:17" x14ac:dyDescent="0.15">
      <c r="D380" s="133" t="s">
        <v>998</v>
      </c>
      <c r="E380" s="133">
        <v>15</v>
      </c>
    </row>
    <row r="381" spans="1:17" x14ac:dyDescent="0.15">
      <c r="D381" s="136" t="s">
        <v>882</v>
      </c>
      <c r="E381" s="136">
        <f>motifcount(E378,E379,E380)</f>
        <v>1</v>
      </c>
      <c r="F381" s="84"/>
      <c r="G381" s="84"/>
      <c r="H381" s="84"/>
      <c r="I381" s="84"/>
      <c r="J381" s="84"/>
      <c r="K381" s="84"/>
      <c r="L381" s="84"/>
      <c r="M381" s="139"/>
      <c r="N381" s="84"/>
      <c r="O381" s="84"/>
    </row>
    <row r="384" spans="1:17" x14ac:dyDescent="0.15">
      <c r="A384" s="66" t="s">
        <v>994</v>
      </c>
      <c r="B384" s="67" t="s">
        <v>1128</v>
      </c>
      <c r="C384" s="67"/>
      <c r="D384" s="67"/>
      <c r="E384" s="67"/>
      <c r="F384" s="68"/>
      <c r="G384" s="67"/>
      <c r="H384" s="67"/>
      <c r="I384" s="68"/>
      <c r="J384" s="67"/>
      <c r="K384" s="68"/>
      <c r="L384" s="67"/>
      <c r="M384" s="68"/>
      <c r="N384" s="67"/>
      <c r="O384" s="67"/>
      <c r="P384" s="67"/>
      <c r="Q384" s="67"/>
    </row>
    <row r="385" spans="3:15" x14ac:dyDescent="0.15">
      <c r="C385" s="14" t="s">
        <v>1129</v>
      </c>
    </row>
    <row r="386" spans="3:15" x14ac:dyDescent="0.15">
      <c r="C386" s="14" t="s">
        <v>1021</v>
      </c>
    </row>
    <row r="388" spans="3:15" x14ac:dyDescent="0.15">
      <c r="D388" s="69" t="s">
        <v>879</v>
      </c>
      <c r="E388" s="70" t="s">
        <v>1423</v>
      </c>
      <c r="F388" s="58"/>
      <c r="G388" s="58"/>
      <c r="H388" s="58"/>
      <c r="I388" s="58"/>
      <c r="J388" s="58"/>
      <c r="K388" s="58"/>
      <c r="L388" s="58"/>
      <c r="M388" s="71"/>
    </row>
    <row r="389" spans="3:15" x14ac:dyDescent="0.15">
      <c r="D389" s="72" t="s">
        <v>886</v>
      </c>
      <c r="E389" s="32" t="s">
        <v>1424</v>
      </c>
      <c r="F389" s="32"/>
      <c r="G389" s="32"/>
      <c r="H389" s="32"/>
      <c r="I389" s="32"/>
      <c r="J389" s="32"/>
      <c r="K389" s="32"/>
      <c r="L389" s="32"/>
      <c r="M389" s="73"/>
    </row>
    <row r="390" spans="3:15" x14ac:dyDescent="0.15">
      <c r="D390" s="72"/>
      <c r="E390" s="32" t="s">
        <v>1421</v>
      </c>
      <c r="F390" s="32"/>
      <c r="G390" s="32"/>
      <c r="H390" s="32"/>
      <c r="I390" s="32"/>
      <c r="J390" s="32"/>
      <c r="K390" s="32"/>
      <c r="L390" s="32"/>
      <c r="M390" s="73"/>
    </row>
    <row r="391" spans="3:15" x14ac:dyDescent="0.15">
      <c r="D391" s="72"/>
      <c r="E391" s="32" t="s">
        <v>1425</v>
      </c>
      <c r="F391" s="32"/>
      <c r="G391" s="32"/>
      <c r="H391" s="32"/>
      <c r="I391" s="32"/>
      <c r="J391" s="32"/>
      <c r="K391" s="32"/>
      <c r="L391" s="32"/>
      <c r="M391" s="73"/>
    </row>
    <row r="392" spans="3:15" x14ac:dyDescent="0.15">
      <c r="D392" s="74" t="s">
        <v>887</v>
      </c>
      <c r="E392" s="62" t="s">
        <v>1130</v>
      </c>
      <c r="F392" s="62"/>
      <c r="G392" s="62"/>
      <c r="H392" s="62"/>
      <c r="I392" s="62"/>
      <c r="J392" s="62"/>
      <c r="K392" s="62"/>
      <c r="L392" s="62"/>
      <c r="M392" s="75"/>
    </row>
    <row r="394" spans="3:15" x14ac:dyDescent="0.15">
      <c r="D394" s="84"/>
      <c r="E394" s="115"/>
      <c r="F394" s="137" t="s">
        <v>1007</v>
      </c>
    </row>
    <row r="395" spans="3:15" x14ac:dyDescent="0.15">
      <c r="D395" s="138" t="s">
        <v>1000</v>
      </c>
      <c r="E395" s="133" t="s">
        <v>999</v>
      </c>
      <c r="F395" s="133"/>
      <c r="G395" s="133"/>
      <c r="H395" s="133"/>
      <c r="I395" s="133"/>
      <c r="J395" s="133"/>
      <c r="K395" s="133"/>
      <c r="L395" s="133"/>
      <c r="M395" s="133"/>
      <c r="N395" s="133"/>
      <c r="O395" s="133"/>
    </row>
    <row r="396" spans="3:15" x14ac:dyDescent="0.15">
      <c r="D396" s="138" t="s">
        <v>995</v>
      </c>
      <c r="E396" s="133" t="s">
        <v>1001</v>
      </c>
      <c r="F396" s="133"/>
      <c r="G396" s="133"/>
      <c r="H396" s="133"/>
      <c r="I396" s="133"/>
      <c r="J396" s="133"/>
      <c r="K396" s="133"/>
      <c r="L396" s="133"/>
      <c r="M396" s="133"/>
      <c r="N396" s="133"/>
      <c r="O396" s="133"/>
    </row>
    <row r="397" spans="3:15" x14ac:dyDescent="0.15">
      <c r="D397" s="133" t="s">
        <v>998</v>
      </c>
      <c r="E397" s="133">
        <v>1</v>
      </c>
    </row>
    <row r="398" spans="3:15" x14ac:dyDescent="0.15">
      <c r="D398" s="136" t="s">
        <v>882</v>
      </c>
      <c r="E398" s="136">
        <f>firstmotif(E395,E396,E397)</f>
        <v>18</v>
      </c>
      <c r="F398" s="84"/>
      <c r="G398" s="84"/>
      <c r="H398" s="84"/>
      <c r="I398" s="84"/>
      <c r="J398" s="84"/>
      <c r="K398" s="84"/>
      <c r="L398" s="84"/>
      <c r="M398" s="84"/>
      <c r="N398" s="84"/>
      <c r="O398" s="84"/>
    </row>
    <row r="399" spans="3:15" x14ac:dyDescent="0.15">
      <c r="D399" s="138" t="s">
        <v>1000</v>
      </c>
      <c r="E399" s="133" t="s">
        <v>999</v>
      </c>
      <c r="F399" s="133"/>
      <c r="G399" s="133"/>
      <c r="H399" s="133"/>
      <c r="I399" s="133"/>
      <c r="J399" s="133"/>
      <c r="K399" s="133"/>
      <c r="L399" s="133"/>
      <c r="M399" s="133"/>
      <c r="N399" s="133"/>
      <c r="O399" s="133"/>
    </row>
    <row r="400" spans="3:15" x14ac:dyDescent="0.15">
      <c r="D400" s="138" t="s">
        <v>995</v>
      </c>
      <c r="E400" s="133" t="s">
        <v>1002</v>
      </c>
      <c r="F400" s="133"/>
      <c r="G400" s="133"/>
      <c r="H400" s="133"/>
      <c r="I400" s="133"/>
      <c r="J400" s="133"/>
      <c r="K400" s="133"/>
      <c r="L400" s="133"/>
      <c r="M400" s="133"/>
      <c r="N400" s="133"/>
      <c r="O400" s="133"/>
    </row>
    <row r="401" spans="1:17" x14ac:dyDescent="0.15">
      <c r="D401" s="133" t="s">
        <v>998</v>
      </c>
      <c r="E401" s="133">
        <v>10</v>
      </c>
    </row>
    <row r="402" spans="1:17" x14ac:dyDescent="0.15">
      <c r="D402" s="136" t="s">
        <v>882</v>
      </c>
      <c r="E402" s="136">
        <f>firstmotif(E399,E400,E401)</f>
        <v>12</v>
      </c>
      <c r="F402" s="84"/>
      <c r="G402" s="84"/>
      <c r="H402" s="84"/>
      <c r="I402" s="84"/>
      <c r="J402" s="84"/>
      <c r="K402" s="84"/>
      <c r="L402" s="84"/>
      <c r="M402" s="84"/>
      <c r="N402" s="84"/>
      <c r="O402" s="84"/>
    </row>
    <row r="403" spans="1:17" x14ac:dyDescent="0.15">
      <c r="D403" s="138" t="s">
        <v>1000</v>
      </c>
      <c r="E403" s="133" t="s">
        <v>1004</v>
      </c>
      <c r="F403" s="133"/>
      <c r="G403" s="133"/>
      <c r="H403" s="133"/>
      <c r="I403" s="133"/>
      <c r="J403" s="133"/>
      <c r="K403" s="133"/>
      <c r="L403" s="133"/>
      <c r="M403" s="133"/>
      <c r="N403" s="133"/>
      <c r="O403" s="133"/>
    </row>
    <row r="404" spans="1:17" x14ac:dyDescent="0.15">
      <c r="D404" s="138" t="s">
        <v>995</v>
      </c>
      <c r="E404" s="133" t="s">
        <v>467</v>
      </c>
      <c r="F404" s="133"/>
      <c r="G404" s="133"/>
      <c r="H404" s="133"/>
      <c r="I404" s="133"/>
      <c r="J404" s="133"/>
      <c r="K404" s="133"/>
      <c r="L404" s="133"/>
      <c r="M404" s="133"/>
      <c r="N404" s="133"/>
      <c r="O404" s="133"/>
    </row>
    <row r="405" spans="1:17" x14ac:dyDescent="0.15">
      <c r="D405" s="133" t="s">
        <v>998</v>
      </c>
      <c r="E405" s="133">
        <v>20</v>
      </c>
    </row>
    <row r="406" spans="1:17" x14ac:dyDescent="0.15">
      <c r="D406" s="136" t="s">
        <v>882</v>
      </c>
      <c r="E406" s="136">
        <f>firstmotif(E403,E404,E405)</f>
        <v>28</v>
      </c>
      <c r="F406" s="84"/>
      <c r="G406" s="84"/>
      <c r="H406" s="84"/>
      <c r="I406" s="84"/>
      <c r="J406" s="84"/>
      <c r="K406" s="84"/>
      <c r="L406" s="84"/>
      <c r="M406" s="84"/>
      <c r="N406" s="84"/>
      <c r="O406" s="84"/>
    </row>
    <row r="407" spans="1:17" x14ac:dyDescent="0.15">
      <c r="D407" s="138" t="s">
        <v>1000</v>
      </c>
      <c r="E407" s="133" t="s">
        <v>917</v>
      </c>
      <c r="F407" s="133"/>
      <c r="G407" s="133"/>
      <c r="H407" s="133"/>
      <c r="I407" s="133"/>
      <c r="J407" s="133"/>
      <c r="K407" s="133"/>
      <c r="L407" s="133"/>
      <c r="M407" s="133"/>
      <c r="N407" s="133"/>
      <c r="O407" s="133"/>
    </row>
    <row r="408" spans="1:17" x14ac:dyDescent="0.15">
      <c r="D408" s="138" t="s">
        <v>995</v>
      </c>
      <c r="E408" s="133" t="s">
        <v>1003</v>
      </c>
      <c r="F408" s="133"/>
      <c r="G408" s="133"/>
      <c r="H408" s="133"/>
      <c r="I408" s="133"/>
      <c r="J408" s="133"/>
      <c r="K408" s="133"/>
      <c r="L408" s="133"/>
      <c r="M408" s="133"/>
      <c r="N408" s="133"/>
      <c r="O408" s="133"/>
    </row>
    <row r="409" spans="1:17" x14ac:dyDescent="0.15">
      <c r="D409" s="133" t="s">
        <v>998</v>
      </c>
      <c r="E409" s="133">
        <v>15</v>
      </c>
    </row>
    <row r="410" spans="1:17" x14ac:dyDescent="0.15">
      <c r="D410" s="136" t="s">
        <v>882</v>
      </c>
      <c r="E410" s="136">
        <f>firstmotif(E407,E408,E409)</f>
        <v>27</v>
      </c>
      <c r="F410" s="84"/>
      <c r="G410" s="84"/>
      <c r="H410" s="84"/>
      <c r="I410" s="84"/>
      <c r="J410" s="84"/>
      <c r="K410" s="84"/>
      <c r="L410" s="84"/>
      <c r="M410" s="139"/>
      <c r="N410" s="84"/>
      <c r="O410" s="84"/>
    </row>
    <row r="413" spans="1:17" x14ac:dyDescent="0.15">
      <c r="A413" s="66" t="s">
        <v>1008</v>
      </c>
      <c r="B413" s="67" t="s">
        <v>1132</v>
      </c>
      <c r="C413" s="67"/>
      <c r="D413" s="67"/>
      <c r="E413" s="67"/>
      <c r="F413" s="68"/>
      <c r="G413" s="67"/>
      <c r="H413" s="67"/>
      <c r="I413" s="68"/>
      <c r="J413" s="67"/>
      <c r="K413" s="68"/>
      <c r="L413" s="67"/>
      <c r="M413" s="68"/>
      <c r="N413" s="67"/>
      <c r="O413" s="67"/>
      <c r="P413" s="67"/>
      <c r="Q413" s="67"/>
    </row>
    <row r="414" spans="1:17" x14ac:dyDescent="0.15">
      <c r="C414" s="14" t="s">
        <v>1131</v>
      </c>
    </row>
    <row r="415" spans="1:17" x14ac:dyDescent="0.15">
      <c r="C415" s="14" t="s">
        <v>1021</v>
      </c>
    </row>
    <row r="417" spans="4:15" x14ac:dyDescent="0.15">
      <c r="D417" s="69" t="s">
        <v>879</v>
      </c>
      <c r="E417" s="70" t="s">
        <v>1426</v>
      </c>
      <c r="F417" s="58"/>
      <c r="G417" s="58"/>
      <c r="H417" s="58"/>
      <c r="I417" s="58"/>
      <c r="J417" s="58"/>
      <c r="K417" s="58"/>
      <c r="L417" s="71"/>
    </row>
    <row r="418" spans="4:15" x14ac:dyDescent="0.15">
      <c r="D418" s="72" t="s">
        <v>886</v>
      </c>
      <c r="E418" s="32" t="s">
        <v>1424</v>
      </c>
      <c r="F418" s="32"/>
      <c r="G418" s="32"/>
      <c r="H418" s="32"/>
      <c r="I418" s="32"/>
      <c r="J418" s="32"/>
      <c r="K418" s="32"/>
      <c r="L418" s="73"/>
    </row>
    <row r="419" spans="4:15" x14ac:dyDescent="0.15">
      <c r="D419" s="72"/>
      <c r="E419" s="32" t="s">
        <v>1421</v>
      </c>
      <c r="F419" s="32"/>
      <c r="G419" s="32"/>
      <c r="H419" s="32"/>
      <c r="I419" s="32"/>
      <c r="J419" s="32"/>
      <c r="K419" s="32"/>
      <c r="L419" s="73"/>
    </row>
    <row r="420" spans="4:15" x14ac:dyDescent="0.15">
      <c r="D420" s="74" t="s">
        <v>887</v>
      </c>
      <c r="E420" s="62" t="s">
        <v>1132</v>
      </c>
      <c r="F420" s="62"/>
      <c r="G420" s="62"/>
      <c r="H420" s="62"/>
      <c r="I420" s="62"/>
      <c r="J420" s="62"/>
      <c r="K420" s="62"/>
      <c r="L420" s="75"/>
    </row>
    <row r="422" spans="4:15" x14ac:dyDescent="0.15">
      <c r="D422" s="84"/>
      <c r="E422" s="115"/>
      <c r="F422" s="137" t="s">
        <v>1009</v>
      </c>
    </row>
    <row r="423" spans="4:15" x14ac:dyDescent="0.15">
      <c r="D423" s="138" t="s">
        <v>1000</v>
      </c>
      <c r="E423" s="133" t="s">
        <v>1656</v>
      </c>
      <c r="F423" s="133"/>
      <c r="G423" s="133"/>
      <c r="H423" s="133"/>
      <c r="I423" s="133"/>
      <c r="J423" s="133"/>
      <c r="K423" s="133"/>
      <c r="L423" s="133"/>
      <c r="M423" s="133"/>
      <c r="N423" s="133"/>
      <c r="O423" s="133"/>
    </row>
    <row r="424" spans="4:15" x14ac:dyDescent="0.15">
      <c r="D424" s="138" t="s">
        <v>995</v>
      </c>
      <c r="E424" s="133" t="s">
        <v>1001</v>
      </c>
      <c r="F424" s="133"/>
      <c r="G424" s="133"/>
      <c r="H424" s="133"/>
      <c r="I424" s="133"/>
      <c r="J424" s="133"/>
      <c r="K424" s="133"/>
      <c r="L424" s="133"/>
      <c r="M424" s="133"/>
      <c r="N424" s="133"/>
      <c r="O424" s="133"/>
    </row>
    <row r="425" spans="4:15" x14ac:dyDescent="0.15">
      <c r="D425" s="136" t="s">
        <v>882</v>
      </c>
      <c r="E425" s="136" t="str">
        <f>findmotif(E423,E424)</f>
        <v>18</v>
      </c>
      <c r="F425" s="84"/>
      <c r="G425" s="84"/>
      <c r="H425" s="84"/>
      <c r="I425" s="84"/>
      <c r="J425" s="84"/>
      <c r="K425" s="84"/>
      <c r="L425" s="84"/>
      <c r="M425" s="84"/>
      <c r="N425" s="84"/>
      <c r="O425" s="84"/>
    </row>
    <row r="426" spans="4:15" x14ac:dyDescent="0.15">
      <c r="D426" s="138" t="s">
        <v>1000</v>
      </c>
      <c r="E426" s="133" t="s">
        <v>999</v>
      </c>
      <c r="F426" s="133"/>
      <c r="G426" s="133"/>
      <c r="H426" s="133"/>
      <c r="I426" s="133"/>
      <c r="J426" s="133"/>
      <c r="K426" s="133"/>
      <c r="L426" s="133"/>
      <c r="M426" s="133"/>
      <c r="N426" s="133"/>
      <c r="O426" s="133"/>
    </row>
    <row r="427" spans="4:15" x14ac:dyDescent="0.15">
      <c r="D427" s="138" t="s">
        <v>995</v>
      </c>
      <c r="E427" s="133" t="s">
        <v>1002</v>
      </c>
      <c r="F427" s="133"/>
      <c r="G427" s="133"/>
      <c r="H427" s="133"/>
      <c r="I427" s="133"/>
      <c r="J427" s="133"/>
      <c r="K427" s="133"/>
      <c r="L427" s="133"/>
      <c r="M427" s="133"/>
      <c r="N427" s="133"/>
      <c r="O427" s="133"/>
    </row>
    <row r="428" spans="4:15" x14ac:dyDescent="0.15">
      <c r="D428" s="136" t="s">
        <v>882</v>
      </c>
      <c r="E428" s="136" t="str">
        <f>findmotif(E426,E427)</f>
        <v>12, 20, 25, 27, 30, 44, 54</v>
      </c>
      <c r="F428" s="84"/>
      <c r="G428" s="84"/>
      <c r="H428" s="84"/>
      <c r="I428" s="84"/>
      <c r="J428" s="84"/>
      <c r="K428" s="84"/>
      <c r="L428" s="84"/>
      <c r="M428" s="84"/>
      <c r="N428" s="84"/>
      <c r="O428" s="84"/>
    </row>
    <row r="429" spans="4:15" x14ac:dyDescent="0.15">
      <c r="D429" s="138" t="s">
        <v>1000</v>
      </c>
      <c r="E429" s="133" t="s">
        <v>1004</v>
      </c>
      <c r="F429" s="133"/>
      <c r="G429" s="133"/>
      <c r="H429" s="133"/>
      <c r="I429" s="133"/>
      <c r="J429" s="133"/>
      <c r="K429" s="133"/>
      <c r="L429" s="133"/>
      <c r="M429" s="133"/>
      <c r="N429" s="133"/>
      <c r="O429" s="133"/>
    </row>
    <row r="430" spans="4:15" x14ac:dyDescent="0.15">
      <c r="D430" s="138" t="s">
        <v>995</v>
      </c>
      <c r="E430" s="133" t="s">
        <v>467</v>
      </c>
      <c r="F430" s="133"/>
      <c r="G430" s="133"/>
      <c r="H430" s="133"/>
      <c r="I430" s="133"/>
      <c r="J430" s="133"/>
      <c r="K430" s="133"/>
      <c r="L430" s="133"/>
      <c r="M430" s="133"/>
      <c r="N430" s="133"/>
      <c r="O430" s="133"/>
    </row>
    <row r="431" spans="4:15" x14ac:dyDescent="0.15">
      <c r="D431" s="136" t="s">
        <v>882</v>
      </c>
      <c r="E431" s="136" t="str">
        <f>findmotif(E429,E430)</f>
        <v>15, 28, 59</v>
      </c>
      <c r="F431" s="84"/>
      <c r="G431" s="84"/>
      <c r="H431" s="84"/>
      <c r="I431" s="84"/>
      <c r="J431" s="84"/>
      <c r="K431" s="84"/>
      <c r="L431" s="84"/>
      <c r="M431" s="84"/>
      <c r="N431" s="84"/>
      <c r="O431" s="84"/>
    </row>
    <row r="432" spans="4:15" x14ac:dyDescent="0.15">
      <c r="D432" s="138" t="s">
        <v>1000</v>
      </c>
      <c r="E432" s="133" t="s">
        <v>917</v>
      </c>
      <c r="F432" s="133"/>
      <c r="G432" s="133"/>
      <c r="H432" s="133"/>
      <c r="I432" s="133"/>
      <c r="J432" s="133"/>
      <c r="K432" s="133"/>
      <c r="L432" s="133"/>
      <c r="M432" s="133"/>
      <c r="N432" s="133"/>
      <c r="O432" s="133"/>
    </row>
    <row r="433" spans="1:17" x14ac:dyDescent="0.15">
      <c r="D433" s="138" t="s">
        <v>995</v>
      </c>
      <c r="E433" s="133" t="s">
        <v>1003</v>
      </c>
      <c r="F433" s="133"/>
      <c r="G433" s="133"/>
      <c r="H433" s="133"/>
      <c r="I433" s="133"/>
      <c r="J433" s="133"/>
      <c r="K433" s="133"/>
      <c r="L433" s="133"/>
      <c r="M433" s="133"/>
      <c r="N433" s="133"/>
      <c r="O433" s="133"/>
    </row>
    <row r="434" spans="1:17" x14ac:dyDescent="0.15">
      <c r="D434" s="136" t="s">
        <v>882</v>
      </c>
      <c r="E434" s="136" t="str">
        <f>findmotif(E432,E433)</f>
        <v>14, 27</v>
      </c>
      <c r="F434" s="84"/>
      <c r="G434" s="84"/>
      <c r="H434" s="84"/>
      <c r="I434" s="84"/>
      <c r="J434" s="84"/>
      <c r="K434" s="84"/>
      <c r="L434" s="84"/>
      <c r="M434" s="139"/>
      <c r="N434" s="84"/>
      <c r="O434" s="84"/>
    </row>
    <row r="437" spans="1:17" x14ac:dyDescent="0.15">
      <c r="A437" s="66" t="s">
        <v>1011</v>
      </c>
      <c r="B437" s="67" t="s">
        <v>1022</v>
      </c>
      <c r="C437" s="67"/>
      <c r="D437" s="67"/>
      <c r="E437" s="67"/>
      <c r="F437" s="68"/>
      <c r="G437" s="67"/>
      <c r="H437" s="67"/>
      <c r="I437" s="68"/>
      <c r="J437" s="67"/>
      <c r="K437" s="68"/>
      <c r="L437" s="67"/>
      <c r="M437" s="68"/>
      <c r="N437" s="67"/>
      <c r="O437" s="67"/>
      <c r="P437" s="67"/>
      <c r="Q437" s="67"/>
    </row>
    <row r="438" spans="1:17" x14ac:dyDescent="0.15">
      <c r="C438" s="14" t="s">
        <v>1134</v>
      </c>
    </row>
    <row r="439" spans="1:17" x14ac:dyDescent="0.15">
      <c r="C439" s="14" t="s">
        <v>1021</v>
      </c>
    </row>
    <row r="441" spans="1:17" x14ac:dyDescent="0.15">
      <c r="D441" s="69" t="s">
        <v>879</v>
      </c>
      <c r="E441" s="70" t="s">
        <v>1427</v>
      </c>
      <c r="F441" s="58"/>
      <c r="G441" s="58"/>
      <c r="H441" s="58"/>
      <c r="I441" s="58"/>
      <c r="J441" s="58"/>
      <c r="K441" s="58"/>
      <c r="L441" s="71"/>
    </row>
    <row r="442" spans="1:17" x14ac:dyDescent="0.15">
      <c r="D442" s="72" t="s">
        <v>886</v>
      </c>
      <c r="E442" s="32" t="s">
        <v>1428</v>
      </c>
      <c r="F442" s="32"/>
      <c r="G442" s="32"/>
      <c r="H442" s="32"/>
      <c r="I442" s="32"/>
      <c r="J442" s="32"/>
      <c r="K442" s="32"/>
      <c r="L442" s="73"/>
    </row>
    <row r="443" spans="1:17" x14ac:dyDescent="0.15">
      <c r="D443" s="72"/>
      <c r="E443" s="32" t="s">
        <v>1429</v>
      </c>
      <c r="F443" s="32"/>
      <c r="G443" s="32"/>
      <c r="H443" s="32"/>
      <c r="I443" s="32"/>
      <c r="J443" s="32"/>
      <c r="K443" s="32"/>
      <c r="L443" s="73"/>
    </row>
    <row r="444" spans="1:17" x14ac:dyDescent="0.15">
      <c r="D444" s="74" t="s">
        <v>887</v>
      </c>
      <c r="E444" s="62" t="s">
        <v>1133</v>
      </c>
      <c r="F444" s="62"/>
      <c r="G444" s="62"/>
      <c r="H444" s="62"/>
      <c r="I444" s="62"/>
      <c r="J444" s="62"/>
      <c r="K444" s="62"/>
      <c r="L444" s="75"/>
    </row>
    <row r="446" spans="1:17" x14ac:dyDescent="0.15">
      <c r="D446" s="84"/>
      <c r="E446" s="115"/>
      <c r="F446" s="137" t="s">
        <v>1012</v>
      </c>
    </row>
    <row r="447" spans="1:17" x14ac:dyDescent="0.15">
      <c r="D447" s="138" t="s">
        <v>1000</v>
      </c>
      <c r="E447" s="133" t="s">
        <v>999</v>
      </c>
      <c r="F447" s="133"/>
      <c r="G447" s="133"/>
      <c r="H447" s="133"/>
      <c r="I447" s="133"/>
      <c r="J447" s="133"/>
      <c r="K447" s="133"/>
      <c r="L447" s="133"/>
      <c r="M447" s="133"/>
      <c r="N447" s="133"/>
      <c r="O447" s="133"/>
    </row>
    <row r="448" spans="1:17" x14ac:dyDescent="0.15">
      <c r="D448" s="138" t="s">
        <v>995</v>
      </c>
      <c r="E448" s="133" t="s">
        <v>1091</v>
      </c>
      <c r="F448" s="133"/>
      <c r="G448" s="133"/>
      <c r="H448" s="133"/>
      <c r="I448" s="133"/>
      <c r="J448" s="133"/>
      <c r="K448" s="133"/>
      <c r="L448" s="133"/>
      <c r="M448" s="133"/>
      <c r="N448" s="133"/>
      <c r="O448" s="133"/>
    </row>
    <row r="449" spans="1:17" x14ac:dyDescent="0.15">
      <c r="D449" s="136" t="s">
        <v>882</v>
      </c>
      <c r="E449" s="136" t="str">
        <f>markmotif(E447,E448)</f>
        <v>TACCGTCCAAGATTCCC[GAATTC]CATATTATGGCCTAACACACATTGGCGAAGATTTCC</v>
      </c>
      <c r="F449" s="84"/>
      <c r="G449" s="84"/>
      <c r="H449" s="84"/>
      <c r="I449" s="84"/>
      <c r="J449" s="84"/>
      <c r="K449" s="84"/>
      <c r="L449" s="84"/>
      <c r="M449" s="84"/>
      <c r="N449" s="84"/>
      <c r="O449" s="84"/>
    </row>
    <row r="450" spans="1:17" x14ac:dyDescent="0.15">
      <c r="D450" s="138" t="s">
        <v>1000</v>
      </c>
      <c r="E450" s="133" t="s">
        <v>999</v>
      </c>
      <c r="F450" s="133"/>
      <c r="G450" s="133"/>
      <c r="H450" s="133"/>
      <c r="I450" s="133"/>
      <c r="J450" s="133"/>
      <c r="K450" s="133"/>
      <c r="L450" s="133"/>
      <c r="M450" s="133"/>
      <c r="N450" s="133"/>
      <c r="O450" s="133"/>
    </row>
    <row r="451" spans="1:17" x14ac:dyDescent="0.15">
      <c r="D451" s="138" t="s">
        <v>995</v>
      </c>
      <c r="E451" s="133" t="s">
        <v>1089</v>
      </c>
      <c r="F451" s="133"/>
      <c r="G451" s="133"/>
      <c r="H451" s="133"/>
      <c r="I451" s="133"/>
      <c r="J451" s="133"/>
      <c r="K451" s="133"/>
      <c r="L451" s="133"/>
      <c r="M451" s="133"/>
      <c r="N451" s="133"/>
      <c r="O451" s="133"/>
    </row>
    <row r="452" spans="1:17" x14ac:dyDescent="0.15">
      <c r="D452" s="136" t="s">
        <v>882</v>
      </c>
      <c r="E452" s="136" t="str">
        <f>markmotif(E450,E451)</f>
        <v>T[AC]CGTCCAAGATTCCCGAATTCCATATTATGGCCTA[AC][AC][AC]ATTGGCGAAGATTTCC</v>
      </c>
      <c r="F452" s="84"/>
      <c r="G452" s="84"/>
      <c r="H452" s="84"/>
      <c r="I452" s="84"/>
      <c r="J452" s="84"/>
      <c r="K452" s="84"/>
      <c r="L452" s="84"/>
      <c r="M452" s="84"/>
      <c r="N452" s="84"/>
      <c r="O452" s="84"/>
    </row>
    <row r="453" spans="1:17" x14ac:dyDescent="0.15">
      <c r="D453" s="138" t="s">
        <v>1000</v>
      </c>
      <c r="E453" s="133" t="s">
        <v>1004</v>
      </c>
      <c r="F453" s="133"/>
      <c r="G453" s="133"/>
      <c r="H453" s="133"/>
      <c r="I453" s="133"/>
      <c r="J453" s="133"/>
      <c r="K453" s="133"/>
      <c r="L453" s="133"/>
      <c r="M453" s="133"/>
      <c r="N453" s="133"/>
      <c r="O453" s="133"/>
    </row>
    <row r="454" spans="1:17" x14ac:dyDescent="0.15">
      <c r="D454" s="138" t="s">
        <v>995</v>
      </c>
      <c r="E454" s="133" t="s">
        <v>1090</v>
      </c>
      <c r="F454" s="133"/>
      <c r="G454" s="133"/>
      <c r="H454" s="133"/>
      <c r="I454" s="133"/>
      <c r="J454" s="133"/>
      <c r="K454" s="133"/>
      <c r="L454" s="133"/>
      <c r="M454" s="133"/>
      <c r="N454" s="133"/>
      <c r="O454" s="133"/>
    </row>
    <row r="455" spans="1:17" x14ac:dyDescent="0.15">
      <c r="D455" s="136" t="s">
        <v>882</v>
      </c>
      <c r="E455" s="136" t="str">
        <f>markmotif(E453,E454)</f>
        <v>CAAGCTACAGTGTA[ATT]TACGAGCCCA[ATT]TTGCTACTGGTCACCCTCTGACTCAACAAT</v>
      </c>
      <c r="F455" s="84"/>
      <c r="G455" s="84"/>
      <c r="H455" s="84"/>
      <c r="I455" s="84"/>
      <c r="J455" s="84"/>
      <c r="K455" s="84"/>
      <c r="L455" s="84"/>
      <c r="M455" s="84"/>
      <c r="N455" s="84"/>
      <c r="O455" s="84"/>
    </row>
    <row r="456" spans="1:17" x14ac:dyDescent="0.15">
      <c r="D456" s="138" t="s">
        <v>1000</v>
      </c>
      <c r="E456" s="133" t="s">
        <v>917</v>
      </c>
      <c r="F456" s="133"/>
      <c r="G456" s="133"/>
      <c r="H456" s="133"/>
      <c r="I456" s="133"/>
      <c r="J456" s="133"/>
      <c r="K456" s="133"/>
      <c r="L456" s="133"/>
      <c r="M456" s="133"/>
      <c r="N456" s="133"/>
      <c r="O456" s="133"/>
    </row>
    <row r="457" spans="1:17" x14ac:dyDescent="0.15">
      <c r="D457" s="138" t="s">
        <v>995</v>
      </c>
      <c r="E457" s="133" t="s">
        <v>1003</v>
      </c>
      <c r="F457" s="133"/>
      <c r="G457" s="133"/>
      <c r="H457" s="133"/>
      <c r="I457" s="133"/>
      <c r="J457" s="133"/>
      <c r="K457" s="133"/>
      <c r="L457" s="133"/>
      <c r="M457" s="133"/>
      <c r="N457" s="133"/>
      <c r="O457" s="133"/>
    </row>
    <row r="458" spans="1:17" x14ac:dyDescent="0.15">
      <c r="D458" s="136" t="s">
        <v>882</v>
      </c>
      <c r="E458" s="136" t="str">
        <f>markmotif(E456,E457)</f>
        <v>CAAGCTACAGTGT[AATT]TACGAGCCC[AATT]TTGCTACTGGTCACCCTCTGACTCAACAAT</v>
      </c>
      <c r="F458" s="84"/>
      <c r="G458" s="84"/>
      <c r="H458" s="84"/>
      <c r="I458" s="84"/>
      <c r="J458" s="84"/>
      <c r="K458" s="84"/>
      <c r="L458" s="84"/>
      <c r="M458" s="139"/>
      <c r="N458" s="84"/>
      <c r="O458" s="84"/>
    </row>
    <row r="461" spans="1:17" x14ac:dyDescent="0.15">
      <c r="A461" s="66" t="s">
        <v>1253</v>
      </c>
      <c r="B461" s="67" t="s">
        <v>1594</v>
      </c>
      <c r="C461" s="67"/>
      <c r="D461" s="67"/>
      <c r="E461" s="67"/>
      <c r="F461" s="68"/>
      <c r="G461" s="67"/>
      <c r="H461" s="67"/>
      <c r="I461" s="68"/>
      <c r="J461" s="67"/>
      <c r="K461" s="68"/>
      <c r="L461" s="67"/>
      <c r="M461" s="68"/>
      <c r="N461" s="67"/>
      <c r="O461" s="67"/>
      <c r="P461" s="67"/>
      <c r="Q461" s="67"/>
    </row>
    <row r="462" spans="1:17" x14ac:dyDescent="0.15">
      <c r="C462" s="14" t="s">
        <v>1224</v>
      </c>
    </row>
    <row r="463" spans="1:17" x14ac:dyDescent="0.15">
      <c r="C463" s="14" t="s">
        <v>1021</v>
      </c>
    </row>
    <row r="464" spans="1:17" x14ac:dyDescent="0.15">
      <c r="C464" s="141" t="s">
        <v>950</v>
      </c>
      <c r="D464" s="14" t="s">
        <v>1010</v>
      </c>
    </row>
    <row r="466" spans="4:15" x14ac:dyDescent="0.15">
      <c r="D466" s="69" t="s">
        <v>879</v>
      </c>
      <c r="E466" s="70" t="s">
        <v>1430</v>
      </c>
      <c r="F466" s="58"/>
      <c r="G466" s="58"/>
      <c r="H466" s="58"/>
      <c r="I466" s="58"/>
      <c r="J466" s="58"/>
      <c r="K466" s="58"/>
      <c r="L466" s="71"/>
    </row>
    <row r="467" spans="4:15" x14ac:dyDescent="0.15">
      <c r="D467" s="72" t="s">
        <v>886</v>
      </c>
      <c r="E467" s="32" t="s">
        <v>1431</v>
      </c>
      <c r="F467" s="32"/>
      <c r="G467" s="32"/>
      <c r="H467" s="32"/>
      <c r="I467" s="32"/>
      <c r="J467" s="32"/>
      <c r="K467" s="32"/>
      <c r="L467" s="73"/>
    </row>
    <row r="468" spans="4:15" x14ac:dyDescent="0.15">
      <c r="D468" s="72"/>
      <c r="E468" s="32" t="s">
        <v>1432</v>
      </c>
      <c r="F468" s="32"/>
      <c r="G468" s="32"/>
      <c r="H468" s="32"/>
      <c r="I468" s="32"/>
      <c r="J468" s="32"/>
      <c r="K468" s="32"/>
      <c r="L468" s="73"/>
    </row>
    <row r="469" spans="4:15" x14ac:dyDescent="0.15">
      <c r="D469" s="74" t="s">
        <v>887</v>
      </c>
      <c r="E469" s="62" t="s">
        <v>1230</v>
      </c>
      <c r="F469" s="62"/>
      <c r="G469" s="62"/>
      <c r="H469" s="62"/>
      <c r="I469" s="62"/>
      <c r="J469" s="62"/>
      <c r="K469" s="62"/>
      <c r="L469" s="75"/>
    </row>
    <row r="471" spans="4:15" x14ac:dyDescent="0.15">
      <c r="D471" s="84"/>
      <c r="E471" s="115"/>
      <c r="F471" s="137" t="s">
        <v>1225</v>
      </c>
    </row>
    <row r="472" spans="4:15" x14ac:dyDescent="0.15">
      <c r="D472" s="138" t="s">
        <v>1226</v>
      </c>
      <c r="E472" s="133" t="s">
        <v>999</v>
      </c>
      <c r="F472" s="133"/>
      <c r="G472" s="133"/>
      <c r="H472" s="133"/>
      <c r="I472" s="133"/>
      <c r="J472" s="133"/>
      <c r="K472" s="133"/>
      <c r="L472" s="133"/>
      <c r="M472" s="133"/>
      <c r="N472" s="133"/>
      <c r="O472" s="133"/>
    </row>
    <row r="473" spans="4:15" x14ac:dyDescent="0.15">
      <c r="D473" s="138" t="s">
        <v>1223</v>
      </c>
      <c r="E473" s="133" t="s">
        <v>1595</v>
      </c>
      <c r="F473" s="133"/>
      <c r="G473" s="133"/>
      <c r="H473" s="133"/>
      <c r="I473" s="133"/>
      <c r="J473" s="133"/>
      <c r="K473" s="133"/>
      <c r="L473" s="133"/>
      <c r="M473" s="133"/>
      <c r="N473" s="133"/>
      <c r="O473" s="133"/>
    </row>
    <row r="474" spans="4:15" ht="33" customHeight="1" x14ac:dyDescent="0.15">
      <c r="D474" s="136" t="s">
        <v>882</v>
      </c>
      <c r="E474" s="309" t="str">
        <f>matchseq(E472,E473)</f>
        <v>R:TACCGTCCAAGATTCCCGAATTCCATATTATGGCCTAACACACATTGGCGAAGATTTCC_x000D_
Q:TACCGTCCAA</v>
      </c>
      <c r="F474" s="309"/>
      <c r="G474" s="309"/>
      <c r="H474" s="309"/>
      <c r="I474" s="309"/>
      <c r="J474" s="309"/>
      <c r="K474" s="309"/>
      <c r="L474" s="309"/>
      <c r="M474" s="309"/>
      <c r="N474" s="309"/>
      <c r="O474" s="309"/>
    </row>
    <row r="475" spans="4:15" x14ac:dyDescent="0.15">
      <c r="D475" s="138" t="s">
        <v>1226</v>
      </c>
      <c r="E475" s="133" t="s">
        <v>999</v>
      </c>
      <c r="F475" s="133"/>
      <c r="G475" s="133"/>
      <c r="H475" s="133"/>
      <c r="I475" s="133"/>
      <c r="J475" s="133"/>
      <c r="K475" s="133"/>
      <c r="L475" s="133"/>
      <c r="M475" s="133"/>
      <c r="N475" s="133"/>
      <c r="O475" s="133"/>
    </row>
    <row r="476" spans="4:15" x14ac:dyDescent="0.15">
      <c r="D476" s="138" t="s">
        <v>1223</v>
      </c>
      <c r="E476" s="133" t="s">
        <v>1596</v>
      </c>
      <c r="F476" s="133"/>
      <c r="G476" s="133"/>
      <c r="H476" s="133"/>
      <c r="I476" s="133"/>
      <c r="J476" s="133"/>
      <c r="K476" s="133"/>
      <c r="L476" s="133"/>
      <c r="M476" s="133"/>
      <c r="N476" s="133"/>
      <c r="O476" s="133"/>
    </row>
    <row r="477" spans="4:15" ht="33" customHeight="1" x14ac:dyDescent="0.15">
      <c r="D477" s="136" t="s">
        <v>1246</v>
      </c>
      <c r="E477" s="309" t="str">
        <f>matchseq(E475,E476)</f>
        <v>R:TACCGTCCAAGATTCCCGAATTCCATATTATGGCCTAACACACATTGGCGAAGATTTCC_x000D_
Q:TACCGTCCAAGATT........CCATA..ATGGCCTAACACACATTGGCGAAGATTTCC</v>
      </c>
      <c r="F477" s="309"/>
      <c r="G477" s="309"/>
      <c r="H477" s="309"/>
      <c r="I477" s="309"/>
      <c r="J477" s="309"/>
      <c r="K477" s="309"/>
      <c r="L477" s="309"/>
      <c r="M477" s="309"/>
      <c r="N477" s="309"/>
      <c r="O477" s="309"/>
    </row>
    <row r="478" spans="4:15" x14ac:dyDescent="0.15">
      <c r="D478" s="138" t="s">
        <v>1226</v>
      </c>
      <c r="E478" s="133" t="s">
        <v>999</v>
      </c>
      <c r="F478" s="133"/>
      <c r="G478" s="133"/>
      <c r="H478" s="133"/>
      <c r="I478" s="133"/>
      <c r="J478" s="133"/>
      <c r="K478" s="133"/>
      <c r="L478" s="133"/>
      <c r="M478" s="133"/>
      <c r="N478" s="133"/>
      <c r="O478" s="133"/>
    </row>
    <row r="479" spans="4:15" x14ac:dyDescent="0.15">
      <c r="D479" s="138" t="s">
        <v>1223</v>
      </c>
      <c r="E479" s="133" t="s">
        <v>1228</v>
      </c>
      <c r="F479" s="133"/>
      <c r="G479" s="133"/>
      <c r="H479" s="133"/>
      <c r="I479" s="133"/>
      <c r="J479" s="133"/>
      <c r="K479" s="133"/>
      <c r="L479" s="133"/>
      <c r="M479" s="133"/>
      <c r="N479" s="133"/>
      <c r="O479" s="133"/>
    </row>
    <row r="480" spans="4:15" ht="33" customHeight="1" x14ac:dyDescent="0.15">
      <c r="D480" s="136" t="s">
        <v>882</v>
      </c>
      <c r="E480" s="309" t="str">
        <f>matchseq(E478,E479)</f>
        <v>R:TACCGTCCAAGATTCCCGAATTCCATATTATGGCCTAACACACATTGGCGAAGATTTCC_x000D_
Q:TACCGTCCAAGATTCCCGAATTCCATATTATGGCCTAA......TTGGCGAAGATTTCC</v>
      </c>
      <c r="F480" s="309"/>
      <c r="G480" s="309"/>
      <c r="H480" s="309"/>
      <c r="I480" s="309"/>
      <c r="J480" s="309"/>
      <c r="K480" s="309"/>
      <c r="L480" s="309"/>
      <c r="M480" s="309"/>
      <c r="N480" s="309"/>
      <c r="O480" s="309"/>
    </row>
    <row r="481" spans="1:17" x14ac:dyDescent="0.15">
      <c r="D481" s="138" t="s">
        <v>1226</v>
      </c>
      <c r="E481" s="133" t="s">
        <v>999</v>
      </c>
      <c r="F481" s="133"/>
      <c r="G481" s="133"/>
      <c r="H481" s="133"/>
      <c r="I481" s="133"/>
      <c r="J481" s="133"/>
      <c r="K481" s="133"/>
      <c r="L481" s="133"/>
      <c r="M481" s="133"/>
      <c r="N481" s="133"/>
      <c r="O481" s="133"/>
    </row>
    <row r="482" spans="1:17" x14ac:dyDescent="0.15">
      <c r="D482" s="138" t="s">
        <v>1223</v>
      </c>
      <c r="E482" s="133" t="s">
        <v>1229</v>
      </c>
      <c r="F482" s="133"/>
      <c r="G482" s="133"/>
      <c r="H482" s="133"/>
      <c r="I482" s="133"/>
      <c r="J482" s="133"/>
      <c r="K482" s="133"/>
      <c r="L482" s="133"/>
      <c r="M482" s="133"/>
      <c r="N482" s="133"/>
      <c r="O482" s="133"/>
    </row>
    <row r="483" spans="1:17" ht="30" customHeight="1" x14ac:dyDescent="0.15">
      <c r="D483" s="136" t="s">
        <v>882</v>
      </c>
      <c r="E483" s="309" t="str">
        <f>matchseq(E481,E482)</f>
        <v>R:TACCGTCCAAGATTCCCGAATTCCATATTATGGCCTAACACACATTGGCGAAGATTTCC_x000D_
Q:TACCGTCCAAGATTCCCGAATTCCATATTATGGCCTAA....C...G......</v>
      </c>
      <c r="F483" s="309"/>
      <c r="G483" s="309"/>
      <c r="H483" s="309"/>
      <c r="I483" s="309"/>
      <c r="J483" s="309"/>
      <c r="K483" s="309"/>
      <c r="L483" s="309"/>
      <c r="M483" s="309"/>
      <c r="N483" s="309"/>
      <c r="O483" s="309"/>
    </row>
    <row r="485" spans="1:17" x14ac:dyDescent="0.15">
      <c r="C485" s="16" t="s">
        <v>433</v>
      </c>
      <c r="D485" s="14" t="s">
        <v>1433</v>
      </c>
    </row>
    <row r="487" spans="1:17" x14ac:dyDescent="0.15">
      <c r="A487" s="66" t="s">
        <v>1251</v>
      </c>
      <c r="B487" s="67" t="s">
        <v>1252</v>
      </c>
      <c r="C487" s="67"/>
      <c r="D487" s="67"/>
      <c r="E487" s="67"/>
      <c r="F487" s="68"/>
      <c r="G487" s="67"/>
      <c r="H487" s="67"/>
      <c r="I487" s="68"/>
      <c r="J487" s="67"/>
      <c r="K487" s="68"/>
      <c r="L487" s="67"/>
      <c r="M487" s="68"/>
      <c r="N487" s="67"/>
      <c r="O487" s="67"/>
      <c r="P487" s="67"/>
      <c r="Q487" s="67"/>
    </row>
    <row r="488" spans="1:17" x14ac:dyDescent="0.15">
      <c r="C488" s="14" t="s">
        <v>1250</v>
      </c>
    </row>
    <row r="489" spans="1:17" x14ac:dyDescent="0.15">
      <c r="C489" s="14" t="s">
        <v>1021</v>
      </c>
    </row>
    <row r="491" spans="1:17" x14ac:dyDescent="0.15">
      <c r="D491" s="69" t="s">
        <v>879</v>
      </c>
      <c r="E491" s="70" t="s">
        <v>1434</v>
      </c>
      <c r="F491" s="58"/>
      <c r="G491" s="58"/>
      <c r="H491" s="58"/>
      <c r="I491" s="58"/>
      <c r="J491" s="58"/>
      <c r="K491" s="58"/>
      <c r="L491" s="71"/>
    </row>
    <row r="492" spans="1:17" x14ac:dyDescent="0.15">
      <c r="D492" s="72" t="s">
        <v>886</v>
      </c>
      <c r="E492" s="32" t="s">
        <v>1435</v>
      </c>
      <c r="F492" s="32"/>
      <c r="G492" s="32"/>
      <c r="H492" s="32"/>
      <c r="I492" s="32"/>
      <c r="J492" s="32"/>
      <c r="K492" s="32"/>
      <c r="L492" s="73"/>
    </row>
    <row r="493" spans="1:17" x14ac:dyDescent="0.15">
      <c r="D493" s="72"/>
      <c r="E493" s="32" t="s">
        <v>1436</v>
      </c>
      <c r="F493" s="32"/>
      <c r="G493" s="32"/>
      <c r="H493" s="32"/>
      <c r="I493" s="32"/>
      <c r="J493" s="32"/>
      <c r="K493" s="32"/>
      <c r="L493" s="73"/>
    </row>
    <row r="494" spans="1:17" x14ac:dyDescent="0.15">
      <c r="D494" s="74" t="s">
        <v>887</v>
      </c>
      <c r="E494" s="62" t="s">
        <v>1249</v>
      </c>
      <c r="F494" s="62"/>
      <c r="G494" s="62"/>
      <c r="H494" s="62"/>
      <c r="I494" s="62"/>
      <c r="J494" s="62"/>
      <c r="K494" s="62"/>
      <c r="L494" s="75"/>
    </row>
    <row r="496" spans="1:17" x14ac:dyDescent="0.15">
      <c r="D496" s="84"/>
      <c r="E496" s="115"/>
      <c r="F496" s="137" t="s">
        <v>1225</v>
      </c>
    </row>
    <row r="497" spans="1:17" x14ac:dyDescent="0.15">
      <c r="D497" s="138" t="s">
        <v>1226</v>
      </c>
      <c r="E497" s="133" t="s">
        <v>999</v>
      </c>
      <c r="F497" s="133"/>
      <c r="G497" s="133"/>
      <c r="H497" s="133"/>
      <c r="I497" s="133"/>
      <c r="J497" s="133"/>
      <c r="K497" s="133"/>
      <c r="L497" s="133"/>
      <c r="M497" s="133"/>
      <c r="N497" s="133"/>
      <c r="O497" s="133"/>
    </row>
    <row r="498" spans="1:17" x14ac:dyDescent="0.15">
      <c r="D498" s="138" t="s">
        <v>1223</v>
      </c>
      <c r="E498" s="133" t="s">
        <v>1247</v>
      </c>
      <c r="F498" s="133"/>
      <c r="G498" s="133"/>
      <c r="H498" s="133"/>
      <c r="I498" s="133"/>
      <c r="J498" s="133"/>
      <c r="K498" s="133"/>
      <c r="L498" s="133"/>
      <c r="M498" s="133"/>
      <c r="N498" s="133"/>
      <c r="O498" s="133"/>
    </row>
    <row r="499" spans="1:17" x14ac:dyDescent="0.15">
      <c r="D499" s="136" t="s">
        <v>882</v>
      </c>
      <c r="E499" s="308">
        <f>matchscore(E497,E498)</f>
        <v>1</v>
      </c>
      <c r="F499" s="308"/>
      <c r="G499" s="308"/>
      <c r="H499" s="308"/>
      <c r="I499" s="308"/>
      <c r="J499" s="308"/>
      <c r="K499" s="308"/>
      <c r="L499" s="308"/>
      <c r="M499" s="308"/>
      <c r="N499" s="308"/>
      <c r="O499" s="308"/>
    </row>
    <row r="500" spans="1:17" x14ac:dyDescent="0.15">
      <c r="D500" s="138" t="s">
        <v>1226</v>
      </c>
      <c r="E500" s="133" t="s">
        <v>999</v>
      </c>
      <c r="F500" s="133"/>
      <c r="G500" s="133"/>
      <c r="H500" s="133"/>
      <c r="I500" s="133"/>
      <c r="J500" s="133"/>
      <c r="K500" s="133"/>
      <c r="L500" s="133"/>
      <c r="M500" s="133"/>
      <c r="N500" s="133"/>
      <c r="O500" s="133"/>
    </row>
    <row r="501" spans="1:17" x14ac:dyDescent="0.15">
      <c r="D501" s="138" t="s">
        <v>1223</v>
      </c>
      <c r="E501" s="133" t="s">
        <v>1227</v>
      </c>
      <c r="F501" s="133"/>
      <c r="G501" s="133"/>
      <c r="H501" s="133"/>
      <c r="I501" s="133"/>
      <c r="J501" s="133"/>
      <c r="K501" s="133"/>
      <c r="L501" s="133"/>
      <c r="M501" s="133"/>
      <c r="N501" s="133"/>
      <c r="O501" s="133"/>
    </row>
    <row r="502" spans="1:17" ht="16.5" customHeight="1" x14ac:dyDescent="0.15">
      <c r="D502" s="136" t="s">
        <v>1246</v>
      </c>
      <c r="E502" s="309">
        <f>matchscore(E500,E501)</f>
        <v>0.96610169491525422</v>
      </c>
      <c r="F502" s="309"/>
      <c r="G502" s="309"/>
      <c r="H502" s="309"/>
      <c r="I502" s="309"/>
      <c r="J502" s="309"/>
      <c r="K502" s="309"/>
      <c r="L502" s="309"/>
      <c r="M502" s="309"/>
      <c r="N502" s="309"/>
      <c r="O502" s="309"/>
    </row>
    <row r="503" spans="1:17" x14ac:dyDescent="0.15">
      <c r="D503" s="138" t="s">
        <v>1226</v>
      </c>
      <c r="E503" s="133" t="s">
        <v>999</v>
      </c>
      <c r="F503" s="133"/>
      <c r="G503" s="133"/>
      <c r="H503" s="133"/>
      <c r="I503" s="133"/>
      <c r="J503" s="133"/>
      <c r="K503" s="133"/>
      <c r="L503" s="133"/>
      <c r="M503" s="133"/>
      <c r="N503" s="133"/>
      <c r="O503" s="133"/>
    </row>
    <row r="504" spans="1:17" x14ac:dyDescent="0.15">
      <c r="D504" s="138" t="s">
        <v>1223</v>
      </c>
      <c r="E504" s="133" t="s">
        <v>1228</v>
      </c>
      <c r="F504" s="133"/>
      <c r="G504" s="133"/>
      <c r="H504" s="133"/>
      <c r="I504" s="133"/>
      <c r="J504" s="133"/>
      <c r="K504" s="133"/>
      <c r="L504" s="133"/>
      <c r="M504" s="133"/>
      <c r="N504" s="133"/>
      <c r="O504" s="133"/>
    </row>
    <row r="505" spans="1:17" ht="16.5" customHeight="1" x14ac:dyDescent="0.15">
      <c r="D505" s="136" t="s">
        <v>882</v>
      </c>
      <c r="E505" s="309">
        <f>matchscore(E503,E504)</f>
        <v>0.89830508474576276</v>
      </c>
      <c r="F505" s="309"/>
      <c r="G505" s="309"/>
      <c r="H505" s="309"/>
      <c r="I505" s="309"/>
      <c r="J505" s="309"/>
      <c r="K505" s="309"/>
      <c r="L505" s="309"/>
      <c r="M505" s="309"/>
      <c r="N505" s="309"/>
      <c r="O505" s="309"/>
    </row>
    <row r="506" spans="1:17" x14ac:dyDescent="0.15">
      <c r="D506" s="138" t="s">
        <v>1226</v>
      </c>
      <c r="E506" s="133" t="s">
        <v>999</v>
      </c>
      <c r="F506" s="133"/>
      <c r="G506" s="133"/>
      <c r="H506" s="133"/>
      <c r="I506" s="133"/>
      <c r="J506" s="133"/>
      <c r="K506" s="133"/>
      <c r="L506" s="133"/>
      <c r="M506" s="133"/>
      <c r="N506" s="133"/>
      <c r="O506" s="133"/>
    </row>
    <row r="507" spans="1:17" x14ac:dyDescent="0.15">
      <c r="D507" s="138" t="s">
        <v>1223</v>
      </c>
      <c r="E507" s="133" t="s">
        <v>1229</v>
      </c>
      <c r="F507" s="133"/>
      <c r="G507" s="133"/>
      <c r="H507" s="133"/>
      <c r="I507" s="133"/>
      <c r="J507" s="133"/>
      <c r="K507" s="133"/>
      <c r="L507" s="133"/>
      <c r="M507" s="133"/>
      <c r="N507" s="133"/>
      <c r="O507" s="133"/>
    </row>
    <row r="508" spans="1:17" ht="16.5" customHeight="1" x14ac:dyDescent="0.15">
      <c r="D508" s="136" t="s">
        <v>882</v>
      </c>
      <c r="E508" s="309">
        <f>matchscore(E506,E507)</f>
        <v>0.67796610169491522</v>
      </c>
      <c r="F508" s="309"/>
      <c r="G508" s="309"/>
      <c r="H508" s="309"/>
      <c r="I508" s="309"/>
      <c r="J508" s="309"/>
      <c r="K508" s="309"/>
      <c r="L508" s="309"/>
      <c r="M508" s="309"/>
      <c r="N508" s="309"/>
      <c r="O508" s="309"/>
    </row>
    <row r="510" spans="1:17" x14ac:dyDescent="0.15">
      <c r="C510" s="16" t="s">
        <v>433</v>
      </c>
      <c r="D510" s="14" t="s">
        <v>1437</v>
      </c>
    </row>
    <row r="512" spans="1:17" x14ac:dyDescent="0.15">
      <c r="A512" s="66" t="s">
        <v>1254</v>
      </c>
      <c r="B512" s="67" t="s">
        <v>1239</v>
      </c>
      <c r="C512" s="67"/>
      <c r="D512" s="67"/>
      <c r="E512" s="67"/>
      <c r="F512" s="68"/>
      <c r="G512" s="67"/>
      <c r="H512" s="67"/>
      <c r="I512" s="68"/>
      <c r="J512" s="67"/>
      <c r="K512" s="68"/>
      <c r="L512" s="67"/>
      <c r="M512" s="68"/>
      <c r="N512" s="67"/>
      <c r="O512" s="67"/>
      <c r="P512" s="67"/>
      <c r="Q512" s="67"/>
    </row>
    <row r="513" spans="3:14" x14ac:dyDescent="0.15">
      <c r="C513" s="14" t="s">
        <v>1600</v>
      </c>
    </row>
    <row r="514" spans="3:14" x14ac:dyDescent="0.15">
      <c r="C514" s="14" t="s">
        <v>1240</v>
      </c>
    </row>
    <row r="515" spans="3:14" x14ac:dyDescent="0.15">
      <c r="C515" s="14" t="s">
        <v>1021</v>
      </c>
    </row>
    <row r="517" spans="3:14" x14ac:dyDescent="0.15">
      <c r="D517" s="69" t="s">
        <v>879</v>
      </c>
      <c r="E517" s="70" t="s">
        <v>1606</v>
      </c>
      <c r="F517" s="58"/>
      <c r="G517" s="58"/>
      <c r="H517" s="58"/>
      <c r="I517" s="58"/>
      <c r="J517" s="58"/>
      <c r="K517" s="58"/>
      <c r="L517" s="71"/>
    </row>
    <row r="518" spans="3:14" x14ac:dyDescent="0.15">
      <c r="D518" s="72" t="s">
        <v>886</v>
      </c>
      <c r="E518" s="32" t="s">
        <v>1438</v>
      </c>
      <c r="F518" s="32"/>
      <c r="G518" s="32"/>
      <c r="H518" s="32"/>
      <c r="I518" s="32"/>
      <c r="J518" s="32"/>
      <c r="K518" s="32"/>
      <c r="L518" s="73"/>
    </row>
    <row r="519" spans="3:14" x14ac:dyDescent="0.15">
      <c r="D519" s="72"/>
      <c r="E519" s="32" t="s">
        <v>1607</v>
      </c>
      <c r="F519" s="32"/>
      <c r="G519" s="32"/>
      <c r="H519" s="32"/>
      <c r="I519" s="32"/>
      <c r="J519" s="32"/>
      <c r="K519" s="32"/>
      <c r="L519" s="73"/>
    </row>
    <row r="520" spans="3:14" x14ac:dyDescent="0.15">
      <c r="D520" s="74" t="s">
        <v>887</v>
      </c>
      <c r="E520" s="62" t="s">
        <v>1243</v>
      </c>
      <c r="F520" s="62"/>
      <c r="G520" s="62"/>
      <c r="H520" s="62"/>
      <c r="I520" s="62"/>
      <c r="J520" s="62"/>
      <c r="K520" s="62"/>
      <c r="L520" s="75"/>
    </row>
    <row r="523" spans="3:14" x14ac:dyDescent="0.15">
      <c r="D523" s="138" t="s">
        <v>1231</v>
      </c>
      <c r="E523" s="133" t="s">
        <v>1602</v>
      </c>
      <c r="F523" s="133"/>
      <c r="G523" s="133"/>
      <c r="H523" s="133"/>
      <c r="I523" s="133"/>
      <c r="J523" s="133"/>
      <c r="K523" s="133"/>
      <c r="L523" s="133"/>
      <c r="M523" s="133"/>
      <c r="N523" s="133"/>
    </row>
    <row r="524" spans="3:14" x14ac:dyDescent="0.15">
      <c r="D524" s="133" t="s">
        <v>1232</v>
      </c>
      <c r="E524" s="133">
        <v>1</v>
      </c>
      <c r="F524" s="133"/>
      <c r="G524" s="133"/>
      <c r="H524" s="133"/>
      <c r="I524" s="133"/>
      <c r="J524" s="133"/>
      <c r="K524" s="133"/>
      <c r="L524" s="133"/>
      <c r="M524" s="133"/>
      <c r="N524" s="133"/>
    </row>
    <row r="525" spans="3:14" x14ac:dyDescent="0.15">
      <c r="D525" s="136" t="s">
        <v>882</v>
      </c>
      <c r="E525" s="136" t="str">
        <f>prune(E523,E524)</f>
        <v>A/C</v>
      </c>
      <c r="F525" s="136"/>
      <c r="G525" s="136"/>
      <c r="H525" s="136"/>
      <c r="I525" s="136"/>
      <c r="J525" s="136"/>
      <c r="K525" s="136"/>
      <c r="L525" s="136"/>
      <c r="M525" s="136"/>
      <c r="N525" s="136"/>
    </row>
    <row r="526" spans="3:14" x14ac:dyDescent="0.15">
      <c r="D526" s="138" t="s">
        <v>1231</v>
      </c>
      <c r="E526" s="133" t="s">
        <v>1233</v>
      </c>
      <c r="F526" s="133"/>
      <c r="G526" s="133"/>
      <c r="H526" s="133"/>
      <c r="I526" s="133"/>
      <c r="J526" s="133"/>
      <c r="K526" s="133"/>
      <c r="L526" s="133"/>
      <c r="M526" s="133"/>
      <c r="N526" s="133"/>
    </row>
    <row r="527" spans="3:14" x14ac:dyDescent="0.15">
      <c r="D527" s="133" t="s">
        <v>1232</v>
      </c>
      <c r="E527" s="133"/>
      <c r="F527" s="133" t="s">
        <v>1241</v>
      </c>
      <c r="G527" s="133"/>
      <c r="H527" s="133"/>
      <c r="I527" s="133"/>
      <c r="J527" s="133"/>
      <c r="K527" s="133"/>
      <c r="L527" s="133"/>
      <c r="M527" s="133"/>
      <c r="N527" s="133"/>
    </row>
    <row r="528" spans="3:14" x14ac:dyDescent="0.15">
      <c r="D528" s="136" t="s">
        <v>882</v>
      </c>
      <c r="E528" s="136" t="str">
        <f>prune(E526)</f>
        <v>A/C</v>
      </c>
      <c r="F528" s="136"/>
      <c r="G528" s="136"/>
      <c r="H528" s="136"/>
      <c r="I528" s="136"/>
      <c r="J528" s="136"/>
      <c r="K528" s="136"/>
      <c r="L528" s="136"/>
      <c r="M528" s="136"/>
      <c r="N528" s="136"/>
    </row>
    <row r="529" spans="1:17" x14ac:dyDescent="0.15">
      <c r="D529" s="138" t="s">
        <v>1231</v>
      </c>
      <c r="E529" s="133" t="s">
        <v>1234</v>
      </c>
      <c r="F529" s="133"/>
      <c r="G529" s="133"/>
      <c r="H529" s="133"/>
      <c r="I529" s="133"/>
      <c r="J529" s="133"/>
      <c r="K529" s="133"/>
      <c r="L529" s="133"/>
      <c r="M529" s="133"/>
      <c r="N529" s="133"/>
    </row>
    <row r="530" spans="1:17" x14ac:dyDescent="0.15">
      <c r="D530" s="133" t="s">
        <v>1232</v>
      </c>
      <c r="E530" s="133"/>
      <c r="F530" s="133" t="s">
        <v>1241</v>
      </c>
      <c r="G530" s="133"/>
      <c r="H530" s="133"/>
      <c r="I530" s="133"/>
      <c r="J530" s="133"/>
      <c r="K530" s="133"/>
      <c r="L530" s="133"/>
      <c r="M530" s="133"/>
      <c r="N530" s="133"/>
    </row>
    <row r="531" spans="1:17" x14ac:dyDescent="0.15">
      <c r="D531" s="136" t="s">
        <v>882</v>
      </c>
      <c r="E531" s="136" t="str">
        <f>prune(E529)</f>
        <v>T</v>
      </c>
      <c r="F531" s="136" t="s">
        <v>1236</v>
      </c>
      <c r="G531" s="136"/>
      <c r="H531" s="136"/>
      <c r="I531" s="136"/>
      <c r="J531" s="136"/>
      <c r="K531" s="136"/>
      <c r="L531" s="136"/>
      <c r="M531" s="136"/>
      <c r="N531" s="136"/>
    </row>
    <row r="532" spans="1:17" x14ac:dyDescent="0.15">
      <c r="D532" s="138" t="s">
        <v>1231</v>
      </c>
      <c r="E532" s="133" t="s">
        <v>1235</v>
      </c>
      <c r="F532" s="133"/>
      <c r="G532" s="133"/>
      <c r="H532" s="133"/>
      <c r="I532" s="133"/>
      <c r="J532" s="133"/>
      <c r="K532" s="133"/>
      <c r="L532" s="133"/>
      <c r="M532" s="133"/>
      <c r="N532" s="133"/>
    </row>
    <row r="533" spans="1:17" x14ac:dyDescent="0.15">
      <c r="D533" s="133" t="s">
        <v>1232</v>
      </c>
      <c r="E533" s="133">
        <v>2</v>
      </c>
      <c r="F533" s="133"/>
      <c r="G533" s="133"/>
      <c r="H533" s="133"/>
      <c r="I533" s="133"/>
      <c r="J533" s="133"/>
      <c r="K533" s="133"/>
      <c r="L533" s="133"/>
      <c r="M533" s="133"/>
      <c r="N533" s="133"/>
    </row>
    <row r="534" spans="1:17" x14ac:dyDescent="0.15">
      <c r="D534" s="136" t="s">
        <v>882</v>
      </c>
      <c r="E534" s="136" t="str">
        <f>prune(E532,E533)</f>
        <v>G/A</v>
      </c>
      <c r="F534" s="136"/>
      <c r="G534" s="136"/>
      <c r="H534" s="136"/>
      <c r="I534" s="136"/>
      <c r="J534" s="136"/>
      <c r="K534" s="136"/>
      <c r="L534" s="136"/>
      <c r="M534" s="136"/>
      <c r="N534" s="136"/>
    </row>
    <row r="535" spans="1:17" x14ac:dyDescent="0.15">
      <c r="D535" s="138" t="s">
        <v>1231</v>
      </c>
      <c r="E535" s="133" t="s">
        <v>1237</v>
      </c>
      <c r="F535" s="133"/>
      <c r="G535" s="133"/>
      <c r="H535" s="133"/>
      <c r="I535" s="133"/>
      <c r="J535" s="133"/>
      <c r="K535" s="133"/>
      <c r="L535" s="133"/>
      <c r="M535" s="133"/>
      <c r="N535" s="133"/>
    </row>
    <row r="536" spans="1:17" x14ac:dyDescent="0.15">
      <c r="D536" s="133" t="s">
        <v>1232</v>
      </c>
      <c r="E536" s="133">
        <v>1</v>
      </c>
      <c r="F536" s="133"/>
      <c r="G536" s="133"/>
      <c r="H536" s="133"/>
      <c r="I536" s="133"/>
      <c r="J536" s="133"/>
      <c r="K536" s="133"/>
      <c r="L536" s="133"/>
      <c r="M536" s="133"/>
      <c r="N536" s="133"/>
    </row>
    <row r="537" spans="1:17" x14ac:dyDescent="0.15">
      <c r="D537" s="136" t="s">
        <v>882</v>
      </c>
      <c r="E537" s="136" t="str">
        <f>prune(E535,E536)</f>
        <v/>
      </c>
      <c r="F537" s="136" t="s">
        <v>1242</v>
      </c>
      <c r="G537" s="136"/>
      <c r="H537" s="136"/>
      <c r="I537" s="136"/>
      <c r="J537" s="136"/>
      <c r="K537" s="136"/>
      <c r="L537" s="136"/>
      <c r="M537" s="136"/>
      <c r="N537" s="136"/>
    </row>
    <row r="538" spans="1:17" x14ac:dyDescent="0.15">
      <c r="D538" s="138" t="s">
        <v>1231</v>
      </c>
      <c r="E538" s="133" t="s">
        <v>1248</v>
      </c>
      <c r="F538" s="133"/>
      <c r="G538" s="133"/>
      <c r="H538" s="133"/>
      <c r="I538" s="133"/>
      <c r="J538" s="133"/>
      <c r="K538" s="133"/>
      <c r="L538" s="133"/>
      <c r="M538" s="133"/>
      <c r="N538" s="133"/>
    </row>
    <row r="539" spans="1:17" x14ac:dyDescent="0.15">
      <c r="C539" s="16"/>
      <c r="D539" s="133" t="s">
        <v>1232</v>
      </c>
      <c r="E539" s="133">
        <v>-3</v>
      </c>
      <c r="F539" s="133"/>
      <c r="G539" s="133"/>
      <c r="H539" s="133"/>
      <c r="I539" s="133"/>
      <c r="J539" s="133"/>
      <c r="K539" s="133"/>
      <c r="L539" s="133"/>
      <c r="M539" s="133"/>
      <c r="N539" s="133"/>
    </row>
    <row r="540" spans="1:17" x14ac:dyDescent="0.15">
      <c r="D540" s="136" t="s">
        <v>882</v>
      </c>
      <c r="E540" s="136" t="str">
        <f>prune(E538,E539)</f>
        <v>TTTACGA</v>
      </c>
      <c r="F540" s="136" t="s">
        <v>1238</v>
      </c>
      <c r="G540" s="136"/>
      <c r="H540" s="136"/>
      <c r="I540" s="136"/>
      <c r="J540" s="136"/>
      <c r="K540" s="136"/>
      <c r="L540" s="136"/>
      <c r="M540" s="136"/>
      <c r="N540" s="136"/>
    </row>
    <row r="544" spans="1:17" x14ac:dyDescent="0.15">
      <c r="A544" s="268"/>
      <c r="B544" s="268" t="s">
        <v>1618</v>
      </c>
      <c r="C544" s="269"/>
      <c r="D544" s="269"/>
      <c r="E544" s="269"/>
      <c r="F544" s="269"/>
      <c r="G544" s="270"/>
      <c r="H544" s="269"/>
      <c r="I544" s="269"/>
      <c r="J544" s="270"/>
      <c r="K544" s="269"/>
      <c r="L544" s="269"/>
      <c r="M544" s="269"/>
      <c r="N544" s="269"/>
      <c r="O544" s="269"/>
      <c r="P544" s="269"/>
      <c r="Q544" s="269"/>
    </row>
    <row r="545" spans="4:13" x14ac:dyDescent="0.15">
      <c r="D545" s="14" t="s">
        <v>1620</v>
      </c>
      <c r="E545" s="15" t="s">
        <v>1650</v>
      </c>
    </row>
    <row r="546" spans="4:13" ht="206.25" customHeight="1" x14ac:dyDescent="0.15">
      <c r="D546" s="273" t="s">
        <v>1636</v>
      </c>
      <c r="E546" s="304" t="s">
        <v>1619</v>
      </c>
      <c r="F546" s="304"/>
      <c r="G546" s="304"/>
      <c r="H546" s="304"/>
      <c r="I546" s="304"/>
      <c r="J546" s="304"/>
      <c r="K546" s="304"/>
      <c r="L546" s="304"/>
      <c r="M546" s="304"/>
    </row>
    <row r="547" spans="4:13" ht="201.75" customHeight="1" x14ac:dyDescent="0.15">
      <c r="D547" s="273" t="s">
        <v>1637</v>
      </c>
      <c r="E547" s="304" t="str">
        <f>splitseq(E546,10)</f>
        <v>CGGCTGTCAT CACTTAGACC TCACCCTGTG GAGCCACACC CTAGGGTTGG CCAATCTACT CCCAGGAGCA GGGAGGGCAG GAGCCAGGGC TGGGCATAAA AGTCAGGGCA GAGCCATCTA TTGCTTACAT TTGCTTCTGA CACAACTGTG TTCACTAGCA ACCTCAAACA GACACCATGG TGCATCTGAC TCCTGAGGAG AAGTCTGCCG TTACTGCCCT GTGGGGCAAG GTGAACGTGG ATGAAGTTGG TGGTGAGGCC CTGGGCAGGC TGCTGGTGGT CTACCCTTGG ACCCAGAGGT TCTTTGAGTC CTTTGGGGAT CTGTCCACTC CTGATGCTGT TATGGGCAAC CCTAAGGTGA AGGCTCATGG CAAGAAAGTG CTCGGTGCCT TTAGTGATGG CCTGGCTCAC CTGGACAACC TCAAGGGCAC CTTTGCCACA CTGAGTGAGC TGCACTGTGA CAAGCTGCAC GTGGATCCTG AGAACTTCAG GCTCCTGGGC AACGTGCTGG TCTGTGTGCT GGCCCATCAC TTTGGCAAAG AATTCACCCC ACCAGTGCAG GCTGCCTATC AGAAAGTGGT GGCTGGTGTG GCTAATGCCC TGGCCCACAA GTATCACTAA GCTCGCTTTC TTGCTGTCCA ATTTCTATTA AAGGTTCCTT TGTTCCCTAA GTCCAACTAC TAAACTGGGG GATATTATGA AGGGCCTTGA GCATCTGGAT TCTGCCTAAT AAAAAACATT TATTTTCATT GCAA</v>
      </c>
      <c r="F547" s="304"/>
      <c r="G547" s="304"/>
      <c r="H547" s="304"/>
      <c r="I547" s="304"/>
      <c r="J547" s="304"/>
      <c r="K547" s="304"/>
      <c r="L547" s="304"/>
      <c r="M547" s="304"/>
    </row>
    <row r="548" spans="4:13" x14ac:dyDescent="0.15">
      <c r="D548" s="273"/>
      <c r="E548" s="275"/>
      <c r="F548" s="275"/>
      <c r="G548" s="275"/>
      <c r="H548" s="275"/>
      <c r="I548" s="275"/>
      <c r="J548" s="275"/>
      <c r="K548" s="275"/>
      <c r="L548" s="275"/>
      <c r="M548" s="275"/>
    </row>
    <row r="549" spans="4:13" x14ac:dyDescent="0.15">
      <c r="D549" s="16" t="s">
        <v>1651</v>
      </c>
      <c r="E549" s="14">
        <f>LEN(E546)</f>
        <v>766</v>
      </c>
      <c r="F549" s="14" t="s">
        <v>1622</v>
      </c>
    </row>
    <row r="551" spans="4:13" x14ac:dyDescent="0.15">
      <c r="D551" s="14" t="s">
        <v>1621</v>
      </c>
      <c r="E551" s="142" t="s">
        <v>1623</v>
      </c>
    </row>
    <row r="552" spans="4:13" x14ac:dyDescent="0.15">
      <c r="D552" s="14" t="s">
        <v>1634</v>
      </c>
      <c r="E552" s="14" t="str">
        <f>composition(E551)</f>
        <v>A:5 C:6 G:3 T:6 Else:0 Total:20</v>
      </c>
    </row>
    <row r="553" spans="4:13" x14ac:dyDescent="0.15">
      <c r="D553" s="14" t="s">
        <v>1626</v>
      </c>
      <c r="E553" s="14">
        <f>LEN(E551)</f>
        <v>20</v>
      </c>
    </row>
    <row r="554" spans="4:13" x14ac:dyDescent="0.15">
      <c r="D554" s="14" t="s">
        <v>1627</v>
      </c>
      <c r="E554" s="274">
        <f>GCratio(E551)</f>
        <v>0.45</v>
      </c>
    </row>
    <row r="555" spans="4:13" x14ac:dyDescent="0.15">
      <c r="D555" s="14" t="s">
        <v>1624</v>
      </c>
      <c r="E555" s="14">
        <f>firstmotif(E546,E551)</f>
        <v>145</v>
      </c>
    </row>
    <row r="557" spans="4:13" x14ac:dyDescent="0.15">
      <c r="D557" s="14" t="s">
        <v>1628</v>
      </c>
      <c r="E557" s="280" t="s">
        <v>1625</v>
      </c>
    </row>
    <row r="558" spans="4:13" x14ac:dyDescent="0.15">
      <c r="D558" s="14" t="s">
        <v>1634</v>
      </c>
      <c r="E558" s="14" t="str">
        <f>composition(E557)</f>
        <v>A:6 C:2 G:8 T:8 Else:0 Total:24</v>
      </c>
    </row>
    <row r="559" spans="4:13" x14ac:dyDescent="0.15">
      <c r="D559" s="14" t="s">
        <v>1633</v>
      </c>
      <c r="E559" s="14" t="str">
        <f>revcomp(E557)</f>
        <v>TCCCTAAGTCCAACTACTAAACTG</v>
      </c>
    </row>
    <row r="560" spans="4:13" x14ac:dyDescent="0.15">
      <c r="D560" s="14" t="s">
        <v>1629</v>
      </c>
      <c r="E560" s="14">
        <f>LEN(E557)</f>
        <v>24</v>
      </c>
    </row>
    <row r="561" spans="4:13" x14ac:dyDescent="0.15">
      <c r="D561" s="14" t="s">
        <v>1630</v>
      </c>
      <c r="E561" s="274">
        <f>GCratio(E557)</f>
        <v>0.41666666666666669</v>
      </c>
    </row>
    <row r="562" spans="4:13" x14ac:dyDescent="0.15">
      <c r="D562" s="14" t="s">
        <v>1631</v>
      </c>
      <c r="E562" s="14">
        <f>firstmotif(E546,revcomp(E557))</f>
        <v>664</v>
      </c>
    </row>
    <row r="564" spans="4:13" x14ac:dyDescent="0.15">
      <c r="D564" s="142" t="s">
        <v>1632</v>
      </c>
      <c r="E564" s="142">
        <f>E562+E560-E555</f>
        <v>543</v>
      </c>
    </row>
    <row r="566" spans="4:13" ht="147" customHeight="1" x14ac:dyDescent="0.15">
      <c r="D566" s="14" t="s">
        <v>1635</v>
      </c>
      <c r="E566" s="304" t="str">
        <f>splitseq(MID(shrink(E546),E555,E564),10)</f>
        <v>ACTGTGTTCA CTAGCAACCT CAAACAGACA CCATGGTGCA TCTGACTCCT GAGGAGAAGT CTGCCGTTAC TGCCCTGTGG GGCAAGGTGA ACGTGGATGA AGTTGGTGGT GAGGCCCTGG GCAGGCTGCT GGTGGTCTAC CCTTGGACCC AGAGGTTCTT TGAGTCCTTT GGGGATCTGT CCACTCCTGA TGCTGTTATG GGCAACCCTA AGGTGAAGGC TCATGGCAAG AAAGTGCTCG GTGCCTTTAG TGATGGCCTG GCTCACCTGG ACAACCTCAA GGGCACCTTT GCCACACTGA GTGAGCTGCA CTGTGACAAG CTGCACGTGG ATCCTGAGAA CTTCAGGCTC CTGGGCAACG TGCTGGTCTG TGTGCTGGCC CATCACTTTG GCAAAGAATT CACCCCACCA GTGCAGGCTG CCTATCAGAA AGTGGTGGCT GGTGTGGCTA ATGCCCTGGC CCACAAGTAT CACTAAGCTC GCTTTCTTGC TGTCCAATTT CTATTAAAGG TTCCTTTGTT CCCTAAGTCC AACTACTAAA CTG</v>
      </c>
      <c r="F566" s="304"/>
      <c r="G566" s="304"/>
      <c r="H566" s="304"/>
      <c r="I566" s="304"/>
      <c r="J566" s="304"/>
      <c r="K566" s="304"/>
      <c r="L566" s="304"/>
      <c r="M566" s="304"/>
    </row>
    <row r="567" spans="4:13" x14ac:dyDescent="0.15">
      <c r="E567" s="275"/>
      <c r="F567" s="275"/>
      <c r="G567" s="275"/>
      <c r="H567" s="275"/>
      <c r="I567" s="275"/>
      <c r="J567" s="275"/>
      <c r="K567" s="275"/>
      <c r="L567" s="275"/>
      <c r="M567" s="275"/>
    </row>
    <row r="568" spans="4:13" ht="126" customHeight="1" x14ac:dyDescent="0.15">
      <c r="D568" s="273" t="s">
        <v>1649</v>
      </c>
      <c r="E568" s="304" t="str">
        <f>markmotif(E566,E551)</f>
        <v>[ACTGTGTTCACTAGCAACCT]CAAACAGACACCATGGTGCATCTGACTCCTGAGGAGAAGTCTGCCGTTACTGCCCTGTGGGGCAAGGTGAACGTGGATGAAGTTGGTGGTGAGGCCCTGGGCAGGCTGCTGGTGGTCTACCCTTGGACCCAGAGGTTCTTTGAGTCCTTTGGGGATCTGTCCACTCCTGATGCTGTTATGGGCAACCCTAAGGTGAAGGCTCATGGCAAGAAAGTGCTCGGTGCCTTTAGTGATGGCCTGGCTCACCTGGACAACCTCAAGGGCACCTTTGCCACACTGAGTGAGCTGCACTGTGACAAGCTGCACGTGGATCCTGAGAACTTCAGGCTCCTGGGCAACGTGCTGGTCTGTGTGCTGGCCCATCACTTTGGCAAAGAATTCACCCCACCAGTGCAGGCTGCCTATCAGAAAGTGGTGGCTGGTGTGGCTAATGCCCTGGCCCACAAGTATCACTAAGCTCGCTTTCTTGCTGTCCAATTTCTATTAAAGGTTCCTTTGTTCCCTAAGTCCAACTACTAAACTG</v>
      </c>
      <c r="F568" s="304"/>
      <c r="G568" s="304"/>
      <c r="H568" s="304"/>
      <c r="I568" s="304"/>
      <c r="J568" s="304"/>
      <c r="K568" s="304"/>
      <c r="L568" s="304"/>
      <c r="M568" s="304"/>
    </row>
    <row r="570" spans="4:13" ht="123" customHeight="1" x14ac:dyDescent="0.15">
      <c r="D570" s="273" t="s">
        <v>1648</v>
      </c>
      <c r="E570" s="304" t="str">
        <f>markmotif(E566,revcomp(E557))</f>
        <v>ACTGTGTTCACTAGCAACCTCAAACAGACACCATGGTGCATCTGACTCCTGAGGAGAAGTCTGCCGTTACTGCCCTGTGGGGCAAGGTGAACGTGGATGAAGTTGGTGGTGAGGCCCTGGGCAGGCTGCTGGTGGTCTACCCTTGGACCCAGAGGTTCTTTGAGTCCTTTGGGGATCTGTCCACTCCTGATGCTGTTATGGGCAACCCTAAGGTGAAGGCTCATGGCAAGAAAGTGCTCGGTGCCTTTAGTGATGGCCTGGCTCACCTGGACAACCTCAAGGGCACCTTTGCCACACTGAGTGAGCTGCACTGTGACAAGCTGCACGTGGATCCTGAGAACTTCAGGCTCCTGGGCAACGTGCTGGTCTGTGTGCTGGCCCATCACTTTGGCAAAGAATTCACCCCACCAGTGCAGGCTGCCTATCAGAAAGTGGTGGCTGGTGTGGCTAATGCCCTGGCCCACAAGTATCACTAAGCTCGCTTTCTTGCTGTCCAATTTCTATTAAAGGTTCCTTTGT[TCCCTAAGTCCAACTACTAAACTG]</v>
      </c>
      <c r="F570" s="304"/>
      <c r="G570" s="304"/>
      <c r="H570" s="304"/>
      <c r="I570" s="304"/>
      <c r="J570" s="304"/>
      <c r="K570" s="304"/>
      <c r="L570" s="304"/>
      <c r="M570" s="304"/>
    </row>
  </sheetData>
  <mergeCells count="17">
    <mergeCell ref="E502:O502"/>
    <mergeCell ref="E505:O505"/>
    <mergeCell ref="E508:O508"/>
    <mergeCell ref="E474:O474"/>
    <mergeCell ref="E477:O477"/>
    <mergeCell ref="E480:O480"/>
    <mergeCell ref="E483:O483"/>
    <mergeCell ref="B5:J5"/>
    <mergeCell ref="E142:F142"/>
    <mergeCell ref="E240:H240"/>
    <mergeCell ref="E243:H243"/>
    <mergeCell ref="E499:O499"/>
    <mergeCell ref="E546:M546"/>
    <mergeCell ref="E568:M568"/>
    <mergeCell ref="E570:M570"/>
    <mergeCell ref="E547:M547"/>
    <mergeCell ref="E566:M566"/>
  </mergeCells>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vt:i4>
      </vt:variant>
    </vt:vector>
  </HeadingPairs>
  <TitlesOfParts>
    <vt:vector size="12" baseType="lpstr">
      <vt:lpstr>Summary</vt:lpstr>
      <vt:lpstr>Function summary</vt:lpstr>
      <vt:lpstr>Data conversion</vt:lpstr>
      <vt:lpstr>Basic analysis</vt:lpstr>
      <vt:lpstr>Linkage analysis</vt:lpstr>
      <vt:lpstr>Data set analysis</vt:lpstr>
      <vt:lpstr>Freq analysis</vt:lpstr>
      <vt:lpstr>Genetic data analysis</vt:lpstr>
      <vt:lpstr>Sequence manipulation</vt:lpstr>
      <vt:lpstr>'Basic analysis'!Print_Area</vt:lpstr>
      <vt:lpstr>'Function summary'!Print_Area</vt:lpstr>
      <vt:lpstr>Summary!Print_Area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tshimizu</dc:creator>
  <cp:lastModifiedBy>TOKUROU SHIMIZU</cp:lastModifiedBy>
  <cp:lastPrinted>2017-02-03T08:41:54Z</cp:lastPrinted>
  <dcterms:created xsi:type="dcterms:W3CDTF">2015-10-25T12:51:35Z</dcterms:created>
  <dcterms:modified xsi:type="dcterms:W3CDTF">2021-10-03T08:15:35Z</dcterms:modified>
</cp:coreProperties>
</file>