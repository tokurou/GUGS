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mc:AlternateContent xmlns:mc="http://schemas.openxmlformats.org/markup-compatibility/2006">
    <mc:Choice Requires="x15">
      <x15ac:absPath xmlns:x15ac="http://schemas.microsoft.com/office/spreadsheetml/2010/11/ac" url="E:\研究\多型解析\GUGS\"/>
    </mc:Choice>
  </mc:AlternateContent>
  <bookViews>
    <workbookView xWindow="0" yWindow="0" windowWidth="24000" windowHeight="14865" firstSheet="5" activeTab="8"/>
  </bookViews>
  <sheets>
    <sheet name="Summary" sheetId="1" r:id="rId1"/>
    <sheet name="Function summary" sheetId="12" r:id="rId2"/>
    <sheet name="Data conversion" sheetId="5" r:id="rId3"/>
    <sheet name="Basic analysis" sheetId="4" r:id="rId4"/>
    <sheet name="Linkage analysis" sheetId="7" r:id="rId5"/>
    <sheet name="Data set analysis" sheetId="8" r:id="rId6"/>
    <sheet name="Freq analysis" sheetId="9" r:id="rId7"/>
    <sheet name="Genetic data analysis" sheetId="10" r:id="rId8"/>
    <sheet name="Sequence manipulation" sheetId="13" r:id="rId9"/>
  </sheets>
  <functionGroups builtInGroupCount="18"/>
  <definedNames>
    <definedName name="_xlnm.Print_Area" localSheetId="3">'Basic analysis'!$D$1</definedName>
    <definedName name="_xlnm.Print_Area" localSheetId="1">'Function summary'!$A$1:$F$65</definedName>
    <definedName name="_xlnm.Print_Area" localSheetId="0">Summary!$B$1:$K$48</definedName>
  </definedNames>
  <calcPr calcId="171027"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1" i="1" l="1"/>
  <c r="C122" i="1"/>
  <c r="C123" i="1"/>
  <c r="C124" i="1"/>
  <c r="C125" i="1"/>
  <c r="B125" i="1"/>
  <c r="B124" i="1"/>
  <c r="B123" i="1"/>
  <c r="B122" i="1"/>
  <c r="B121" i="1"/>
  <c r="C128" i="1"/>
  <c r="C129" i="1"/>
  <c r="C130" i="1"/>
  <c r="C131" i="1"/>
  <c r="C132" i="1"/>
  <c r="C133" i="1"/>
  <c r="C134" i="1"/>
  <c r="C135" i="1"/>
  <c r="B135" i="1"/>
  <c r="B134" i="1"/>
  <c r="B133" i="1"/>
  <c r="B132" i="1"/>
  <c r="B131" i="1"/>
  <c r="B130" i="1"/>
  <c r="B129" i="1"/>
  <c r="B128" i="1"/>
  <c r="C138" i="1"/>
  <c r="C139" i="1"/>
  <c r="C140" i="1"/>
  <c r="C141" i="1"/>
  <c r="C142" i="1"/>
  <c r="C143" i="1"/>
  <c r="C144" i="1"/>
  <c r="B144" i="1"/>
  <c r="B143" i="1"/>
  <c r="B142" i="1"/>
  <c r="B141" i="1"/>
  <c r="B140" i="1"/>
  <c r="B139" i="1"/>
  <c r="B138" i="1"/>
  <c r="C147" i="1"/>
  <c r="C148" i="1"/>
  <c r="C149" i="1"/>
  <c r="C150" i="1"/>
  <c r="C151" i="1"/>
  <c r="C152" i="1"/>
  <c r="B152" i="1"/>
  <c r="B151" i="1"/>
  <c r="B150" i="1"/>
  <c r="B149" i="1"/>
  <c r="B148" i="1"/>
  <c r="B147" i="1"/>
  <c r="C155" i="1"/>
  <c r="C156" i="1"/>
  <c r="C157" i="1"/>
  <c r="C158" i="1"/>
  <c r="C159" i="1"/>
  <c r="C160" i="1"/>
  <c r="C161" i="1"/>
  <c r="C162" i="1"/>
  <c r="C163" i="1"/>
  <c r="C164" i="1"/>
  <c r="C165" i="1"/>
  <c r="B165" i="1"/>
  <c r="B164" i="1"/>
  <c r="B163" i="1"/>
  <c r="B162" i="1"/>
  <c r="B161" i="1"/>
  <c r="B160" i="1"/>
  <c r="B159" i="1"/>
  <c r="B158" i="1"/>
  <c r="B157" i="1"/>
  <c r="B156" i="1"/>
  <c r="B155" i="1"/>
  <c r="C168" i="1"/>
  <c r="C169" i="1"/>
  <c r="C170" i="1"/>
  <c r="C171" i="1"/>
  <c r="C172" i="1"/>
  <c r="B172" i="1"/>
  <c r="B171" i="1"/>
  <c r="B170" i="1"/>
  <c r="B169" i="1"/>
  <c r="B168" i="1"/>
  <c r="B175" i="1"/>
  <c r="C175" i="1"/>
  <c r="B176" i="1"/>
  <c r="C176" i="1"/>
  <c r="B177" i="1"/>
  <c r="C177" i="1"/>
  <c r="B178" i="1"/>
  <c r="C178" i="1"/>
  <c r="B179" i="1"/>
  <c r="C179" i="1"/>
  <c r="B180" i="1"/>
  <c r="C180" i="1"/>
  <c r="B181" i="1"/>
  <c r="C181" i="1"/>
  <c r="B182" i="1"/>
  <c r="C182" i="1"/>
  <c r="B183" i="1"/>
  <c r="C183" i="1"/>
  <c r="B184" i="1"/>
  <c r="C184" i="1"/>
  <c r="B185" i="1"/>
  <c r="C185" i="1"/>
  <c r="B186" i="1"/>
  <c r="C186" i="1"/>
  <c r="B187" i="1"/>
  <c r="C187" i="1"/>
  <c r="B188" i="1"/>
  <c r="C188" i="1"/>
  <c r="B189" i="1"/>
  <c r="C189" i="1"/>
  <c r="B190" i="1"/>
  <c r="C190" i="1"/>
  <c r="B191" i="1"/>
  <c r="C191" i="1"/>
  <c r="B192" i="1"/>
  <c r="C192" i="1"/>
  <c r="B193" i="1"/>
  <c r="C193" i="1"/>
  <c r="B194" i="1"/>
  <c r="C194" i="1"/>
  <c r="B195" i="1"/>
  <c r="C195" i="1"/>
  <c r="B196" i="1"/>
  <c r="C196" i="1"/>
  <c r="B197" i="1"/>
  <c r="C197" i="1"/>
  <c r="B198" i="1"/>
  <c r="C198" i="1"/>
  <c r="F65" i="10"/>
  <c r="B68" i="12" l="1"/>
  <c r="B59" i="12"/>
  <c r="B45" i="12"/>
  <c r="B35" i="12"/>
  <c r="B25" i="12"/>
  <c r="B14" i="12"/>
  <c r="B6" i="12"/>
  <c r="H92" i="12"/>
  <c r="L156" i="4" l="1"/>
  <c r="P89" i="9"/>
  <c r="F47" i="10"/>
  <c r="F66" i="10"/>
  <c r="N121" i="8"/>
  <c r="L96" i="8"/>
  <c r="L85" i="9"/>
  <c r="N146" i="8"/>
  <c r="M22" i="10"/>
  <c r="D55" i="5"/>
  <c r="N87" i="10"/>
  <c r="H86" i="9"/>
  <c r="D130" i="5"/>
  <c r="D146" i="8"/>
  <c r="F38" i="13"/>
  <c r="E19" i="10"/>
  <c r="C154" i="8"/>
  <c r="E245" i="8"/>
  <c r="E425" i="13"/>
  <c r="K142" i="4" a="1"/>
  <c r="E267" i="13"/>
  <c r="C70" i="8"/>
  <c r="N219" i="8"/>
  <c r="D96" i="9"/>
  <c r="F87" i="9"/>
  <c r="D98" i="8"/>
  <c r="L91" i="9"/>
  <c r="C167" i="8"/>
  <c r="K154" i="5"/>
  <c r="K155" i="5"/>
  <c r="N222" i="9"/>
  <c r="F127" i="9"/>
  <c r="H57" i="9"/>
  <c r="D188" i="5"/>
  <c r="N158" i="5"/>
  <c r="O148" i="8"/>
  <c r="O149" i="8"/>
  <c r="E333" i="13"/>
  <c r="D85" i="9"/>
  <c r="F68" i="9"/>
  <c r="F157" i="9"/>
  <c r="L222" i="9"/>
  <c r="L126" i="8"/>
  <c r="F59" i="13"/>
  <c r="G54" i="9"/>
  <c r="O70" i="8"/>
  <c r="L123" i="8"/>
  <c r="D97" i="8"/>
  <c r="P84" i="9"/>
  <c r="G68" i="9"/>
  <c r="L87" i="9"/>
  <c r="E109" i="8"/>
  <c r="D58" i="9"/>
  <c r="E55" i="9"/>
  <c r="E540" i="13"/>
  <c r="O56" i="9"/>
  <c r="E402" i="13"/>
  <c r="G81" i="4"/>
  <c r="D64" i="9"/>
  <c r="O130" i="8"/>
  <c r="N85" i="9"/>
  <c r="P93" i="9"/>
  <c r="D56" i="5"/>
  <c r="L125" i="8"/>
  <c r="L127" i="9"/>
  <c r="D58" i="5"/>
  <c r="P92" i="9"/>
  <c r="P57" i="9"/>
  <c r="M127" i="9"/>
  <c r="M113" i="9"/>
  <c r="N56" i="9"/>
  <c r="N160" i="5"/>
  <c r="E243" i="13"/>
  <c r="E89" i="9"/>
  <c r="M97" i="8"/>
  <c r="D86" i="9"/>
  <c r="E23" i="13"/>
  <c r="D148" i="8"/>
  <c r="N44" i="10"/>
  <c r="F62" i="9"/>
  <c r="M124" i="8"/>
  <c r="N127" i="9"/>
  <c r="D154" i="8"/>
  <c r="E98" i="13"/>
  <c r="N200" i="9"/>
  <c r="E95" i="5"/>
  <c r="N186" i="9"/>
  <c r="D90" i="9"/>
  <c r="E155" i="8"/>
  <c r="O128" i="8"/>
  <c r="E82" i="5"/>
  <c r="N86" i="9"/>
  <c r="D152" i="8"/>
  <c r="D182" i="5"/>
  <c r="O159" i="5"/>
  <c r="D136" i="10"/>
  <c r="O152" i="5"/>
  <c r="D21" i="5"/>
  <c r="D200" i="8"/>
  <c r="E153" i="8"/>
  <c r="F75" i="13"/>
  <c r="M90" i="9"/>
  <c r="C147" i="8"/>
  <c r="E94" i="9"/>
  <c r="P129" i="8"/>
  <c r="N87" i="9"/>
  <c r="E381" i="13"/>
  <c r="K39" i="4"/>
  <c r="F59" i="9"/>
  <c r="C151" i="8"/>
  <c r="L98" i="8"/>
  <c r="N153" i="5"/>
  <c r="J1" i="4"/>
  <c r="K40" i="4"/>
  <c r="F43" i="10"/>
  <c r="H60" i="9"/>
  <c r="F196" i="13"/>
  <c r="F58" i="9"/>
  <c r="N47" i="10"/>
  <c r="N88" i="9"/>
  <c r="E92" i="9"/>
  <c r="E18" i="13"/>
  <c r="G89" i="9"/>
  <c r="K60" i="4"/>
  <c r="D102" i="8"/>
  <c r="D38" i="5"/>
  <c r="E410" i="13"/>
  <c r="N124" i="8"/>
  <c r="E39" i="4"/>
  <c r="O126" i="8"/>
  <c r="H94" i="9"/>
  <c r="L152" i="5"/>
  <c r="D132" i="5"/>
  <c r="D140" i="4" a="1"/>
  <c r="F36" i="13"/>
  <c r="H125" i="7"/>
  <c r="F124" i="7"/>
  <c r="G118" i="7"/>
  <c r="F175" i="7"/>
  <c r="H169" i="7"/>
  <c r="G149" i="7"/>
  <c r="F128" i="7"/>
  <c r="F117" i="7"/>
  <c r="H120" i="7"/>
  <c r="G139" i="7"/>
  <c r="H175" i="7"/>
  <c r="F129" i="7"/>
  <c r="G113" i="9"/>
  <c r="L58" i="8"/>
  <c r="G142" i="9"/>
  <c r="E98" i="5"/>
  <c r="N93" i="9"/>
  <c r="E264" i="13"/>
  <c r="G57" i="9"/>
  <c r="N84" i="9"/>
  <c r="O113" i="9"/>
  <c r="O49" i="8"/>
  <c r="P91" i="9"/>
  <c r="N56" i="10"/>
  <c r="K138" i="4" a="1"/>
  <c r="N130" i="8"/>
  <c r="N136" i="10"/>
  <c r="L128" i="8"/>
  <c r="P97" i="8"/>
  <c r="L200" i="9"/>
  <c r="K42" i="4"/>
  <c r="F198" i="13"/>
  <c r="E60" i="9"/>
  <c r="N99" i="8"/>
  <c r="E398" i="13"/>
  <c r="D133" i="5"/>
  <c r="G67" i="9"/>
  <c r="N50" i="10"/>
  <c r="F156" i="13"/>
  <c r="L86" i="9"/>
  <c r="D91" i="9"/>
  <c r="P88" i="9"/>
  <c r="D141" i="4" a="1"/>
  <c r="E154" i="8"/>
  <c r="E120" i="8"/>
  <c r="O127" i="9"/>
  <c r="H58" i="9"/>
  <c r="N49" i="10"/>
  <c r="F76" i="13"/>
  <c r="E63" i="9"/>
  <c r="E508" i="13"/>
  <c r="N125" i="8"/>
  <c r="H136" i="10"/>
  <c r="N91" i="9"/>
  <c r="K24" i="4"/>
  <c r="E149" i="8"/>
  <c r="H186" i="9"/>
  <c r="P56" i="9"/>
  <c r="D89" i="9"/>
  <c r="D147" i="8"/>
  <c r="E19" i="13"/>
  <c r="D183" i="5"/>
  <c r="E168" i="8"/>
  <c r="M155" i="10"/>
  <c r="G84" i="9"/>
  <c r="F64" i="9"/>
  <c r="L200" i="8"/>
  <c r="K159" i="5"/>
  <c r="E406" i="13"/>
  <c r="L84" i="9"/>
  <c r="M70" i="8"/>
  <c r="F57" i="9"/>
  <c r="E452" i="13"/>
  <c r="K62" i="4"/>
  <c r="M157" i="5"/>
  <c r="F55" i="9"/>
  <c r="E318" i="13"/>
  <c r="O84" i="9"/>
  <c r="D36" i="5"/>
  <c r="P90" i="9"/>
  <c r="D157" i="9"/>
  <c r="D57" i="5"/>
  <c r="L81" i="4"/>
  <c r="M222" i="9"/>
  <c r="E61" i="9"/>
  <c r="H157" i="9"/>
  <c r="E449" i="13"/>
  <c r="O157" i="5"/>
  <c r="N157" i="9"/>
  <c r="P126" i="8"/>
  <c r="D40" i="5"/>
  <c r="D25" i="5"/>
  <c r="M88" i="9"/>
  <c r="M87" i="10"/>
  <c r="N51" i="10"/>
  <c r="E135" i="13"/>
  <c r="O99" i="8"/>
  <c r="M122" i="8"/>
  <c r="M219" i="8"/>
  <c r="E151" i="8"/>
  <c r="E483" i="13"/>
  <c r="C49" i="8"/>
  <c r="O123" i="8"/>
  <c r="H65" i="9"/>
  <c r="C98" i="8"/>
  <c r="C58" i="8"/>
  <c r="F60" i="9"/>
  <c r="F162" i="13"/>
  <c r="L79" i="4"/>
  <c r="M129" i="8"/>
  <c r="C155" i="8"/>
  <c r="E141" i="13"/>
  <c r="E61" i="4"/>
  <c r="N200" i="8"/>
  <c r="G83" i="4"/>
  <c r="E25" i="10"/>
  <c r="E186" i="9"/>
  <c r="E21" i="10"/>
  <c r="N129" i="8"/>
  <c r="M235" i="8"/>
  <c r="F45" i="10"/>
  <c r="P157" i="9"/>
  <c r="H56" i="9"/>
  <c r="F201" i="13"/>
  <c r="F160" i="13"/>
  <c r="F42" i="10"/>
  <c r="H222" i="9"/>
  <c r="N96" i="8"/>
  <c r="H55" i="9"/>
  <c r="N54" i="10"/>
  <c r="F183" i="13"/>
  <c r="F101" i="4"/>
  <c r="D109" i="8"/>
  <c r="N154" i="5"/>
  <c r="E137" i="13"/>
  <c r="O155" i="10"/>
  <c r="D112" i="5"/>
  <c r="E20" i="10"/>
  <c r="M130" i="8"/>
  <c r="N41" i="10"/>
  <c r="E42" i="4"/>
  <c r="E499" i="13"/>
  <c r="L100" i="4"/>
  <c r="C150" i="8"/>
  <c r="E428" i="13"/>
  <c r="D175" i="5"/>
  <c r="K23" i="4"/>
  <c r="H66" i="9"/>
  <c r="L124" i="8"/>
  <c r="E377" i="13"/>
  <c r="E528" i="13"/>
  <c r="F78" i="13"/>
  <c r="F42" i="13"/>
  <c r="D53" i="5"/>
  <c r="L54" i="9"/>
  <c r="M200" i="9"/>
  <c r="D115" i="5"/>
  <c r="M84" i="9"/>
  <c r="L90" i="9"/>
  <c r="L101" i="4"/>
  <c r="L70" i="8"/>
  <c r="N122" i="8"/>
  <c r="L156" i="5"/>
  <c r="F62" i="10"/>
  <c r="D186" i="9"/>
  <c r="H113" i="9"/>
  <c r="E285" i="13"/>
  <c r="F159" i="13"/>
  <c r="J1" i="8"/>
  <c r="F186" i="9"/>
  <c r="L142" i="9"/>
  <c r="L83" i="4"/>
  <c r="E162" i="4"/>
  <c r="O120" i="8"/>
  <c r="L146" i="8"/>
  <c r="P121" i="8"/>
  <c r="E312" i="13"/>
  <c r="F163" i="13"/>
  <c r="D222" i="9"/>
  <c r="O155" i="5"/>
  <c r="D138" i="4" a="1"/>
  <c r="E58" i="8"/>
  <c r="E147" i="8"/>
  <c r="E120" i="4"/>
  <c r="D88" i="9"/>
  <c r="F103" i="4"/>
  <c r="M19" i="10"/>
  <c r="D142" i="9"/>
  <c r="L122" i="8"/>
  <c r="M121" i="8"/>
  <c r="D114" i="5"/>
  <c r="F65" i="9"/>
  <c r="D103" i="8"/>
  <c r="N123" i="8"/>
  <c r="M96" i="8"/>
  <c r="E101" i="8"/>
  <c r="P58" i="8"/>
  <c r="C152" i="8"/>
  <c r="E156" i="4"/>
  <c r="D107" i="8"/>
  <c r="N43" i="10"/>
  <c r="E57" i="9"/>
  <c r="N52" i="10"/>
  <c r="E21" i="13"/>
  <c r="F199" i="13"/>
  <c r="M186" i="9"/>
  <c r="D113" i="9"/>
  <c r="G65" i="9"/>
  <c r="F64" i="10"/>
  <c r="F136" i="10"/>
  <c r="N53" i="10"/>
  <c r="F113" i="9"/>
  <c r="C200" i="8"/>
  <c r="F48" i="10"/>
  <c r="D167" i="8"/>
  <c r="C146" i="8"/>
  <c r="H92" i="9"/>
  <c r="F49" i="10"/>
  <c r="E315" i="13"/>
  <c r="F91" i="9"/>
  <c r="F61" i="9"/>
  <c r="E23" i="10"/>
  <c r="F93" i="9"/>
  <c r="M148" i="8"/>
  <c r="H96" i="9"/>
  <c r="H91" i="9"/>
  <c r="H179" i="7"/>
  <c r="G119" i="7"/>
  <c r="H136" i="7"/>
  <c r="H124" i="7"/>
  <c r="H177" i="7"/>
  <c r="H168" i="7"/>
  <c r="G132" i="7"/>
  <c r="H174" i="7"/>
  <c r="H117" i="7"/>
  <c r="H171" i="7"/>
  <c r="F103" i="7"/>
  <c r="M105" i="7"/>
  <c r="F89" i="9"/>
  <c r="E123" i="4"/>
  <c r="F87" i="10"/>
  <c r="H127" i="9"/>
  <c r="P113" i="9"/>
  <c r="G127" i="9"/>
  <c r="E431" i="13"/>
  <c r="E66" i="9"/>
  <c r="L93" i="9"/>
  <c r="E282" i="13"/>
  <c r="K1" i="10"/>
  <c r="D156" i="8"/>
  <c r="D117" i="5"/>
  <c r="D99" i="8"/>
  <c r="F96" i="9"/>
  <c r="O98" i="8"/>
  <c r="K140" i="4" a="1"/>
  <c r="D63" i="9"/>
  <c r="L104" i="4"/>
  <c r="K143" i="4" a="1"/>
  <c r="H88" i="9"/>
  <c r="E84" i="9"/>
  <c r="H97" i="9"/>
  <c r="E200" i="8"/>
  <c r="K20" i="4"/>
  <c r="D92" i="9"/>
  <c r="F180" i="13"/>
  <c r="N46" i="10"/>
  <c r="H59" i="9"/>
  <c r="G97" i="9"/>
  <c r="O58" i="8"/>
  <c r="M85" i="9"/>
  <c r="E60" i="4"/>
  <c r="E58" i="9"/>
  <c r="D143" i="4" a="1"/>
  <c r="M160" i="5"/>
  <c r="D64" i="5"/>
  <c r="P142" i="9"/>
  <c r="E20" i="4"/>
  <c r="M123" i="8"/>
  <c r="P128" i="8"/>
  <c r="E157" i="4"/>
  <c r="N90" i="9"/>
  <c r="L147" i="8"/>
  <c r="N152" i="5"/>
  <c r="L186" i="9"/>
  <c r="N235" i="8"/>
  <c r="D184" i="5"/>
  <c r="N113" i="9"/>
  <c r="P54" i="9"/>
  <c r="P55" i="9"/>
  <c r="E291" i="13"/>
  <c r="C245" i="8"/>
  <c r="L159" i="5"/>
  <c r="E81" i="5"/>
  <c r="D22" i="5"/>
  <c r="C106" i="8"/>
  <c r="O121" i="8"/>
  <c r="G157" i="9"/>
  <c r="E150" i="8"/>
  <c r="L49" i="8"/>
  <c r="H93" i="9"/>
  <c r="E107" i="8"/>
  <c r="G94" i="9"/>
  <c r="F41" i="13"/>
  <c r="E258" i="13"/>
  <c r="P85" i="9"/>
  <c r="O136" i="10"/>
  <c r="E21" i="4"/>
  <c r="K160" i="5"/>
  <c r="P127" i="8"/>
  <c r="E59" i="4"/>
  <c r="L157" i="5"/>
  <c r="M20" i="10"/>
  <c r="F157" i="13"/>
  <c r="M87" i="9"/>
  <c r="D116" i="5"/>
  <c r="G58" i="9"/>
  <c r="P148" i="8"/>
  <c r="K139" i="4" a="1"/>
  <c r="P130" i="8"/>
  <c r="O127" i="8"/>
  <c r="E41" i="4"/>
  <c r="E58" i="4"/>
  <c r="N155" i="5"/>
  <c r="L127" i="8"/>
  <c r="E455" i="13"/>
  <c r="C219" i="8"/>
  <c r="L82" i="4"/>
  <c r="E87" i="10"/>
  <c r="P186" i="9"/>
  <c r="E157" i="9"/>
  <c r="F39" i="13"/>
  <c r="E369" i="13"/>
  <c r="D67" i="9"/>
  <c r="D108" i="8"/>
  <c r="E335" i="13"/>
  <c r="E143" i="13"/>
  <c r="L57" i="9"/>
  <c r="D100" i="8"/>
  <c r="L97" i="8"/>
  <c r="M127" i="8"/>
  <c r="N55" i="10"/>
  <c r="G63" i="9"/>
  <c r="K141" i="4" a="1"/>
  <c r="F176" i="13"/>
  <c r="E98" i="9"/>
  <c r="H85" i="9"/>
  <c r="F61" i="10"/>
  <c r="F179" i="13"/>
  <c r="H64" i="9"/>
  <c r="K43" i="4"/>
  <c r="H67" i="9"/>
  <c r="D95" i="9"/>
  <c r="N126" i="8"/>
  <c r="L99" i="8"/>
  <c r="E148" i="8"/>
  <c r="C96" i="8"/>
  <c r="D105" i="8"/>
  <c r="N148" i="8"/>
  <c r="F58" i="13"/>
  <c r="E116" i="13"/>
  <c r="L136" i="10"/>
  <c r="M147" i="8"/>
  <c r="O96" i="8"/>
  <c r="O85" i="9"/>
  <c r="E91" i="9"/>
  <c r="O129" i="8"/>
  <c r="N128" i="8"/>
  <c r="F63" i="10"/>
  <c r="E531" i="13"/>
  <c r="D190" i="5"/>
  <c r="F161" i="13"/>
  <c r="E200" i="9"/>
  <c r="H61" i="9"/>
  <c r="P49" i="8"/>
  <c r="D151" i="8"/>
  <c r="P155" i="10"/>
  <c r="D177" i="5"/>
  <c r="E237" i="13"/>
  <c r="E88" i="9"/>
  <c r="O160" i="5"/>
  <c r="E95" i="9"/>
  <c r="C168" i="8"/>
  <c r="M98" i="8"/>
  <c r="C99" i="8"/>
  <c r="C235" i="8"/>
  <c r="D142" i="4" a="1"/>
  <c r="F102" i="4"/>
  <c r="D54" i="5"/>
  <c r="O146" i="8"/>
  <c r="C79" i="8"/>
  <c r="G55" i="9"/>
  <c r="D55" i="9"/>
  <c r="F41" i="10"/>
  <c r="D178" i="5"/>
  <c r="H95" i="9"/>
  <c r="F37" i="13"/>
  <c r="N49" i="8"/>
  <c r="E104" i="8"/>
  <c r="D111" i="5"/>
  <c r="L87" i="10"/>
  <c r="G79" i="4"/>
  <c r="O91" i="9"/>
  <c r="N48" i="10"/>
  <c r="K58" i="4"/>
  <c r="E103" i="8"/>
  <c r="E161" i="4"/>
  <c r="E156" i="8"/>
  <c r="N120" i="8"/>
  <c r="N92" i="9"/>
  <c r="F46" i="10"/>
  <c r="E67" i="9"/>
  <c r="D37" i="5"/>
  <c r="M153" i="5"/>
  <c r="K61" i="4"/>
  <c r="L113" i="9"/>
  <c r="M146" i="8"/>
  <c r="L159" i="4"/>
  <c r="M158" i="5"/>
  <c r="O88" i="9"/>
  <c r="D181" i="5"/>
  <c r="F222" i="9"/>
  <c r="D245" i="8"/>
  <c r="L89" i="9"/>
  <c r="C100" i="8"/>
  <c r="H68" i="9"/>
  <c r="L55" i="9"/>
  <c r="K21" i="4"/>
  <c r="F97" i="9"/>
  <c r="E309" i="13"/>
  <c r="E121" i="8"/>
  <c r="O87" i="10"/>
  <c r="F95" i="9"/>
  <c r="E139" i="13"/>
  <c r="D104" i="8"/>
  <c r="F84" i="9"/>
  <c r="G64" i="9"/>
  <c r="K59" i="4"/>
  <c r="N159" i="5"/>
  <c r="E62" i="9"/>
  <c r="E99" i="8"/>
  <c r="D54" i="9"/>
  <c r="L160" i="5"/>
  <c r="E17" i="13"/>
  <c r="D24" i="5"/>
  <c r="E96" i="9"/>
  <c r="G155" i="10"/>
  <c r="E159" i="4"/>
  <c r="D62" i="9"/>
  <c r="F98" i="9"/>
  <c r="L120" i="8"/>
  <c r="N157" i="5"/>
  <c r="E136" i="10"/>
  <c r="E101" i="13"/>
  <c r="E93" i="9"/>
  <c r="E22" i="13"/>
  <c r="E105" i="8"/>
  <c r="O124" i="8"/>
  <c r="M21" i="10"/>
  <c r="F172" i="7"/>
  <c r="F126" i="7"/>
  <c r="H140" i="7"/>
  <c r="F122" i="7"/>
  <c r="G141" i="7"/>
  <c r="F105" i="7"/>
  <c r="H151" i="7"/>
  <c r="G136" i="7"/>
  <c r="O158" i="5"/>
  <c r="M23" i="10"/>
  <c r="O54" i="9"/>
  <c r="O142" i="9"/>
  <c r="M155" i="5"/>
  <c r="M56" i="9"/>
  <c r="E119" i="13"/>
  <c r="D60" i="9"/>
  <c r="D155" i="8"/>
  <c r="E235" i="8"/>
  <c r="D84" i="9"/>
  <c r="C121" i="8"/>
  <c r="O200" i="9"/>
  <c r="D169" i="8"/>
  <c r="D98" i="9"/>
  <c r="D155" i="10"/>
  <c r="E90" i="9"/>
  <c r="F221" i="13"/>
  <c r="G80" i="4"/>
  <c r="E122" i="4"/>
  <c r="O55" i="9"/>
  <c r="M154" i="5"/>
  <c r="D189" i="5"/>
  <c r="E95" i="13"/>
  <c r="E20" i="13"/>
  <c r="M149" i="8"/>
  <c r="P124" i="8"/>
  <c r="E24" i="4"/>
  <c r="D61" i="9"/>
  <c r="M49" i="8"/>
  <c r="M128" i="8"/>
  <c r="L155" i="10"/>
  <c r="N147" i="8"/>
  <c r="D150" i="8"/>
  <c r="L235" i="8"/>
  <c r="E86" i="9"/>
  <c r="N58" i="8"/>
  <c r="D179" i="5"/>
  <c r="L102" i="4"/>
  <c r="C170" i="8"/>
  <c r="E59" i="9"/>
  <c r="K156" i="5"/>
  <c r="C120" i="8"/>
  <c r="G66" i="9"/>
  <c r="F67" i="9"/>
  <c r="M92" i="9"/>
  <c r="F88" i="9"/>
  <c r="O92" i="9"/>
  <c r="D149" i="8"/>
  <c r="E98" i="8"/>
  <c r="E79" i="5"/>
  <c r="L149" i="8"/>
  <c r="D121" i="8"/>
  <c r="D113" i="5"/>
  <c r="H87" i="10"/>
  <c r="F59" i="10"/>
  <c r="E170" i="8"/>
  <c r="F57" i="13"/>
  <c r="C149" i="8"/>
  <c r="C101" i="8"/>
  <c r="F67" i="10"/>
  <c r="G222" i="9"/>
  <c r="E348" i="13"/>
  <c r="E152" i="8"/>
  <c r="P136" i="10"/>
  <c r="H63" i="9"/>
  <c r="M93" i="9"/>
  <c r="K22" i="4"/>
  <c r="P222" i="9"/>
  <c r="G86" i="9"/>
  <c r="D49" i="8"/>
  <c r="D41" i="5"/>
  <c r="D187" i="5"/>
  <c r="E119" i="4"/>
  <c r="E80" i="5"/>
  <c r="N57" i="9"/>
  <c r="C103" i="8"/>
  <c r="M86" i="9"/>
  <c r="L80" i="4"/>
  <c r="D170" i="8"/>
  <c r="M200" i="8"/>
  <c r="E24" i="10"/>
  <c r="E373" i="13"/>
  <c r="H89" i="9"/>
  <c r="D70" i="8"/>
  <c r="D65" i="9"/>
  <c r="E97" i="5"/>
  <c r="D79" i="8"/>
  <c r="F80" i="13"/>
  <c r="E96" i="5"/>
  <c r="M89" i="9"/>
  <c r="C104" i="8"/>
  <c r="F61" i="13"/>
  <c r="G96" i="9"/>
  <c r="G95" i="9"/>
  <c r="D63" i="5"/>
  <c r="O57" i="9"/>
  <c r="F158" i="13"/>
  <c r="P86" i="9"/>
  <c r="M55" i="9"/>
  <c r="P122" i="8"/>
  <c r="L158" i="4"/>
  <c r="L121" i="8"/>
  <c r="F218" i="13"/>
  <c r="E306" i="13"/>
  <c r="E160" i="4"/>
  <c r="E458" i="13"/>
  <c r="E97" i="8"/>
  <c r="O157" i="9"/>
  <c r="E96" i="8"/>
  <c r="P120" i="8"/>
  <c r="E502" i="13"/>
  <c r="F44" i="10"/>
  <c r="F179" i="7"/>
  <c r="G129" i="7"/>
  <c r="H135" i="7"/>
  <c r="F168" i="7"/>
  <c r="G140" i="7"/>
  <c r="H180" i="7"/>
  <c r="F133" i="7"/>
  <c r="H154" i="7"/>
  <c r="G153" i="7"/>
  <c r="H139" i="7"/>
  <c r="H130" i="7"/>
  <c r="M106" i="7"/>
  <c r="G127" i="7"/>
  <c r="F118" i="7"/>
  <c r="I117" i="1"/>
  <c r="F127" i="7"/>
  <c r="J1" i="7"/>
  <c r="F125" i="7"/>
  <c r="D60" i="5"/>
  <c r="G148" i="7"/>
  <c r="M102" i="7"/>
  <c r="H137" i="7"/>
  <c r="P147" i="8"/>
  <c r="E70" i="8"/>
  <c r="F104" i="7"/>
  <c r="F176" i="7"/>
  <c r="M103" i="7"/>
  <c r="N97" i="8"/>
  <c r="E146" i="8"/>
  <c r="H200" i="9"/>
  <c r="O93" i="9"/>
  <c r="E124" i="4"/>
  <c r="E64" i="9"/>
  <c r="K153" i="5"/>
  <c r="E219" i="8"/>
  <c r="E261" i="13"/>
  <c r="D23" i="5"/>
  <c r="D185" i="5"/>
  <c r="G92" i="9"/>
  <c r="F56" i="13"/>
  <c r="F215" i="13"/>
  <c r="E56" i="9"/>
  <c r="F200" i="9"/>
  <c r="F200" i="13"/>
  <c r="D61" i="5"/>
  <c r="E222" i="9"/>
  <c r="D228" i="9"/>
  <c r="L160" i="4"/>
  <c r="L157" i="4"/>
  <c r="D87" i="9"/>
  <c r="F79" i="13"/>
  <c r="E352" i="13"/>
  <c r="L153" i="5"/>
  <c r="C169" i="8"/>
  <c r="N55" i="9"/>
  <c r="F85" i="9"/>
  <c r="O90" i="9"/>
  <c r="N70" i="8"/>
  <c r="L158" i="5"/>
  <c r="H87" i="9"/>
  <c r="E288" i="13"/>
  <c r="H121" i="7"/>
  <c r="G146" i="7"/>
  <c r="F131" i="7"/>
  <c r="F140" i="7"/>
  <c r="F180" i="7"/>
  <c r="F100" i="7"/>
  <c r="G150" i="7"/>
  <c r="H178" i="7"/>
  <c r="F139" i="7"/>
  <c r="G122" i="7"/>
  <c r="G123" i="7"/>
  <c r="D1" i="12"/>
  <c r="G60" i="9"/>
  <c r="G154" i="7"/>
  <c r="F108" i="7"/>
  <c r="K152" i="5"/>
  <c r="G91" i="9"/>
  <c r="M159" i="5"/>
  <c r="H131" i="7"/>
  <c r="M104" i="7"/>
  <c r="C4" i="1"/>
  <c r="F216" i="13"/>
  <c r="M142" i="9"/>
  <c r="F177" i="13"/>
  <c r="C97" i="8"/>
  <c r="C105" i="8"/>
  <c r="E65" i="9"/>
  <c r="E97" i="9"/>
  <c r="G56" i="9"/>
  <c r="N54" i="9"/>
  <c r="D139" i="4" a="1"/>
  <c r="E505" i="13"/>
  <c r="G61" i="9"/>
  <c r="G85" i="9"/>
  <c r="G136" i="10"/>
  <c r="D235" i="8"/>
  <c r="F178" i="13"/>
  <c r="F155" i="10"/>
  <c r="G88" i="9"/>
  <c r="D62" i="5"/>
  <c r="P87" i="9"/>
  <c r="F197" i="13"/>
  <c r="O122" i="8"/>
  <c r="F100" i="4"/>
  <c r="D97" i="9"/>
  <c r="J1" i="9"/>
  <c r="L129" i="8"/>
  <c r="L155" i="5"/>
  <c r="E68" i="9"/>
  <c r="E106" i="8"/>
  <c r="E49" i="8"/>
  <c r="G62" i="9"/>
  <c r="O97" i="8"/>
  <c r="E480" i="13"/>
  <c r="P125" i="8"/>
  <c r="F178" i="7"/>
  <c r="H173" i="7"/>
  <c r="F101" i="7"/>
  <c r="F141" i="7"/>
  <c r="H123" i="7"/>
  <c r="H118" i="7"/>
  <c r="G134" i="7"/>
  <c r="H146" i="7"/>
  <c r="G147" i="7"/>
  <c r="H172" i="7"/>
  <c r="G135" i="7"/>
  <c r="F135" i="7"/>
  <c r="F138" i="7"/>
  <c r="H141" i="7"/>
  <c r="E534" i="13"/>
  <c r="E331" i="13"/>
  <c r="M101" i="7"/>
  <c r="N98" i="8"/>
  <c r="D176" i="5"/>
  <c r="G125" i="7"/>
  <c r="P96" i="8"/>
  <c r="D94" i="9"/>
  <c r="E537" i="13"/>
  <c r="L219" i="8"/>
  <c r="G87" i="9"/>
  <c r="O222" i="9"/>
  <c r="L228" i="9" s="1"/>
  <c r="M54" i="9"/>
  <c r="F92" i="9"/>
  <c r="E85" i="9"/>
  <c r="D131" i="5"/>
  <c r="F217" i="13"/>
  <c r="N149" i="8"/>
  <c r="M91" i="9"/>
  <c r="N155" i="10"/>
  <c r="D153" i="8"/>
  <c r="E167" i="8"/>
  <c r="M120" i="8"/>
  <c r="F104" i="4"/>
  <c r="L103" i="4"/>
  <c r="M58" i="8"/>
  <c r="G90" i="9"/>
  <c r="C102" i="8"/>
  <c r="D120" i="8"/>
  <c r="J1" i="5"/>
  <c r="M157" i="9"/>
  <c r="G200" i="9"/>
  <c r="D39" i="5"/>
  <c r="H54" i="9"/>
  <c r="N156" i="5"/>
  <c r="F90" i="9"/>
  <c r="E350" i="13"/>
  <c r="E100" i="8"/>
  <c r="O153" i="5"/>
  <c r="E434" i="13"/>
  <c r="H134" i="7"/>
  <c r="F173" i="7"/>
  <c r="F167" i="7"/>
  <c r="G117" i="7"/>
  <c r="G152" i="7"/>
  <c r="H129" i="7"/>
  <c r="H170" i="7"/>
  <c r="F166" i="7"/>
  <c r="G104" i="7"/>
  <c r="M107" i="7"/>
  <c r="M108" i="7"/>
  <c r="H149" i="7"/>
  <c r="H148" i="7"/>
  <c r="H176" i="7"/>
  <c r="E525" i="13"/>
  <c r="M99" i="8"/>
  <c r="G131" i="7"/>
  <c r="E87" i="9"/>
  <c r="P99" i="8"/>
  <c r="E62" i="4"/>
  <c r="P149" i="8"/>
  <c r="F177" i="7"/>
  <c r="H138" i="7"/>
  <c r="E22" i="4"/>
  <c r="F74" i="13"/>
  <c r="F56" i="9"/>
  <c r="H155" i="10"/>
  <c r="F182" i="13"/>
  <c r="D68" i="9"/>
  <c r="D106" i="8"/>
  <c r="D66" i="9"/>
  <c r="D59" i="9"/>
  <c r="K125" i="4" a="1"/>
  <c r="K158" i="5"/>
  <c r="F63" i="9"/>
  <c r="D96" i="8"/>
  <c r="C148" i="8"/>
  <c r="E100" i="5"/>
  <c r="N127" i="8"/>
  <c r="E142" i="9"/>
  <c r="O87" i="9"/>
  <c r="F219" i="13"/>
  <c r="H84" i="9"/>
  <c r="M126" i="8"/>
  <c r="O156" i="5"/>
  <c r="E94" i="5"/>
  <c r="N142" i="9"/>
  <c r="D20" i="5"/>
  <c r="L148" i="8"/>
  <c r="D230" i="9"/>
  <c r="E169" i="8"/>
  <c r="D93" i="9"/>
  <c r="F40" i="13"/>
  <c r="G98" i="9"/>
  <c r="E22" i="10"/>
  <c r="K41" i="4"/>
  <c r="F123" i="7"/>
  <c r="F120" i="7"/>
  <c r="G130" i="7"/>
  <c r="H152" i="7"/>
  <c r="F169" i="7"/>
  <c r="H181" i="7"/>
  <c r="F130" i="7"/>
  <c r="F170" i="7"/>
  <c r="G151" i="7"/>
  <c r="H150" i="7"/>
  <c r="G133" i="7"/>
  <c r="H122" i="7"/>
  <c r="M100" i="7"/>
  <c r="H126" i="7"/>
  <c r="H119" i="7"/>
  <c r="E477" i="13"/>
  <c r="D127" i="9"/>
  <c r="J1" i="13"/>
  <c r="C109" i="8"/>
  <c r="F54" i="9"/>
  <c r="E99" i="5"/>
  <c r="F181" i="13"/>
  <c r="G87" i="10"/>
  <c r="E54" i="9"/>
  <c r="M136" i="10"/>
  <c r="E155" i="10"/>
  <c r="E23" i="4"/>
  <c r="M152" i="5"/>
  <c r="O154" i="5"/>
  <c r="C156" i="8"/>
  <c r="F119" i="7"/>
  <c r="F107" i="7"/>
  <c r="H132" i="7"/>
  <c r="F106" i="7"/>
  <c r="N45" i="10"/>
  <c r="N42" i="10"/>
  <c r="E79" i="8"/>
  <c r="E127" i="9"/>
  <c r="F66" i="9"/>
  <c r="L88" i="9"/>
  <c r="L229" i="9"/>
  <c r="E122" i="13"/>
  <c r="P98" i="8"/>
  <c r="L154" i="5"/>
  <c r="H166" i="7"/>
  <c r="H147" i="7"/>
  <c r="F134" i="7"/>
  <c r="L157" i="9"/>
  <c r="D101" i="8"/>
  <c r="D58" i="8"/>
  <c r="P146" i="8"/>
  <c r="D56" i="9"/>
  <c r="H90" i="9"/>
  <c r="M156" i="5"/>
  <c r="F202" i="13"/>
  <c r="F86" i="9"/>
  <c r="E240" i="13"/>
  <c r="G93" i="9"/>
  <c r="D168" i="8"/>
  <c r="G59" i="9"/>
  <c r="E121" i="4"/>
  <c r="O147" i="8"/>
  <c r="O86" i="9"/>
  <c r="F142" i="9"/>
  <c r="O186" i="9"/>
  <c r="F60" i="10"/>
  <c r="D57" i="9"/>
  <c r="H62" i="9"/>
  <c r="D87" i="10"/>
  <c r="H98" i="9"/>
  <c r="D59" i="5"/>
  <c r="F94" i="9"/>
  <c r="E108" i="8"/>
  <c r="E43" i="4"/>
  <c r="P70" i="8"/>
  <c r="P127" i="9"/>
  <c r="L92" i="9"/>
  <c r="P123" i="8"/>
  <c r="N89" i="9"/>
  <c r="D224" i="9"/>
  <c r="G126" i="7"/>
  <c r="F132" i="7"/>
  <c r="F136" i="7"/>
  <c r="F146" i="7"/>
  <c r="H128" i="7"/>
  <c r="G105" i="7"/>
  <c r="G120" i="7"/>
  <c r="F102" i="7"/>
  <c r="H167" i="7"/>
  <c r="H133" i="7"/>
  <c r="G137" i="7"/>
  <c r="H127" i="7"/>
  <c r="F181" i="7"/>
  <c r="F121" i="7"/>
  <c r="F174" i="7"/>
  <c r="E474" i="13"/>
  <c r="D186" i="5"/>
  <c r="P200" i="9"/>
  <c r="E40" i="4"/>
  <c r="C107" i="8"/>
  <c r="M125" i="8"/>
  <c r="D219" i="8"/>
  <c r="L130" i="8"/>
  <c r="G186" i="9"/>
  <c r="D200" i="9"/>
  <c r="F77" i="13"/>
  <c r="G82" i="4"/>
  <c r="C108" i="8"/>
  <c r="E102" i="8"/>
  <c r="L56" i="9"/>
  <c r="F220" i="13"/>
  <c r="G138" i="7"/>
  <c r="F171" i="7"/>
  <c r="G121" i="7"/>
  <c r="F137" i="7"/>
  <c r="H142" i="9"/>
  <c r="M57" i="9"/>
  <c r="E113" i="9"/>
  <c r="O89" i="9"/>
  <c r="O125" i="8"/>
  <c r="C153" i="8"/>
  <c r="E158" i="4"/>
  <c r="K157" i="5"/>
  <c r="D180" i="5"/>
  <c r="P87" i="10"/>
  <c r="F55" i="13"/>
  <c r="G124" i="7"/>
  <c r="G128" i="7"/>
  <c r="H153" i="7"/>
  <c r="N100" i="7"/>
  <c r="G101" i="7"/>
  <c r="N107" i="7"/>
  <c r="G106" i="7"/>
  <c r="G103" i="7"/>
  <c r="N105" i="7"/>
  <c r="N104" i="7"/>
  <c r="N101" i="7"/>
  <c r="G100" i="7"/>
  <c r="N106" i="7"/>
  <c r="G108" i="7"/>
  <c r="L224" i="9"/>
  <c r="L230" i="9"/>
  <c r="D229" i="9"/>
  <c r="D227" i="9"/>
  <c r="L172" i="9"/>
  <c r="G172" i="9"/>
  <c r="F149" i="7"/>
  <c r="F154" i="7"/>
  <c r="H172" i="9"/>
  <c r="F148" i="7"/>
  <c r="O172" i="9"/>
  <c r="N172" i="9"/>
  <c r="E172" i="9"/>
  <c r="F151" i="7"/>
  <c r="F150" i="7"/>
  <c r="M172" i="9"/>
  <c r="P172" i="9"/>
  <c r="F172" i="9"/>
  <c r="F152" i="7"/>
  <c r="F147" i="7"/>
  <c r="F153" i="7"/>
  <c r="D172" i="9"/>
  <c r="L125" i="4" l="1"/>
  <c r="M125" i="4"/>
  <c r="N125" i="4"/>
  <c r="K125" i="4"/>
  <c r="O125" i="4"/>
  <c r="G139" i="4"/>
  <c r="D139" i="4"/>
  <c r="E139" i="4"/>
  <c r="H139" i="4"/>
  <c r="F139" i="4"/>
  <c r="F142" i="4"/>
  <c r="G142" i="4"/>
  <c r="H142" i="4"/>
  <c r="D142" i="4"/>
  <c r="E142" i="4"/>
  <c r="L141" i="4"/>
  <c r="K141" i="4"/>
  <c r="K139" i="4"/>
  <c r="L139" i="4"/>
  <c r="H143" i="4"/>
  <c r="G143" i="4"/>
  <c r="F143" i="4"/>
  <c r="D143" i="4"/>
  <c r="E143" i="4"/>
  <c r="L143" i="4"/>
  <c r="K143" i="4"/>
  <c r="N143" i="4"/>
  <c r="M143" i="4"/>
  <c r="L140" i="4"/>
  <c r="K140" i="4"/>
  <c r="D138" i="4"/>
  <c r="G138" i="4"/>
  <c r="E138" i="4"/>
  <c r="F138" i="4"/>
  <c r="H138" i="4"/>
  <c r="E141" i="4"/>
  <c r="H141" i="4"/>
  <c r="G141" i="4"/>
  <c r="F141" i="4"/>
  <c r="D141" i="4"/>
  <c r="K138" i="4"/>
  <c r="L138" i="4"/>
  <c r="H140" i="4"/>
  <c r="G140" i="4"/>
  <c r="D140" i="4"/>
  <c r="E140" i="4"/>
  <c r="F140" i="4"/>
  <c r="M142" i="4"/>
  <c r="N142" i="4"/>
  <c r="L142" i="4"/>
  <c r="K142" i="4"/>
  <c r="G102" i="7"/>
  <c r="L227" i="9"/>
  <c r="G107" i="7"/>
  <c r="N103" i="7"/>
  <c r="N102" i="7"/>
  <c r="N108" i="7"/>
</calcChain>
</file>

<file path=xl/sharedStrings.xml><?xml version="1.0" encoding="utf-8"?>
<sst xmlns="http://schemas.openxmlformats.org/spreadsheetml/2006/main" count="4450" uniqueCount="1616">
  <si>
    <t>GPG Finger print = 72FF 2B00 5330 8618 5CA2  5B01 D17C B4EF A54D 8FA0</t>
  </si>
  <si>
    <t>---</t>
  </si>
  <si>
    <t>SSR</t>
    <phoneticPr fontId="1"/>
  </si>
  <si>
    <t>SNP</t>
    <phoneticPr fontId="1"/>
  </si>
  <si>
    <t>M</t>
    <phoneticPr fontId="1"/>
  </si>
  <si>
    <t>Data types</t>
    <phoneticPr fontId="1"/>
  </si>
  <si>
    <t>100/110</t>
    <phoneticPr fontId="1"/>
  </si>
  <si>
    <t>100/100</t>
    <phoneticPr fontId="1"/>
  </si>
  <si>
    <t>A/B</t>
    <phoneticPr fontId="1"/>
  </si>
  <si>
    <t>A/G</t>
    <phoneticPr fontId="1"/>
  </si>
  <si>
    <t>CG</t>
    <phoneticPr fontId="1"/>
  </si>
  <si>
    <t>A</t>
    <phoneticPr fontId="1"/>
  </si>
  <si>
    <t>B</t>
    <phoneticPr fontId="1"/>
  </si>
  <si>
    <t>H</t>
    <phoneticPr fontId="1"/>
  </si>
  <si>
    <t>S</t>
    <phoneticPr fontId="1"/>
  </si>
  <si>
    <t>English</t>
    <phoneticPr fontId="1"/>
  </si>
  <si>
    <t>Japanese</t>
    <phoneticPr fontId="1"/>
  </si>
  <si>
    <t>SSR allele</t>
    <phoneticPr fontId="1"/>
  </si>
  <si>
    <t>SNP allele</t>
    <phoneticPr fontId="1"/>
  </si>
  <si>
    <t>1)</t>
    <phoneticPr fontId="1"/>
  </si>
  <si>
    <t>CP</t>
    <phoneticPr fontId="1"/>
  </si>
  <si>
    <t>&lt;abxcd&gt;</t>
    <phoneticPr fontId="1"/>
  </si>
  <si>
    <t>&lt;efxeg&gt;</t>
    <phoneticPr fontId="1"/>
  </si>
  <si>
    <t>&lt;hkxhk&gt;</t>
    <phoneticPr fontId="1"/>
  </si>
  <si>
    <t>&lt;lmxll&gt;</t>
    <phoneticPr fontId="1"/>
  </si>
  <si>
    <t>&lt;nnxnp&gt;</t>
    <phoneticPr fontId="1"/>
  </si>
  <si>
    <t>HMP</t>
    <phoneticPr fontId="1"/>
  </si>
  <si>
    <t>A</t>
  </si>
  <si>
    <t>T</t>
  </si>
  <si>
    <t>G</t>
  </si>
  <si>
    <t>C</t>
  </si>
  <si>
    <t>W</t>
  </si>
  <si>
    <t>R</t>
  </si>
  <si>
    <t>M</t>
  </si>
  <si>
    <t>K</t>
  </si>
  <si>
    <t>Y</t>
  </si>
  <si>
    <t>S</t>
  </si>
  <si>
    <t>N</t>
  </si>
  <si>
    <t>A</t>
    <phoneticPr fontId="1"/>
  </si>
  <si>
    <t>Boolean</t>
    <phoneticPr fontId="1"/>
  </si>
  <si>
    <t>100/110</t>
    <phoneticPr fontId="1"/>
  </si>
  <si>
    <t>120/130</t>
    <phoneticPr fontId="1"/>
  </si>
  <si>
    <t>AC</t>
    <phoneticPr fontId="1"/>
  </si>
  <si>
    <t>A/C</t>
  </si>
  <si>
    <t>A/C</t>
    <phoneticPr fontId="1"/>
  </si>
  <si>
    <t>C/T</t>
    <phoneticPr fontId="1"/>
  </si>
  <si>
    <t>AG</t>
  </si>
  <si>
    <t>AG</t>
    <phoneticPr fontId="1"/>
  </si>
  <si>
    <t>SSR</t>
    <phoneticPr fontId="1"/>
  </si>
  <si>
    <t>SNP</t>
    <phoneticPr fontId="1"/>
  </si>
  <si>
    <t>110/110</t>
    <phoneticPr fontId="1"/>
  </si>
  <si>
    <t>120/120</t>
    <phoneticPr fontId="1"/>
  </si>
  <si>
    <t>110/120</t>
    <phoneticPr fontId="1"/>
  </si>
  <si>
    <t>100/120</t>
  </si>
  <si>
    <t>CC</t>
    <phoneticPr fontId="1"/>
  </si>
  <si>
    <t>SSR1</t>
    <phoneticPr fontId="1"/>
  </si>
  <si>
    <t>SSR2</t>
    <phoneticPr fontId="1"/>
  </si>
  <si>
    <t>DIFF</t>
    <phoneticPr fontId="1"/>
  </si>
  <si>
    <t>146/146</t>
  </si>
  <si>
    <t>145/145</t>
  </si>
  <si>
    <t>144/144</t>
  </si>
  <si>
    <t>145/146</t>
  </si>
  <si>
    <t>AA</t>
    <phoneticPr fontId="1"/>
  </si>
  <si>
    <t>BB</t>
    <phoneticPr fontId="1"/>
  </si>
  <si>
    <t>SNP1</t>
    <phoneticPr fontId="1"/>
  </si>
  <si>
    <t>SNP2</t>
    <phoneticPr fontId="1"/>
  </si>
  <si>
    <t>110/100</t>
    <phoneticPr fontId="1"/>
  </si>
  <si>
    <t>120/100</t>
    <phoneticPr fontId="1"/>
  </si>
  <si>
    <t>A/G</t>
  </si>
  <si>
    <t>T/C</t>
  </si>
  <si>
    <t>T/A</t>
  </si>
  <si>
    <t>TOP</t>
  </si>
  <si>
    <t>H</t>
  </si>
  <si>
    <t>B</t>
  </si>
  <si>
    <t>c</t>
  </si>
  <si>
    <t>aBc</t>
  </si>
  <si>
    <t>a/b</t>
  </si>
  <si>
    <t>a</t>
    <phoneticPr fontId="1"/>
  </si>
  <si>
    <t>b</t>
    <phoneticPr fontId="1"/>
  </si>
  <si>
    <t>h</t>
    <phoneticPr fontId="1"/>
  </si>
  <si>
    <t>Allele</t>
    <phoneticPr fontId="1"/>
  </si>
  <si>
    <t>Byte</t>
    <phoneticPr fontId="1"/>
  </si>
  <si>
    <t>Hybrid</t>
    <phoneticPr fontId="1"/>
  </si>
  <si>
    <t>T</t>
    <phoneticPr fontId="1"/>
  </si>
  <si>
    <t>G</t>
    <phoneticPr fontId="1"/>
  </si>
  <si>
    <t>C</t>
    <phoneticPr fontId="1"/>
  </si>
  <si>
    <t>W</t>
    <phoneticPr fontId="1"/>
  </si>
  <si>
    <t>R</t>
    <phoneticPr fontId="1"/>
  </si>
  <si>
    <t>K</t>
    <phoneticPr fontId="1"/>
  </si>
  <si>
    <t>Y</t>
    <phoneticPr fontId="1"/>
  </si>
  <si>
    <t>N</t>
    <phoneticPr fontId="1"/>
  </si>
  <si>
    <t>REF</t>
    <phoneticPr fontId="1"/>
  </si>
  <si>
    <t>STRAND</t>
    <phoneticPr fontId="1"/>
  </si>
  <si>
    <t>CODE</t>
    <phoneticPr fontId="1"/>
  </si>
  <si>
    <t>BOT</t>
    <phoneticPr fontId="1"/>
  </si>
  <si>
    <t>A/A</t>
    <phoneticPr fontId="1"/>
  </si>
  <si>
    <t>Aa</t>
    <phoneticPr fontId="1"/>
  </si>
  <si>
    <t>ab</t>
    <phoneticPr fontId="1"/>
  </si>
  <si>
    <t>Bb</t>
    <phoneticPr fontId="1"/>
  </si>
  <si>
    <t>B/b</t>
    <phoneticPr fontId="1"/>
  </si>
  <si>
    <t>100/105</t>
    <phoneticPr fontId="1"/>
  </si>
  <si>
    <t>P1</t>
    <phoneticPr fontId="1"/>
  </si>
  <si>
    <t>P2</t>
    <phoneticPr fontId="1"/>
  </si>
  <si>
    <t>Parent1</t>
    <phoneticPr fontId="1"/>
  </si>
  <si>
    <t>Parent2</t>
    <phoneticPr fontId="1"/>
  </si>
  <si>
    <t>Child?</t>
    <phoneticPr fontId="1"/>
  </si>
  <si>
    <t>100/114</t>
  </si>
  <si>
    <t>114/114</t>
  </si>
  <si>
    <t>110/112</t>
  </si>
  <si>
    <t>114/110</t>
    <phoneticPr fontId="1"/>
  </si>
  <si>
    <t>100/112</t>
    <phoneticPr fontId="1"/>
  </si>
  <si>
    <t>110/114</t>
    <phoneticPr fontId="1"/>
  </si>
  <si>
    <t>100/114</t>
    <phoneticPr fontId="1"/>
  </si>
  <si>
    <t>114/114</t>
    <phoneticPr fontId="1"/>
  </si>
  <si>
    <t>114/120</t>
    <phoneticPr fontId="1"/>
  </si>
  <si>
    <t>112/112</t>
    <phoneticPr fontId="1"/>
  </si>
  <si>
    <t>AA</t>
  </si>
  <si>
    <t>X</t>
    <phoneticPr fontId="1"/>
  </si>
  <si>
    <t>Child</t>
    <phoneticPr fontId="1"/>
  </si>
  <si>
    <t>112/114</t>
    <phoneticPr fontId="1"/>
  </si>
  <si>
    <t>GG</t>
    <phoneticPr fontId="1"/>
  </si>
  <si>
    <t>GG</t>
  </si>
  <si>
    <t>BC1</t>
    <phoneticPr fontId="1"/>
  </si>
  <si>
    <t>F2</t>
    <phoneticPr fontId="1"/>
  </si>
  <si>
    <t>BC1/F2</t>
    <phoneticPr fontId="1"/>
  </si>
  <si>
    <t>MWillSegregate</t>
    <phoneticPr fontId="1"/>
  </si>
  <si>
    <t>MSegregateType</t>
    <phoneticPr fontId="1"/>
  </si>
  <si>
    <t>CP genotype</t>
    <phoneticPr fontId="1"/>
  </si>
  <si>
    <t>CP mode</t>
    <phoneticPr fontId="1"/>
  </si>
  <si>
    <t>GUGS Work Book</t>
    <phoneticPr fontId="1"/>
  </si>
  <si>
    <t>version</t>
    <phoneticPr fontId="1"/>
  </si>
  <si>
    <t>100/100</t>
  </si>
  <si>
    <t>100/200</t>
  </si>
  <si>
    <t>200/200</t>
  </si>
  <si>
    <t>100/110</t>
  </si>
  <si>
    <t>100/300</t>
    <phoneticPr fontId="1"/>
  </si>
  <si>
    <t>200/200</t>
    <phoneticPr fontId="1"/>
  </si>
  <si>
    <t>100/200</t>
    <phoneticPr fontId="1"/>
  </si>
  <si>
    <t>V</t>
    <phoneticPr fontId="1"/>
  </si>
  <si>
    <t>D</t>
    <phoneticPr fontId="1"/>
  </si>
  <si>
    <t>Data type</t>
    <phoneticPr fontId="1"/>
  </si>
  <si>
    <t>Input</t>
    <phoneticPr fontId="1"/>
  </si>
  <si>
    <t>Output</t>
    <phoneticPr fontId="1"/>
  </si>
  <si>
    <t>SSR</t>
    <phoneticPr fontId="1"/>
  </si>
  <si>
    <t>O</t>
    <phoneticPr fontId="1"/>
  </si>
  <si>
    <t>SSR allele</t>
    <phoneticPr fontId="1"/>
  </si>
  <si>
    <t>Example</t>
    <phoneticPr fontId="1"/>
  </si>
  <si>
    <t>100/110, 200/200 ...</t>
    <phoneticPr fontId="1"/>
  </si>
  <si>
    <t>100, 110, 200 ...</t>
    <phoneticPr fontId="1"/>
  </si>
  <si>
    <t>SNP</t>
    <phoneticPr fontId="1"/>
  </si>
  <si>
    <t>A/G, CG ...</t>
    <phoneticPr fontId="1"/>
  </si>
  <si>
    <t>SNP allele</t>
    <phoneticPr fontId="1"/>
  </si>
  <si>
    <t>M</t>
    <phoneticPr fontId="1"/>
  </si>
  <si>
    <t>-</t>
    <phoneticPr fontId="1"/>
  </si>
  <si>
    <t>Seg</t>
    <phoneticPr fontId="1"/>
  </si>
  <si>
    <t>Segregation mode; BC1, F2, F1</t>
    <phoneticPr fontId="1"/>
  </si>
  <si>
    <t>CP</t>
    <phoneticPr fontId="1"/>
  </si>
  <si>
    <t>Segregation mode for CP data type of JoinMap;
&lt;abxcd&gt;, &lt;efxeg&gt;, &lt;hkxhk&gt;, &lt;lmxll&gt;, &lt;nnxnp&gt;</t>
    <phoneticPr fontId="1"/>
  </si>
  <si>
    <t>Numeric</t>
    <phoneticPr fontId="1"/>
  </si>
  <si>
    <t>Boolean</t>
    <phoneticPr fontId="1"/>
  </si>
  <si>
    <t>A, G, C ...</t>
    <phoneticPr fontId="1"/>
  </si>
  <si>
    <t>HMP</t>
    <phoneticPr fontId="1"/>
  </si>
  <si>
    <t>HMP</t>
    <phoneticPr fontId="1"/>
  </si>
  <si>
    <t>Category of Functions</t>
    <phoneticPr fontId="1"/>
  </si>
  <si>
    <t>Parent A</t>
    <phoneticPr fontId="1"/>
  </si>
  <si>
    <t>Parent B</t>
    <phoneticPr fontId="1"/>
  </si>
  <si>
    <t>a/A</t>
    <phoneticPr fontId="1"/>
  </si>
  <si>
    <t>Data</t>
    <phoneticPr fontId="1"/>
  </si>
  <si>
    <t>Diff</t>
    <phoneticPr fontId="1"/>
  </si>
  <si>
    <t>Results</t>
    <phoneticPr fontId="1"/>
  </si>
  <si>
    <t>M data</t>
    <phoneticPr fontId="1"/>
  </si>
  <si>
    <t>SNP data</t>
    <phoneticPr fontId="1"/>
  </si>
  <si>
    <t>SSR data</t>
    <phoneticPr fontId="1"/>
  </si>
  <si>
    <t>Result</t>
    <phoneticPr fontId="1"/>
  </si>
  <si>
    <t>100/140</t>
  </si>
  <si>
    <t>140/182</t>
    <phoneticPr fontId="1"/>
  </si>
  <si>
    <t>110/150</t>
  </si>
  <si>
    <t>150/155</t>
    <phoneticPr fontId="1"/>
  </si>
  <si>
    <t>120/100</t>
  </si>
  <si>
    <t>160/160</t>
  </si>
  <si>
    <t>130/110</t>
  </si>
  <si>
    <t>140/120</t>
  </si>
  <si>
    <t>100/150</t>
  </si>
  <si>
    <t>110/160</t>
  </si>
  <si>
    <t>130/112</t>
    <phoneticPr fontId="1"/>
  </si>
  <si>
    <t>120/105</t>
    <phoneticPr fontId="1"/>
  </si>
  <si>
    <t>150/150</t>
  </si>
  <si>
    <t>110/115</t>
    <phoneticPr fontId="1"/>
  </si>
  <si>
    <t>Marker 1</t>
    <phoneticPr fontId="1"/>
  </si>
  <si>
    <t>Marker 2</t>
    <phoneticPr fontId="1"/>
  </si>
  <si>
    <t>Marker 3</t>
    <phoneticPr fontId="1"/>
  </si>
  <si>
    <t>Sample 1</t>
    <phoneticPr fontId="1"/>
  </si>
  <si>
    <t>Sample 2</t>
  </si>
  <si>
    <t>Sample 3</t>
  </si>
  <si>
    <t>Sample 4</t>
  </si>
  <si>
    <t>Sample 5</t>
  </si>
  <si>
    <t>Sample 6</t>
  </si>
  <si>
    <t>Sample 7</t>
  </si>
  <si>
    <t>Sample 8</t>
  </si>
  <si>
    <t>Sample 9</t>
  </si>
  <si>
    <t>Sample 10</t>
  </si>
  <si>
    <t>Sample 11</t>
  </si>
  <si>
    <t>Sample 12</t>
  </si>
  <si>
    <t>=UniqSSRGTs(Dataset)</t>
    <phoneticPr fontId="1"/>
  </si>
  <si>
    <t>TC</t>
  </si>
  <si>
    <t>AC</t>
  </si>
  <si>
    <t>TA</t>
  </si>
  <si>
    <t>TT</t>
  </si>
  <si>
    <t>CC</t>
  </si>
  <si>
    <t>NN</t>
  </si>
  <si>
    <t>Marker 4</t>
  </si>
  <si>
    <t>Marker 5</t>
  </si>
  <si>
    <t>=UniqSNPGTs(Dataset)</t>
    <phoneticPr fontId="1"/>
  </si>
  <si>
    <t>117/120</t>
  </si>
  <si>
    <t>130/138</t>
  </si>
  <si>
    <t>134/140</t>
  </si>
  <si>
    <t>240/240</t>
  </si>
  <si>
    <t>168/177</t>
  </si>
  <si>
    <t>120/122</t>
  </si>
  <si>
    <t>127/132</t>
  </si>
  <si>
    <t>137/140</t>
  </si>
  <si>
    <t>255/255</t>
  </si>
  <si>
    <t>115/120</t>
  </si>
  <si>
    <t>130/135</t>
  </si>
  <si>
    <t>134/134</t>
  </si>
  <si>
    <t>115/122</t>
  </si>
  <si>
    <t>132/135</t>
  </si>
  <si>
    <t>131/137</t>
  </si>
  <si>
    <t>168/180</t>
  </si>
  <si>
    <t>122/122</t>
  </si>
  <si>
    <t>127/138</t>
  </si>
  <si>
    <t>131/134</t>
  </si>
  <si>
    <t>240/255</t>
  </si>
  <si>
    <t>112/114</t>
  </si>
  <si>
    <t>135/141</t>
  </si>
  <si>
    <t>131/131</t>
  </si>
  <si>
    <t>255/258</t>
  </si>
  <si>
    <t>165/175</t>
  </si>
  <si>
    <t>112/122</t>
  </si>
  <si>
    <t>131/140</t>
  </si>
  <si>
    <t>240/258</t>
  </si>
  <si>
    <t>165/177</t>
  </si>
  <si>
    <t>168/175</t>
  </si>
  <si>
    <t>114/115</t>
  </si>
  <si>
    <t>132/138</t>
  </si>
  <si>
    <t>131/142</t>
  </si>
  <si>
    <t>177/180</t>
  </si>
  <si>
    <t>127/135</t>
  </si>
  <si>
    <t>134/137</t>
  </si>
  <si>
    <t>177/177</t>
  </si>
  <si>
    <t>138/138</t>
  </si>
  <si>
    <t>168/168</t>
  </si>
  <si>
    <t>135/138</t>
  </si>
  <si>
    <t>119/120</t>
  </si>
  <si>
    <t>119/122</t>
  </si>
  <si>
    <t>117/122</t>
  </si>
  <si>
    <t>115/121</t>
  </si>
  <si>
    <t>128/134</t>
  </si>
  <si>
    <t>115/117</t>
  </si>
  <si>
    <t>107/114</t>
  </si>
  <si>
    <t>124/132</t>
  </si>
  <si>
    <t>134/142</t>
  </si>
  <si>
    <t>177/184</t>
  </si>
  <si>
    <t>120/120</t>
  </si>
  <si>
    <t>Sample 13</t>
  </si>
  <si>
    <t>Sample 14</t>
  </si>
  <si>
    <t>Sample 15</t>
  </si>
  <si>
    <t>Sample 16</t>
  </si>
  <si>
    <t>Sample 17</t>
  </si>
  <si>
    <t>Sample 18</t>
  </si>
  <si>
    <t>Sample 19</t>
  </si>
  <si>
    <t>Sample 20</t>
  </si>
  <si>
    <t>Sample 21</t>
  </si>
  <si>
    <t>Sample 22</t>
  </si>
  <si>
    <t>Sample 23</t>
  </si>
  <si>
    <t>Sample 24</t>
  </si>
  <si>
    <t>Sample 25</t>
  </si>
  <si>
    <t>Sample 26</t>
  </si>
  <si>
    <t>Sample 27</t>
  </si>
  <si>
    <t>Sample 28</t>
  </si>
  <si>
    <t>Data normalization</t>
    <phoneticPr fontId="1"/>
  </si>
  <si>
    <t>=NormSNP(SNP)</t>
    <phoneticPr fontId="1"/>
  </si>
  <si>
    <t>=NormMC(M)</t>
    <phoneticPr fontId="1"/>
  </si>
  <si>
    <t>=NormSSR(SSR)</t>
    <phoneticPr fontId="1"/>
  </si>
  <si>
    <t>Remarks</t>
    <phoneticPr fontId="1"/>
  </si>
  <si>
    <t>Single allele (not genotype) is converted to SSR genotype format.</t>
    <phoneticPr fontId="1"/>
  </si>
  <si>
    <t>cc</t>
    <phoneticPr fontId="1"/>
  </si>
  <si>
    <t>Single letter is recognized as a homo genotype.</t>
    <phoneticPr fontId="1"/>
  </si>
  <si>
    <t>a/120</t>
    <phoneticPr fontId="1"/>
  </si>
  <si>
    <t>This is not a valid SSR genotype, but it is not checked through.</t>
    <phoneticPr fontId="1"/>
  </si>
  <si>
    <t>'3' is not a valid M genotype.</t>
    <phoneticPr fontId="1"/>
  </si>
  <si>
    <t>2)</t>
    <phoneticPr fontId="1"/>
  </si>
  <si>
    <t>Case</t>
    <phoneticPr fontId="1"/>
  </si>
  <si>
    <t>Ref</t>
    <phoneticPr fontId="1"/>
  </si>
  <si>
    <t>Rel size to Ref</t>
    <phoneticPr fontId="1"/>
  </si>
  <si>
    <t>=SSRtoRelSize(Case, Ref)</t>
    <phoneticPr fontId="1"/>
  </si>
  <si>
    <t>AC</t>
    <phoneticPr fontId="1"/>
  </si>
  <si>
    <t>CT</t>
    <phoneticPr fontId="1"/>
  </si>
  <si>
    <t>a</t>
    <phoneticPr fontId="1"/>
  </si>
  <si>
    <t>A</t>
    <phoneticPr fontId="1"/>
  </si>
  <si>
    <t>aA</t>
    <phoneticPr fontId="1"/>
  </si>
  <si>
    <t>This is a valid M genotype</t>
    <phoneticPr fontId="1"/>
  </si>
  <si>
    <t>=SNPwithSEP(SNP, Sep)</t>
    <phoneticPr fontId="1"/>
  </si>
  <si>
    <t>Sep</t>
    <phoneticPr fontId="1"/>
  </si>
  <si>
    <t>/</t>
    <phoneticPr fontId="1"/>
  </si>
  <si>
    <t>-</t>
    <phoneticPr fontId="1"/>
  </si>
  <si>
    <t>+</t>
    <phoneticPr fontId="1"/>
  </si>
  <si>
    <t>_</t>
    <phoneticPr fontId="1"/>
  </si>
  <si>
    <t>G/G</t>
    <phoneticPr fontId="1"/>
  </si>
  <si>
    <t>c/</t>
    <phoneticPr fontId="1"/>
  </si>
  <si>
    <t>3)</t>
    <phoneticPr fontId="1"/>
  </si>
  <si>
    <t>SSRtoRelSize(Case, Ref)</t>
    <phoneticPr fontId="1"/>
  </si>
  <si>
    <t>=M2SNP(M)</t>
    <phoneticPr fontId="1"/>
  </si>
  <si>
    <t>B</t>
    <phoneticPr fontId="1"/>
  </si>
  <si>
    <t>H</t>
    <phoneticPr fontId="1"/>
  </si>
  <si>
    <t>U</t>
    <phoneticPr fontId="1"/>
  </si>
  <si>
    <t>AB</t>
    <phoneticPr fontId="1"/>
  </si>
  <si>
    <t>SSRDiff( SSR )</t>
    <phoneticPr fontId="1"/>
  </si>
  <si>
    <t>NormMC(M)</t>
    <phoneticPr fontId="1"/>
  </si>
  <si>
    <t>NormSNP(SNP)</t>
    <phoneticPr fontId="1"/>
  </si>
  <si>
    <t>NormSSR(SSR)</t>
    <phoneticPr fontId="1"/>
  </si>
  <si>
    <t>interpretSNP(REF, STRAND, CODE)</t>
    <phoneticPr fontId="1"/>
  </si>
  <si>
    <t>=interpretSNP(REF, STRAND, CODE)</t>
    <phoneticPr fontId="1"/>
  </si>
  <si>
    <t>Source:</t>
    <phoneticPr fontId="1"/>
  </si>
  <si>
    <t>Results</t>
    <phoneticPr fontId="1"/>
  </si>
  <si>
    <t>Illumina's single letter genotype format is an output format of GenomeStudio.</t>
    <phoneticPr fontId="1"/>
  </si>
  <si>
    <t>X</t>
    <phoneticPr fontId="1"/>
  </si>
  <si>
    <t>A code 'X' will be 'NN' SNP genotype.</t>
    <phoneticPr fontId="1"/>
  </si>
  <si>
    <t>Null string will also be 'NN' genotype.</t>
    <phoneticPr fontId="1"/>
  </si>
  <si>
    <t>=HMP2SNP(HMP)</t>
    <phoneticPr fontId="1"/>
  </si>
  <si>
    <t>HMP2SNP(HMP)</t>
    <phoneticPr fontId="1"/>
  </si>
  <si>
    <t>RightAllele</t>
    <phoneticPr fontId="1"/>
  </si>
  <si>
    <t>SNPRightAllele</t>
    <phoneticPr fontId="1"/>
  </si>
  <si>
    <t>=RightAllele(SSR)</t>
    <phoneticPr fontId="1"/>
  </si>
  <si>
    <t>=SNPRightAllele(SNP)</t>
    <phoneticPr fontId="1"/>
  </si>
  <si>
    <t>CA</t>
    <phoneticPr fontId="1"/>
  </si>
  <si>
    <t>90/100</t>
    <phoneticPr fontId="1"/>
  </si>
  <si>
    <t>100/90</t>
    <phoneticPr fontId="1"/>
  </si>
  <si>
    <t>120/90</t>
    <phoneticPr fontId="1"/>
  </si>
  <si>
    <t>B/A</t>
    <phoneticPr fontId="1"/>
  </si>
  <si>
    <t>Three allele format is allowed (but meaningless).</t>
    <phoneticPr fontId="1"/>
  </si>
  <si>
    <t>GAC</t>
    <phoneticPr fontId="1"/>
  </si>
  <si>
    <t>The allele is not sorted with their size.</t>
    <phoneticPr fontId="1"/>
  </si>
  <si>
    <t>LeftAllele</t>
    <phoneticPr fontId="1"/>
  </si>
  <si>
    <t>SNPLeftAllele</t>
    <phoneticPr fontId="1"/>
  </si>
  <si>
    <t>http://www.bioinformatics.org/sms/iupac.html</t>
  </si>
  <si>
    <t>IsHOMOZygous</t>
    <phoneticPr fontId="1"/>
  </si>
  <si>
    <t>SNPIsHOMOZygous</t>
    <phoneticPr fontId="1"/>
  </si>
  <si>
    <t>=IsHOMOZygous(SSR)</t>
    <phoneticPr fontId="1"/>
  </si>
  <si>
    <t>=SNPIsHOMOZygous(SNP)</t>
    <phoneticPr fontId="1"/>
  </si>
  <si>
    <t>90/90</t>
    <phoneticPr fontId="1"/>
  </si>
  <si>
    <t>C/C</t>
    <phoneticPr fontId="1"/>
  </si>
  <si>
    <t>Single allele is recognized as a homozygous genotype (see NormSSR/NormSNP)</t>
    <phoneticPr fontId="1"/>
  </si>
  <si>
    <t>Separator will be ignored</t>
    <phoneticPr fontId="1"/>
  </si>
  <si>
    <t>Homozygous genotype</t>
    <phoneticPr fontId="1"/>
  </si>
  <si>
    <t>Heterozygous genotype</t>
    <phoneticPr fontId="1"/>
  </si>
  <si>
    <t>IsSameSSR</t>
    <phoneticPr fontId="1"/>
  </si>
  <si>
    <t>SNPMatch</t>
    <phoneticPr fontId="1"/>
  </si>
  <si>
    <t>*1)</t>
    <phoneticPr fontId="1"/>
  </si>
  <si>
    <t>*2)</t>
    <phoneticPr fontId="1"/>
  </si>
  <si>
    <t>A/A</t>
    <phoneticPr fontId="1"/>
  </si>
  <si>
    <t>IsIncluded</t>
    <phoneticPr fontId="1"/>
  </si>
  <si>
    <t>SNPIsIncluded</t>
    <phoneticPr fontId="1"/>
  </si>
  <si>
    <t>=IsIncluded(SSR, Allele)</t>
    <phoneticPr fontId="1"/>
  </si>
  <si>
    <t>=SNPIsIncluded(SNP, Allele)</t>
    <phoneticPr fontId="1"/>
  </si>
  <si>
    <t>100/100</t>
    <phoneticPr fontId="1"/>
  </si>
  <si>
    <t>AC</t>
    <phoneticPr fontId="1"/>
  </si>
  <si>
    <t>CA</t>
    <phoneticPr fontId="1"/>
  </si>
  <si>
    <t>gc</t>
    <phoneticPr fontId="1"/>
  </si>
  <si>
    <t>g</t>
    <phoneticPr fontId="1"/>
  </si>
  <si>
    <t>100/110</t>
    <phoneticPr fontId="1"/>
  </si>
  <si>
    <t>110/110</t>
    <phoneticPr fontId="1"/>
  </si>
  <si>
    <t>IsIncluded/SNPIsIncluded functions will return 'TRUE' value when the designated SSR/SNP genotype contains a certain allele.</t>
    <phoneticPr fontId="1"/>
  </si>
  <si>
    <t>.</t>
    <phoneticPr fontId="1"/>
  </si>
  <si>
    <t>SSR</t>
    <phoneticPr fontId="1"/>
  </si>
  <si>
    <t>100/110/120</t>
    <phoneticPr fontId="1"/>
  </si>
  <si>
    <t>100/110/120/130</t>
    <phoneticPr fontId="1"/>
  </si>
  <si>
    <t>100/110/120/130/140</t>
    <phoneticPr fontId="1"/>
  </si>
  <si>
    <t>=SSRPloidy(SSR)</t>
    <phoneticPr fontId="1"/>
  </si>
  <si>
    <t>100/110//120/130</t>
    <phoneticPr fontId="1"/>
  </si>
  <si>
    <t>&lt;= The third allele is recognized as a null.</t>
    <phoneticPr fontId="1"/>
  </si>
  <si>
    <t>=LeftAllele(SSR)</t>
    <phoneticPr fontId="1"/>
  </si>
  <si>
    <t>=SNPLeftAllele(SNP)</t>
    <phoneticPr fontId="1"/>
  </si>
  <si>
    <t>G/A</t>
    <phoneticPr fontId="1"/>
  </si>
  <si>
    <t>CT</t>
    <phoneticPr fontId="1"/>
  </si>
  <si>
    <t>ACGT</t>
    <phoneticPr fontId="1"/>
  </si>
  <si>
    <t>=SSRAllele(SSR)</t>
    <phoneticPr fontId="1"/>
  </si>
  <si>
    <t>110/120</t>
    <phoneticPr fontId="1"/>
  </si>
  <si>
    <t>SNP</t>
    <phoneticPr fontId="1"/>
  </si>
  <si>
    <t>AG</t>
    <phoneticPr fontId="1"/>
  </si>
  <si>
    <t>SNPwithSEP(SNP, Sep)</t>
    <phoneticPr fontId="1"/>
  </si>
  <si>
    <t>=IsSameSSR(SSR1, SSR2, Diff)</t>
    <phoneticPr fontId="1"/>
  </si>
  <si>
    <t>=SNPIsHOMOZygous(SNP1, SNP2)</t>
    <phoneticPr fontId="1"/>
  </si>
  <si>
    <t>f.</t>
    <phoneticPr fontId="1"/>
  </si>
  <si>
    <t>g.</t>
    <phoneticPr fontId="1"/>
  </si>
  <si>
    <t>a.</t>
    <phoneticPr fontId="1"/>
  </si>
  <si>
    <t>b.</t>
    <phoneticPr fontId="1"/>
  </si>
  <si>
    <t>c.</t>
    <phoneticPr fontId="1"/>
  </si>
  <si>
    <t>d.</t>
    <phoneticPr fontId="1"/>
  </si>
  <si>
    <t>e.</t>
    <phoneticPr fontId="1"/>
  </si>
  <si>
    <t>MWillSegregate(Parent1, Parent2)</t>
    <phoneticPr fontId="1"/>
  </si>
  <si>
    <t>MSegregateType(Parent1, Parent2)</t>
    <phoneticPr fontId="1"/>
  </si>
  <si>
    <t>a.</t>
    <phoneticPr fontId="1"/>
  </si>
  <si>
    <t>b.</t>
    <phoneticPr fontId="1"/>
  </si>
  <si>
    <t>c.</t>
    <phoneticPr fontId="1"/>
  </si>
  <si>
    <t>d.</t>
    <phoneticPr fontId="1"/>
  </si>
  <si>
    <t>e.</t>
    <phoneticPr fontId="1"/>
  </si>
  <si>
    <t>Examine genotype identity</t>
  </si>
  <si>
    <t>Examine homozygosity</t>
  </si>
  <si>
    <t>f.</t>
    <phoneticPr fontId="1"/>
  </si>
  <si>
    <t>g.</t>
    <phoneticPr fontId="1"/>
  </si>
  <si>
    <t>b.</t>
    <phoneticPr fontId="1"/>
  </si>
  <si>
    <t>c.</t>
    <phoneticPr fontId="1"/>
  </si>
  <si>
    <t>c.</t>
    <phoneticPr fontId="1"/>
  </si>
  <si>
    <t>e.</t>
    <phoneticPr fontId="1"/>
  </si>
  <si>
    <t>b.</t>
    <phoneticPr fontId="1"/>
  </si>
  <si>
    <t>Unique alleles</t>
    <phoneticPr fontId="1"/>
  </si>
  <si>
    <t>Unique genotypes</t>
    <phoneticPr fontId="1"/>
  </si>
  <si>
    <t>100/100</t>
    <phoneticPr fontId="1"/>
  </si>
  <si>
    <t>a.</t>
    <phoneticPr fontId="1"/>
  </si>
  <si>
    <t>c.</t>
    <phoneticPr fontId="1"/>
  </si>
  <si>
    <t>c.</t>
    <phoneticPr fontId="1"/>
  </si>
  <si>
    <t>e.</t>
    <phoneticPr fontId="1"/>
  </si>
  <si>
    <t>f.</t>
    <phoneticPr fontId="1"/>
  </si>
  <si>
    <t>g.</t>
    <phoneticPr fontId="1"/>
  </si>
  <si>
    <t>h.</t>
    <phoneticPr fontId="1"/>
  </si>
  <si>
    <t>i.</t>
    <phoneticPr fontId="1"/>
  </si>
  <si>
    <t>j.</t>
    <phoneticPr fontId="1"/>
  </si>
  <si>
    <t>k.</t>
    <phoneticPr fontId="1"/>
  </si>
  <si>
    <t>d.</t>
    <phoneticPr fontId="1"/>
  </si>
  <si>
    <t>e.</t>
    <phoneticPr fontId="1"/>
  </si>
  <si>
    <t>Description</t>
    <phoneticPr fontId="1"/>
  </si>
  <si>
    <t>Example:</t>
    <phoneticPr fontId="1"/>
  </si>
  <si>
    <t>Remarks:</t>
    <phoneticPr fontId="1"/>
  </si>
  <si>
    <t>Summary of the allowed data types</t>
    <phoneticPr fontId="1"/>
  </si>
  <si>
    <t>Homozygous of A (AA)</t>
    <phoneticPr fontId="1"/>
  </si>
  <si>
    <t>Homozygous of B (BB)</t>
    <phoneticPr fontId="1"/>
  </si>
  <si>
    <t>Heterozygous of A and B (AB)</t>
    <phoneticPr fontId="1"/>
  </si>
  <si>
    <t>Homozygous of major allele (AA)</t>
    <phoneticPr fontId="1"/>
  </si>
  <si>
    <t>Homozygous of minor allele (BB)</t>
    <phoneticPr fontId="1"/>
  </si>
  <si>
    <t>Heterozygous of major and minor allele (AB)</t>
    <phoneticPr fontId="1"/>
  </si>
  <si>
    <t>BC1, F2 or else</t>
    <phoneticPr fontId="1"/>
  </si>
  <si>
    <t>Homozygous of T (TT)</t>
    <phoneticPr fontId="1"/>
  </si>
  <si>
    <t>Homozygous of G (GG)</t>
    <phoneticPr fontId="1"/>
  </si>
  <si>
    <t>Homozygous of C (CC)</t>
    <phoneticPr fontId="1"/>
  </si>
  <si>
    <t>Heterozygous of A and T (AT)</t>
    <phoneticPr fontId="1"/>
  </si>
  <si>
    <t>no data</t>
    <phoneticPr fontId="1"/>
  </si>
  <si>
    <t>Heterozygous of A and G (AG)</t>
    <phoneticPr fontId="1"/>
  </si>
  <si>
    <t>Heterozygous of A and C (AC)</t>
    <phoneticPr fontId="1"/>
  </si>
  <si>
    <t>Heterozygous of T and G (TG)</t>
    <phoneticPr fontId="1"/>
  </si>
  <si>
    <t>Heterozygous of T and C (TC)</t>
    <phoneticPr fontId="1"/>
  </si>
  <si>
    <t>Heterozygous of G and C (GC)</t>
    <phoneticPr fontId="1"/>
  </si>
  <si>
    <t>h.</t>
    <phoneticPr fontId="1"/>
  </si>
  <si>
    <t>TT</t>
    <phoneticPr fontId="1"/>
  </si>
  <si>
    <t>TT</t>
    <phoneticPr fontId="1"/>
  </si>
  <si>
    <t>Allele</t>
    <phoneticPr fontId="1"/>
  </si>
  <si>
    <t>A</t>
    <phoneticPr fontId="1"/>
  </si>
  <si>
    <t>C</t>
    <phoneticPr fontId="1"/>
  </si>
  <si>
    <t>G</t>
    <phoneticPr fontId="1"/>
  </si>
  <si>
    <t>T</t>
    <phoneticPr fontId="1"/>
  </si>
  <si>
    <t>b.</t>
    <phoneticPr fontId="1"/>
  </si>
  <si>
    <t>=SSRGTFreq(Region, allele)</t>
    <phoneticPr fontId="1"/>
  </si>
  <si>
    <t>=SNPAlleleFreq(Region, allele)</t>
    <phoneticPr fontId="1"/>
  </si>
  <si>
    <t>=SNPGTFreq(Region, allele)</t>
    <phoneticPr fontId="1"/>
  </si>
  <si>
    <t>AA</t>
    <phoneticPr fontId="1"/>
  </si>
  <si>
    <t>AC</t>
    <phoneticPr fontId="1"/>
  </si>
  <si>
    <t>AG</t>
    <phoneticPr fontId="1"/>
  </si>
  <si>
    <t>AT</t>
    <phoneticPr fontId="1"/>
  </si>
  <si>
    <t>CC</t>
    <phoneticPr fontId="1"/>
  </si>
  <si>
    <t>CG</t>
    <phoneticPr fontId="1"/>
  </si>
  <si>
    <t>CT</t>
    <phoneticPr fontId="1"/>
  </si>
  <si>
    <t>GG</t>
    <phoneticPr fontId="1"/>
  </si>
  <si>
    <t>TT</t>
    <phoneticPr fontId="1"/>
  </si>
  <si>
    <t>GT</t>
    <phoneticPr fontId="1"/>
  </si>
  <si>
    <t>=SSRHo(Region)</t>
    <phoneticPr fontId="1"/>
  </si>
  <si>
    <t>Ho</t>
    <phoneticPr fontId="1"/>
  </si>
  <si>
    <t>Genotype</t>
    <phoneticPr fontId="1"/>
  </si>
  <si>
    <t>Ho</t>
    <phoneticPr fontId="1"/>
  </si>
  <si>
    <t>=SNPHo(Region)</t>
    <phoneticPr fontId="1"/>
  </si>
  <si>
    <t>=SNPPIC(Region)</t>
    <phoneticPr fontId="1"/>
  </si>
  <si>
    <t>He</t>
    <phoneticPr fontId="1"/>
  </si>
  <si>
    <t>He</t>
    <phoneticPr fontId="1"/>
  </si>
  <si>
    <t>=SSRHZ(Region)</t>
    <phoneticPr fontId="1"/>
  </si>
  <si>
    <t>=SNPHZ(Region)</t>
    <phoneticPr fontId="1"/>
  </si>
  <si>
    <t>e.</t>
    <phoneticPr fontId="1"/>
  </si>
  <si>
    <t>PIC</t>
    <phoneticPr fontId="1"/>
  </si>
  <si>
    <t>=SSRPIC(Region)</t>
    <phoneticPr fontId="1"/>
  </si>
  <si>
    <t>f.</t>
    <phoneticPr fontId="1"/>
  </si>
  <si>
    <t>Match probability (PM)</t>
    <phoneticPr fontId="1"/>
  </si>
  <si>
    <t>PM</t>
    <phoneticPr fontId="1"/>
  </si>
  <si>
    <t>=SSRPM(Region)</t>
    <phoneticPr fontId="1"/>
  </si>
  <si>
    <t>=SNPPM(Region)</t>
    <phoneticPr fontId="1"/>
  </si>
  <si>
    <t>Power of discrimination (PD)</t>
    <phoneticPr fontId="1"/>
  </si>
  <si>
    <t>PD</t>
    <phoneticPr fontId="1"/>
  </si>
  <si>
    <t>PD</t>
    <phoneticPr fontId="1"/>
  </si>
  <si>
    <t>=SSRPD(Region)</t>
    <phoneticPr fontId="1"/>
  </si>
  <si>
    <t>=SNPPD(Region)</t>
    <phoneticPr fontId="1"/>
  </si>
  <si>
    <t>h.</t>
    <phoneticPr fontId="1"/>
  </si>
  <si>
    <t>=SSRGD(Region)</t>
    <phoneticPr fontId="1"/>
  </si>
  <si>
    <t>=SNPGD(Region)</t>
    <phoneticPr fontId="1"/>
  </si>
  <si>
    <t>i.</t>
    <phoneticPr fontId="1"/>
  </si>
  <si>
    <t>=SSRGD2(Region)</t>
    <phoneticPr fontId="1"/>
  </si>
  <si>
    <t>=SNPGD2(Region)</t>
    <phoneticPr fontId="1"/>
  </si>
  <si>
    <t>j.</t>
    <phoneticPr fontId="1"/>
  </si>
  <si>
    <t>GT to examine</t>
    <phoneticPr fontId="1"/>
  </si>
  <si>
    <t>fi =</t>
    <phoneticPr fontId="1"/>
  </si>
  <si>
    <t>k.</t>
    <phoneticPr fontId="1"/>
  </si>
  <si>
    <t>P1</t>
    <phoneticPr fontId="1"/>
  </si>
  <si>
    <t>N</t>
    <phoneticPr fontId="1"/>
  </si>
  <si>
    <t>Allele sharing test (single parent test)</t>
    <phoneticPr fontId="1"/>
  </si>
  <si>
    <t>=AlleleShared(SSR1, SSR2)</t>
    <phoneticPr fontId="1"/>
  </si>
  <si>
    <t>=SNPAlleleShared(SNP1, SNP2)</t>
    <phoneticPr fontId="1"/>
  </si>
  <si>
    <t>Trio test (family test)</t>
    <phoneticPr fontId="1"/>
  </si>
  <si>
    <t>=SNPIsChild(Child, Parent1, Parent2)</t>
    <phoneticPr fontId="1"/>
  </si>
  <si>
    <t>c.</t>
    <phoneticPr fontId="1"/>
  </si>
  <si>
    <t>Child</t>
    <phoneticPr fontId="1"/>
  </si>
  <si>
    <t>Alleged parent 1</t>
    <phoneticPr fontId="1"/>
  </si>
  <si>
    <t>Alleged parent 2</t>
    <phoneticPr fontId="1"/>
  </si>
  <si>
    <t>=SSRGTProbability</t>
    <phoneticPr fontId="1"/>
  </si>
  <si>
    <t>=SNPGTProbability</t>
    <phoneticPr fontId="1"/>
  </si>
  <si>
    <t>GG</t>
    <phoneticPr fontId="1"/>
  </si>
  <si>
    <t>Alleged parent</t>
    <phoneticPr fontId="1"/>
  </si>
  <si>
    <t>=SSRParentageProbability</t>
    <phoneticPr fontId="1"/>
  </si>
  <si>
    <t>See the Work Book for the details of these functions.</t>
    <phoneticPr fontId="1"/>
  </si>
  <si>
    <t>STEP 1</t>
    <phoneticPr fontId="1"/>
  </si>
  <si>
    <t>STEP 2</t>
    <phoneticPr fontId="1"/>
  </si>
  <si>
    <t>BC1 for the parent A</t>
    <phoneticPr fontId="1"/>
  </si>
  <si>
    <t>No segregation anticipated</t>
    <phoneticPr fontId="1"/>
  </si>
  <si>
    <t>BC1 for the parent B</t>
    <phoneticPr fontId="1"/>
  </si>
  <si>
    <t>STEP 3</t>
  </si>
  <si>
    <t>F2 dominant type segregation (not valid for conversion)</t>
    <phoneticPr fontId="1"/>
  </si>
  <si>
    <t>&lt;- FALSE will be returned though F1 segregation was anticipated.</t>
    <phoneticPr fontId="1"/>
  </si>
  <si>
    <t>&lt;- FALSE will be returned though F1 segregation was anticipated.</t>
    <phoneticPr fontId="1"/>
  </si>
  <si>
    <t>&lt;- FALSE will be returned due to inconsistency of child genotype.</t>
    <phoneticPr fontId="1"/>
  </si>
  <si>
    <t>288/288</t>
    <phoneticPr fontId="1"/>
  </si>
  <si>
    <t>288/301</t>
    <phoneticPr fontId="1"/>
  </si>
  <si>
    <t>288/301</t>
    <phoneticPr fontId="1"/>
  </si>
  <si>
    <t>288/288</t>
    <phoneticPr fontId="1"/>
  </si>
  <si>
    <t>114/114</t>
    <phoneticPr fontId="1"/>
  </si>
  <si>
    <t>112/120</t>
    <phoneticPr fontId="1"/>
  </si>
  <si>
    <t>112/112</t>
    <phoneticPr fontId="1"/>
  </si>
  <si>
    <t>f.</t>
    <phoneticPr fontId="1"/>
  </si>
  <si>
    <t>122/180</t>
    <phoneticPr fontId="1"/>
  </si>
  <si>
    <t>122/180</t>
    <phoneticPr fontId="1"/>
  </si>
  <si>
    <t>122/180</t>
    <phoneticPr fontId="1"/>
  </si>
  <si>
    <t>Sample 1</t>
    <phoneticPr fontId="1"/>
  </si>
  <si>
    <t>Marker 1</t>
    <phoneticPr fontId="1"/>
  </si>
  <si>
    <t>Marker 3</t>
  </si>
  <si>
    <t>Marker 6</t>
  </si>
  <si>
    <t>Marker 7</t>
  </si>
  <si>
    <t>Marker 8</t>
  </si>
  <si>
    <t>Marker 9</t>
  </si>
  <si>
    <t>Marker 10</t>
  </si>
  <si>
    <t>Marker 11</t>
  </si>
  <si>
    <t>Marker 2</t>
    <phoneticPr fontId="1"/>
  </si>
  <si>
    <t>Marker 12</t>
    <phoneticPr fontId="1"/>
  </si>
  <si>
    <t>130/130</t>
    <phoneticPr fontId="1"/>
  </si>
  <si>
    <t>112/112</t>
    <phoneticPr fontId="1"/>
  </si>
  <si>
    <t>122/122</t>
    <phoneticPr fontId="1"/>
  </si>
  <si>
    <t>150/150</t>
    <phoneticPr fontId="1"/>
  </si>
  <si>
    <t>110/110</t>
    <phoneticPr fontId="1"/>
  </si>
  <si>
    <t>160/160</t>
    <phoneticPr fontId="1"/>
  </si>
  <si>
    <t>100/100</t>
    <phoneticPr fontId="1"/>
  </si>
  <si>
    <t>100/110</t>
    <phoneticPr fontId="1"/>
  </si>
  <si>
    <t>105/120</t>
    <phoneticPr fontId="1"/>
  </si>
  <si>
    <t>Sample 1-2</t>
    <phoneticPr fontId="1"/>
  </si>
  <si>
    <t>Sample 1-3</t>
    <phoneticPr fontId="1"/>
  </si>
  <si>
    <t>Sample 2-3</t>
    <phoneticPr fontId="1"/>
  </si>
  <si>
    <t>180/180</t>
    <phoneticPr fontId="1"/>
  </si>
  <si>
    <t>TG</t>
    <phoneticPr fontId="1"/>
  </si>
  <si>
    <t>CC</t>
    <phoneticPr fontId="1"/>
  </si>
  <si>
    <t>CT</t>
    <phoneticPr fontId="1"/>
  </si>
  <si>
    <t>TT</t>
    <phoneticPr fontId="1"/>
  </si>
  <si>
    <t>CG</t>
    <phoneticPr fontId="1"/>
  </si>
  <si>
    <t>AT</t>
    <phoneticPr fontId="1"/>
  </si>
  <si>
    <t>GG</t>
    <phoneticPr fontId="1"/>
  </si>
  <si>
    <t>AA</t>
    <phoneticPr fontId="1"/>
  </si>
  <si>
    <t>AC</t>
    <phoneticPr fontId="1"/>
  </si>
  <si>
    <t>CC</t>
    <phoneticPr fontId="1"/>
  </si>
  <si>
    <t>CC</t>
    <phoneticPr fontId="1"/>
  </si>
  <si>
    <t>TG</t>
    <phoneticPr fontId="1"/>
  </si>
  <si>
    <t>TC</t>
    <phoneticPr fontId="1"/>
  </si>
  <si>
    <t>CG</t>
    <phoneticPr fontId="1"/>
  </si>
  <si>
    <t>GG</t>
    <phoneticPr fontId="1"/>
  </si>
  <si>
    <t>C</t>
    <phoneticPr fontId="1"/>
  </si>
  <si>
    <t>A</t>
    <phoneticPr fontId="1"/>
  </si>
  <si>
    <t>H</t>
    <phoneticPr fontId="1"/>
  </si>
  <si>
    <t>B</t>
    <phoneticPr fontId="1"/>
  </si>
  <si>
    <t>A</t>
    <phoneticPr fontId="1"/>
  </si>
  <si>
    <t>A</t>
    <phoneticPr fontId="1"/>
  </si>
  <si>
    <t>T</t>
    <phoneticPr fontId="1"/>
  </si>
  <si>
    <t>T</t>
    <phoneticPr fontId="1"/>
  </si>
  <si>
    <t>C</t>
    <phoneticPr fontId="1"/>
  </si>
  <si>
    <t>C</t>
    <phoneticPr fontId="1"/>
  </si>
  <si>
    <t>Simple sequence repeat (aka. short tandem repeat; STR)</t>
    <phoneticPr fontId="1"/>
  </si>
  <si>
    <t>Single nucleotide polymorphism</t>
    <phoneticPr fontId="1"/>
  </si>
  <si>
    <t>The smaller allele will be sorted to the left side for an SSR genotype. A single allele will be converted to a homozygous genotype. Extra spaces will be removed.</t>
    <phoneticPr fontId="1"/>
  </si>
  <si>
    <t xml:space="preserve">A small character will be capitalized; the initial character will be selected from multiple characters, and the </t>
    <phoneticPr fontId="1"/>
  </si>
  <si>
    <t>remaining letters will be discarded. A numeric value or ‘Null’ is not allowed, in which case, an 'X' will be returned.</t>
    <phoneticPr fontId="1"/>
  </si>
  <si>
    <t>Small letter is converted to large letter.</t>
    <phoneticPr fontId="1"/>
  </si>
  <si>
    <t>Small letter is converted to large letter.</t>
    <phoneticPr fontId="1"/>
  </si>
  <si>
    <t>Separator string is removed.</t>
    <phoneticPr fontId="1"/>
  </si>
  <si>
    <t>The order of each allele is sorted according to their alphabetical order.</t>
    <phoneticPr fontId="1"/>
  </si>
  <si>
    <t>Null string returns null string.</t>
    <phoneticPr fontId="1"/>
  </si>
  <si>
    <t>Nothing was changed because the designated string was already formatted.</t>
    <phoneticPr fontId="1"/>
  </si>
  <si>
    <t>The order of each allele is sorted according to their size (the left should be smaller than the right)</t>
    <phoneticPr fontId="1"/>
  </si>
  <si>
    <t>Null string returns null genotype.</t>
    <phoneticPr fontId="1"/>
  </si>
  <si>
    <t>Converts alleles of an SSR genotype to the relative values against the reference genotype.</t>
    <phoneticPr fontId="1"/>
  </si>
  <si>
    <t>Converts a single-letter genotype (M) to an SNP-like two-letter genotype (AA, AB, or BB).</t>
    <phoneticPr fontId="1"/>
  </si>
  <si>
    <t>Obtain allele size difference of an SSR marker</t>
    <phoneticPr fontId="1"/>
  </si>
  <si>
    <t>Convert HapMap's single-letter genotype to an SNP genotype</t>
    <phoneticPr fontId="1"/>
  </si>
  <si>
    <t>This function converts the single-letter genotype of HapMap style to a two-letter SNP genotype according to IUPAC format.</t>
    <phoneticPr fontId="1"/>
  </si>
  <si>
    <t>These functions examine the homozygosity of a designated genotype and return the result as a Boolean value</t>
    <phoneticPr fontId="1"/>
  </si>
  <si>
    <t>(‘True’ will be returned when a designated genotype is homozygous; ‘False’ when heterozygous).</t>
    <phoneticPr fontId="1"/>
  </si>
  <si>
    <t>These functions examine whether a designated allele is included in the SSR or SNP genotype. The argument should be the allele, not the genotype.</t>
    <phoneticPr fontId="1"/>
  </si>
  <si>
    <t>This function estimates the ploidy of an SSR genotype from the number of separators in the genotype.</t>
    <phoneticPr fontId="1"/>
  </si>
  <si>
    <t>This function is available for an SSR genotype. The slash is used as the separator.</t>
    <phoneticPr fontId="1"/>
  </si>
  <si>
    <t>Split genotype into alleles</t>
    <phoneticPr fontId="1"/>
  </si>
  <si>
    <t>These functions split an SSR or SNP genotype into its individual alleles and then return each allele into separate cells.</t>
    <phoneticPr fontId="1"/>
  </si>
  <si>
    <t>The split allele will be returned as array formulas; therefore, the user should assign cells to store each allele when using these functions.</t>
    <phoneticPr fontId="1"/>
  </si>
  <si>
    <t>These functions are available for SSR or SNP genotypes.</t>
    <phoneticPr fontId="1"/>
  </si>
  <si>
    <t>These functions compare the genotypes in two designated regions pairwisely and then return the ratio of the matched genotypes in the region.</t>
    <phoneticPr fontId="1"/>
  </si>
  <si>
    <t>‘Zero’ will be returned when the sizes of the designated regions are not identical.</t>
    <phoneticPr fontId="1"/>
  </si>
  <si>
    <t>Shared Ratio</t>
    <phoneticPr fontId="1"/>
  </si>
  <si>
    <t>=SNPSharedRatio(region1, region2)</t>
    <phoneticPr fontId="1"/>
  </si>
  <si>
    <t>=SSRSharedRatio(region1, region2)</t>
    <phoneticPr fontId="1"/>
  </si>
  <si>
    <t>=MSharedRatio(region1, region2)</t>
    <phoneticPr fontId="1"/>
  </si>
  <si>
    <t>=MMatchedRatio(region1, region2)</t>
    <phoneticPr fontId="1"/>
  </si>
  <si>
    <t>=MatchedRatio(region1, region2)</t>
    <phoneticPr fontId="1"/>
  </si>
  <si>
    <t>=SNPMatchedRatio(region1, region2)</t>
    <phoneticPr fontId="1"/>
  </si>
  <si>
    <t>=SSRMatchedRatio(region1, region2)</t>
    <phoneticPr fontId="1"/>
  </si>
  <si>
    <t>GD</t>
    <phoneticPr fontId="1"/>
  </si>
  <si>
    <t>These functions return the expected heterozygosity  for a random cross population (GD) with a set of genotypes in a designated region.</t>
    <phoneticPr fontId="1"/>
  </si>
  <si>
    <t>These functions return the unbiased expected heterozygosity for a selfed population (GD2) with a set of genotypes in a designated region.</t>
    <phoneticPr fontId="1"/>
  </si>
  <si>
    <t>GD2</t>
    <phoneticPr fontId="1"/>
  </si>
  <si>
    <t>GD2</t>
    <phoneticPr fontId="1"/>
  </si>
  <si>
    <t>=SNPParentageProbability</t>
    <phoneticPr fontId="1"/>
  </si>
  <si>
    <t>=SNPAllele(SNP)</t>
    <phoneticPr fontId="1"/>
  </si>
  <si>
    <t>SSR genotype</t>
    <phoneticPr fontId="1"/>
  </si>
  <si>
    <t>SNP genotype</t>
    <phoneticPr fontId="1"/>
  </si>
  <si>
    <t>Two integer values combined with a separator (a slash is used for the separator).</t>
    <phoneticPr fontId="1"/>
  </si>
  <si>
    <t>The separator (a slash in default) is optional, and it will be ignored.</t>
    <phoneticPr fontId="1"/>
  </si>
  <si>
    <t>Any length of characters is acceptable, but the initial two letters are valid for the evaluation except for the ‘SNPAllele’ function.</t>
    <phoneticPr fontId="1"/>
  </si>
  <si>
    <t>A single-letter genotype for MapMaker/JoinMap (A/B/H)</t>
    <phoneticPr fontId="1"/>
  </si>
  <si>
    <t>CODE</t>
    <phoneticPr fontId="1"/>
  </si>
  <si>
    <t>A single letter genotype for the simplified SNP used in Illumina Genome Studio or else.</t>
    <phoneticPr fontId="1"/>
  </si>
  <si>
    <t>Seg</t>
    <phoneticPr fontId="1"/>
  </si>
  <si>
    <t>HMP is a single-letter genotype code for HapMap project</t>
    <phoneticPr fontId="1"/>
  </si>
  <si>
    <t>Numeric</t>
    <phoneticPr fontId="1"/>
  </si>
  <si>
    <t>Allowed difference for SSR matching, or returned value of various functions</t>
    <phoneticPr fontId="1"/>
  </si>
  <si>
    <t>TRUE' or 'FALSE'</t>
    <phoneticPr fontId="1"/>
  </si>
  <si>
    <t>Segregation mode for MapMaker/JoinMap</t>
    <phoneticPr fontId="1"/>
  </si>
  <si>
    <t>A single-letter genotype code for HapMap project</t>
    <phoneticPr fontId="1"/>
  </si>
  <si>
    <t>A single-letter genotype for MapMaker/JoinMap</t>
    <phoneticPr fontId="1"/>
  </si>
  <si>
    <t>CODE</t>
    <phoneticPr fontId="1"/>
  </si>
  <si>
    <t>A single-letter genotype for the simplified SNP used in Illumina Genome Studio or else</t>
    <phoneticPr fontId="1"/>
  </si>
  <si>
    <t>Allowed difference for SSR matching, or returned value of various functions</t>
    <phoneticPr fontId="1"/>
  </si>
  <si>
    <t>‘True’ or ‘False’</t>
    <phoneticPr fontId="1"/>
  </si>
  <si>
    <t>O: Available for input data, output data, or both.</t>
    <phoneticPr fontId="1"/>
  </si>
  <si>
    <t>-: Not available for input data or output data.</t>
    <phoneticPr fontId="1"/>
  </si>
  <si>
    <t>The separator (a slash in default) will be removed, and then the alleles will be sorted according to alphabetical order. All small letters will be capitalized.</t>
    <phoneticPr fontId="1"/>
  </si>
  <si>
    <t>The first character is recognized to the valid code.</t>
    <phoneticPr fontId="1"/>
  </si>
  <si>
    <t>M2SNP(M)</t>
    <phoneticPr fontId="1"/>
  </si>
  <si>
    <t>Data conversion</t>
    <phoneticPr fontId="1"/>
  </si>
  <si>
    <t>Convert Illumina's single-letter genotype to an SNP genotype</t>
    <phoneticPr fontId="1"/>
  </si>
  <si>
    <t xml:space="preserve">Ref.   </t>
    <phoneticPr fontId="1"/>
  </si>
  <si>
    <t>http://www.illumina.com/documents/products/technotes/technote_topbot.pdf</t>
    <phoneticPr fontId="1"/>
  </si>
  <si>
    <t>These functions do not sort the alleles before evaluation (See ‘Normalize genotype data’ section).</t>
    <phoneticPr fontId="1"/>
  </si>
  <si>
    <t>The allele is not sorted according to their alphabetical order.</t>
    <phoneticPr fontId="1"/>
  </si>
  <si>
    <t>The 'Right-side' means the second character from the left-side.</t>
    <phoneticPr fontId="1"/>
  </si>
  <si>
    <t>The separator will be ignored.</t>
    <phoneticPr fontId="1"/>
  </si>
  <si>
    <t>These functions examine whether the two designated SSR or SNP genotypes are identical and then return the result as a Boolean value.</t>
    <phoneticPr fontId="1"/>
  </si>
  <si>
    <t>These functions find a shared allele between two genotypes and then return the shared allele found.</t>
    <phoneticPr fontId="1"/>
  </si>
  <si>
    <t>If no allele is shared, ‘0’ (SSR) or ‘Null’ (SNP) will be returned.</t>
    <phoneticPr fontId="1"/>
  </si>
  <si>
    <t>When both alleles are shared, the left-side allele will be returned.</t>
    <phoneticPr fontId="1"/>
  </si>
  <si>
    <t>These functions convert the raw genotype of offspring for the CP mode of JoinMap.</t>
    <phoneticPr fontId="1"/>
  </si>
  <si>
    <t>These functions convert the raw genotype of offspring for the BC1 mode of JoinMap.</t>
    <phoneticPr fontId="1"/>
  </si>
  <si>
    <t>These functions convert the raw genotype of offspring for the F2 mode of JoinMap.</t>
    <phoneticPr fontId="1"/>
  </si>
  <si>
    <t>This function estimates the segregation of two, M-formatted parental genotypes among their offspring.</t>
    <phoneticPr fontId="1"/>
  </si>
  <si>
    <t>This function converts the raw genotype of an M-formatted offspring's genotype to a BC1- or F2-style genotype.</t>
    <phoneticPr fontId="1"/>
  </si>
  <si>
    <t>Offspring</t>
    <phoneticPr fontId="1"/>
  </si>
  <si>
    <t>Parent 1</t>
    <phoneticPr fontId="1"/>
  </si>
  <si>
    <t>Parent 2</t>
    <phoneticPr fontId="1"/>
  </si>
  <si>
    <t>STEP 2</t>
    <phoneticPr fontId="1"/>
  </si>
  <si>
    <t>STEP 1</t>
    <phoneticPr fontId="1"/>
  </si>
  <si>
    <t>Estimate the segregation mode of two parental genotypes according to BC1 or F2 mode</t>
    <phoneticPr fontId="1"/>
  </si>
  <si>
    <t>Examine whether M formatted genotype will segregate</t>
    <phoneticPr fontId="1"/>
  </si>
  <si>
    <t>Samples</t>
    <phoneticPr fontId="1"/>
  </si>
  <si>
    <t>These functions return the number of unique alleles in a designated region.</t>
    <phoneticPr fontId="1"/>
  </si>
  <si>
    <t>These functions return the number of unique genotypes in a designated region.</t>
    <phoneticPr fontId="1"/>
  </si>
  <si>
    <t>A ‘Null’ will be returned when the assigned index exceeds the maximum number of alleles.</t>
    <phoneticPr fontId="1"/>
  </si>
  <si>
    <t>‘Null’ will be returned when the assigned index exceeds the maximum number of genotypes.</t>
    <phoneticPr fontId="1"/>
  </si>
  <si>
    <t>DNA markers</t>
    <phoneticPr fontId="1"/>
  </si>
  <si>
    <t>These functions compare each allele in two designated regions pairwisely and then return a value for the ratio of the matched alleles in the region.</t>
    <phoneticPr fontId="1"/>
  </si>
  <si>
    <t>‘Zero’ will be returned when the sizes of the designated regions are not identical.</t>
    <phoneticPr fontId="1"/>
  </si>
  <si>
    <t>These functions return the frequency of a particular allele from a set of genotype data in a designated region.</t>
    <phoneticPr fontId="1"/>
  </si>
  <si>
    <t>‘Zero’ will be returned when the assigned allele is not observed in the region.</t>
    <phoneticPr fontId="1"/>
  </si>
  <si>
    <t>These functions return the frequency of a particular genotype from a set of genotype data in a designated region.</t>
    <phoneticPr fontId="1"/>
  </si>
  <si>
    <t>‘Zero’ will be returned when the assigned allele is not observed in the region.</t>
    <phoneticPr fontId="1"/>
  </si>
  <si>
    <t>These functions estimate the observed heterozygosity for a set of genotypes in a designated region.</t>
    <phoneticPr fontId="1"/>
  </si>
  <si>
    <t>These functions estimate the expected heterozygosity for a set of genotypes in a designated region.</t>
    <phoneticPr fontId="1"/>
  </si>
  <si>
    <t>These functions estimate the polymorphic information content (PIC) of a marker from a set of marker genotypes in a designated region.</t>
    <phoneticPr fontId="1"/>
  </si>
  <si>
    <t>PIC is the probability that each allele of an offspring can be inferred to be derived from either of the parents.</t>
    <phoneticPr fontId="1"/>
  </si>
  <si>
    <t>These functions estimate the match probability (PM) for a set of genotypes in a designated region.</t>
    <phoneticPr fontId="1"/>
  </si>
  <si>
    <t>PM is the probability that the two randomly selected individuals will have identical genotypes.</t>
    <phoneticPr fontId="1"/>
  </si>
  <si>
    <t>These functions estimate the power of discrimination (PD) for a set of genotypes in a designated region.</t>
    <phoneticPr fontId="1"/>
  </si>
  <si>
    <t>PD is the probability that the two randomly selected individuals will have a different genotype.</t>
    <phoneticPr fontId="1"/>
  </si>
  <si>
    <t>See the usage in below section for estimating the probability.</t>
    <phoneticPr fontId="1"/>
  </si>
  <si>
    <t>This function returns a direct product for the particular genotypes in a population (f0) that are estimated separately according to Ukai [3].</t>
    <phoneticPr fontId="1"/>
  </si>
  <si>
    <t>The obtained f0 value is then provided to estimate the probability P1 according to the theory by Ukai that indicates a randomly selected individual will give the same genotype set.</t>
    <phoneticPr fontId="1"/>
  </si>
  <si>
    <t>This function returns the probability of a randomly selected individual being identical in genotype to a particular individual in a population.</t>
    <phoneticPr fontId="1"/>
  </si>
  <si>
    <t>This probability is estimated from the direct power for the particular genotypes in a population (f0) obtained separately with the ‘Ukaif0’ function.</t>
    <phoneticPr fontId="1"/>
  </si>
  <si>
    <t>The P1 value is obtained according to the theory by Ukai [3].</t>
    <phoneticPr fontId="1"/>
  </si>
  <si>
    <t>These functions examine whether two genotypes share the same allele and then return the result as a Boolean value (single parent test).</t>
    <phoneticPr fontId="1"/>
  </si>
  <si>
    <t>The value will be ‘True’ when two genotypes share at least one allele or ‘False’ when nothing is shared between them.</t>
    <phoneticPr fontId="1"/>
  </si>
  <si>
    <t>The value will be ‘True’ when the given genotype is consistent with being an offspring of the parents or ‘False’</t>
    <phoneticPr fontId="1"/>
  </si>
  <si>
    <t>when the genotypes are inconsistent with belonging to a family.</t>
    <phoneticPr fontId="1"/>
  </si>
  <si>
    <t>Probability of obtaining a particular offspring from parents, T(g0|gm, ga)</t>
    <phoneticPr fontId="1"/>
  </si>
  <si>
    <t>These functions return the probability of obtaining offspring with particular genotypes from two parental individuals for which their genotypes are known.</t>
    <phoneticPr fontId="1"/>
  </si>
  <si>
    <t>The result will be ‘0’, ‘0.25’, ‘0.5’, ‘0.75’, or ‘1’ according to their genotypes.</t>
    <phoneticPr fontId="1"/>
  </si>
  <si>
    <t>These functions return the probability of obtaining offspring of a particular genotype from the random mating of a designated population.</t>
    <phoneticPr fontId="1"/>
  </si>
  <si>
    <t>These functions estimate the P(go) of Marshall (1998) [4].</t>
    <phoneticPr fontId="1"/>
  </si>
  <si>
    <t>Probability of obtaining a particular offspring from an individual of the population and an alleged parent</t>
    <phoneticPr fontId="1"/>
  </si>
  <si>
    <t>These functions estimate the probability of obtaining offspring with a particular genotype from an alleged parent and a randomly selected</t>
    <phoneticPr fontId="1"/>
  </si>
  <si>
    <t>alleged single parent in a population that is defined by the region. These functions estimate the T(g0|gm) of Marshall (1998) [4].</t>
    <phoneticPr fontId="1"/>
  </si>
  <si>
    <t>CP genotype</t>
    <phoneticPr fontId="1"/>
  </si>
  <si>
    <t>CC</t>
    <phoneticPr fontId="1"/>
  </si>
  <si>
    <t>288/301</t>
    <phoneticPr fontId="1"/>
  </si>
  <si>
    <t>AA</t>
    <phoneticPr fontId="1"/>
  </si>
  <si>
    <t>CG</t>
    <phoneticPr fontId="1"/>
  </si>
  <si>
    <t>GG</t>
    <phoneticPr fontId="1"/>
  </si>
  <si>
    <t>Allele</t>
  </si>
  <si>
    <t>Polymorphic information content (PIC)</t>
    <phoneticPr fontId="1"/>
  </si>
  <si>
    <t>Unbiased estimator of expected heterozygosity for a random population (GD)</t>
    <phoneticPr fontId="1"/>
  </si>
  <si>
    <t>Unbiased estimator of expected heterozygosity for a selfed population (GD2)</t>
    <phoneticPr fontId="1"/>
  </si>
  <si>
    <t xml:space="preserve">Direct product of genotype frequency (f0) according to Ukai’s theory of varietal identification </t>
    <phoneticPr fontId="1"/>
  </si>
  <si>
    <t>Probability that a randomly selected individual will show a genotype identical to a particular individual</t>
    <phoneticPr fontId="1"/>
  </si>
  <si>
    <t>O</t>
    <phoneticPr fontId="1"/>
  </si>
  <si>
    <t>Probability of obtaining a particular offspring from a random mating population</t>
    <phoneticPr fontId="1"/>
  </si>
  <si>
    <t>SSR</t>
  </si>
  <si>
    <t>SNP</t>
  </si>
  <si>
    <t>Converts SNP genotype without a separator to the genotype with a separator.</t>
    <phoneticPr fontId="1"/>
  </si>
  <si>
    <t>This function converts Illumina's single-letter SNP-format for a two-letter SNP genotype by referring to the reference nucleotide and strand data.</t>
    <phoneticPr fontId="1"/>
  </si>
  <si>
    <r>
      <rPr>
        <u/>
        <sz val="11"/>
        <color rgb="FFFF0000"/>
        <rFont val="Arial"/>
        <family val="2"/>
      </rPr>
      <t>Convert HapMap's single-letter genotype to an SNP genotype</t>
    </r>
    <r>
      <rPr>
        <sz val="11"/>
        <color rgb="FFFF0000"/>
        <rFont val="Arial"/>
        <family val="2"/>
      </rPr>
      <t xml:space="preserve">
</t>
    </r>
    <r>
      <rPr>
        <sz val="11"/>
        <color theme="1"/>
        <rFont val="Arial"/>
        <family val="2"/>
      </rPr>
      <t xml:space="preserve">This function converts the single-letter genotype of HapMap style to a two-letter SNP genotype according to IUPAC format.
</t>
    </r>
    <phoneticPr fontId="1"/>
  </si>
  <si>
    <r>
      <rPr>
        <u/>
        <sz val="11"/>
        <color rgb="FFFF0000"/>
        <rFont val="Arial"/>
        <family val="2"/>
      </rPr>
      <t>Examine homozygosity</t>
    </r>
    <r>
      <rPr>
        <sz val="11"/>
        <color rgb="FFFF0000"/>
        <rFont val="Arial"/>
        <family val="2"/>
      </rPr>
      <t xml:space="preserve">
</t>
    </r>
    <r>
      <rPr>
        <sz val="11"/>
        <color theme="1"/>
        <rFont val="Arial"/>
        <family val="2"/>
      </rPr>
      <t>These functions examine the homozygosity of a designated genotype and return the result as a Boolean value.</t>
    </r>
    <phoneticPr fontId="1"/>
  </si>
  <si>
    <r>
      <rPr>
        <u/>
        <sz val="11"/>
        <color rgb="FFFF0000"/>
        <rFont val="Arial"/>
        <family val="2"/>
      </rPr>
      <t>Split genotype into alleles</t>
    </r>
    <r>
      <rPr>
        <sz val="11"/>
        <color rgb="FFFF0000"/>
        <rFont val="Arial"/>
        <family val="2"/>
      </rPr>
      <t xml:space="preserve">
</t>
    </r>
    <r>
      <rPr>
        <sz val="11"/>
        <rFont val="Arial"/>
        <family val="2"/>
      </rPr>
      <t xml:space="preserve">These functions split an SSR or SNP genotype into its individual alleles and then return each allele into separate cells. The split allele will be returned as array formulas; therefore, the user should assign cells to store each allele when using these functions (specify a region to retrieve the returned array, enter the formula, then press Ctrl + Shift + Enter at once).
</t>
    </r>
    <phoneticPr fontId="1"/>
  </si>
  <si>
    <r>
      <rPr>
        <u/>
        <sz val="11"/>
        <color rgb="FFFF0000"/>
        <rFont val="Arial"/>
        <family val="2"/>
      </rPr>
      <t>Observed heterozygosity (</t>
    </r>
    <r>
      <rPr>
        <i/>
        <u/>
        <sz val="11"/>
        <color rgb="FFFF0000"/>
        <rFont val="Arial"/>
        <family val="2"/>
      </rPr>
      <t>Ho</t>
    </r>
    <r>
      <rPr>
        <u/>
        <sz val="11"/>
        <color rgb="FFFF0000"/>
        <rFont val="Arial"/>
        <family val="2"/>
      </rPr>
      <t xml:space="preserve">)
</t>
    </r>
    <r>
      <rPr>
        <sz val="11"/>
        <color theme="1"/>
        <rFont val="Arial"/>
        <family val="2"/>
      </rPr>
      <t xml:space="preserve">These functions estimate the observed heterozygosity for a set of genotypes in a designated region. This </t>
    </r>
    <r>
      <rPr>
        <i/>
        <sz val="11"/>
        <color theme="1"/>
        <rFont val="Arial"/>
        <family val="2"/>
      </rPr>
      <t>Ho</t>
    </r>
    <r>
      <rPr>
        <sz val="11"/>
        <color theme="1"/>
        <rFont val="Arial"/>
        <family val="2"/>
      </rPr>
      <t xml:space="preserve"> represents the ratio of the heterozygous genotypes in the region.
</t>
    </r>
    <phoneticPr fontId="1"/>
  </si>
  <si>
    <r>
      <rPr>
        <u/>
        <sz val="11"/>
        <color rgb="FFFF0000"/>
        <rFont val="Arial"/>
        <family val="2"/>
      </rPr>
      <t>Expected heterogyzosity (</t>
    </r>
    <r>
      <rPr>
        <i/>
        <u/>
        <sz val="11"/>
        <color rgb="FFFF0000"/>
        <rFont val="Arial"/>
        <family val="2"/>
      </rPr>
      <t>He</t>
    </r>
    <r>
      <rPr>
        <u/>
        <sz val="11"/>
        <color rgb="FFFF0000"/>
        <rFont val="Arial"/>
        <family val="2"/>
      </rPr>
      <t>)</t>
    </r>
    <r>
      <rPr>
        <sz val="11"/>
        <color theme="1"/>
        <rFont val="Arial"/>
        <family val="2"/>
      </rPr>
      <t xml:space="preserve">
These functions estimate the expected heterozygosity for a set of genotypes in a designated region.
</t>
    </r>
    <phoneticPr fontId="1"/>
  </si>
  <si>
    <r>
      <rPr>
        <u/>
        <sz val="11"/>
        <color rgb="FFFF0000"/>
        <rFont val="Arial"/>
        <family val="2"/>
      </rPr>
      <t>Polymorphic information content (PIC)</t>
    </r>
    <r>
      <rPr>
        <sz val="11"/>
        <color theme="1"/>
        <rFont val="Arial"/>
        <family val="2"/>
      </rPr>
      <t xml:space="preserve">
These functions estimate the polymorphic information content (PIC) of a marker from a set of marker genotypes in a designated region.
</t>
    </r>
    <phoneticPr fontId="1"/>
  </si>
  <si>
    <r>
      <rPr>
        <u/>
        <sz val="11"/>
        <color rgb="FFFF0000"/>
        <rFont val="Arial"/>
        <family val="2"/>
      </rPr>
      <t>Unbiased estimator of expected heterozygosity for a random population (GD)</t>
    </r>
    <r>
      <rPr>
        <sz val="11"/>
        <color theme="1"/>
        <rFont val="Arial"/>
        <family val="2"/>
      </rPr>
      <t xml:space="preserve">
These functions return the expected heterozygosity for a random cross population (GD) with a set of genotypes in a designated region.
</t>
    </r>
    <phoneticPr fontId="1"/>
  </si>
  <si>
    <r>
      <rPr>
        <u/>
        <sz val="11"/>
        <color rgb="FFFF0000"/>
        <rFont val="Arial"/>
        <family val="2"/>
      </rPr>
      <t>Direct product of genotype frequency (f0) according to Ukai’s theory of varietal identification</t>
    </r>
    <r>
      <rPr>
        <sz val="11"/>
        <color theme="1"/>
        <rFont val="Arial"/>
        <family val="2"/>
      </rPr>
      <t xml:space="preserve">
f0 = Π fi (i=1 to n)
This function returns a direct product for the particular genotypes in a population (f0) that are estimated separately according to Ukai [3]. The obtained f0 value is then provided to estimate the probability P1 according to the theory by Ukai that indicates a randomly selected individual will give the same genotype set.
</t>
    </r>
    <phoneticPr fontId="1"/>
  </si>
  <si>
    <t>NormSSR(SSR)
&gt; normarlized SSR genotype</t>
    <phoneticPr fontId="1"/>
  </si>
  <si>
    <t>NormSNP(SNP)
&gt; normarlized SNP genotype</t>
    <phoneticPr fontId="1"/>
  </si>
  <si>
    <t>NormMC(M)
&gt; normarlized M genotype</t>
    <phoneticPr fontId="1"/>
  </si>
  <si>
    <t>interpretSNP(REF, STRAND, CODE)
&gt; SNP genotype</t>
    <phoneticPr fontId="1"/>
  </si>
  <si>
    <t>HMP2SNP(HMP)
&gt; SNP genotype</t>
    <phoneticPr fontId="1"/>
  </si>
  <si>
    <t>SNPLeftAllele(SNP)
&gt; SNP allele</t>
    <phoneticPr fontId="1"/>
  </si>
  <si>
    <t>SNPRightAllele(SNP)
&gt; SNP allele</t>
    <phoneticPr fontId="1"/>
  </si>
  <si>
    <t>RightAllele(SSR)
&gt; SSR allele</t>
    <phoneticPr fontId="1"/>
  </si>
  <si>
    <t>LeftAllele(SSR)
&gt; SSR allele</t>
    <phoneticPr fontId="1"/>
  </si>
  <si>
    <t>IsHOMOZygous(SSR)
&gt; Boolean</t>
    <phoneticPr fontId="1"/>
  </si>
  <si>
    <t>SNPIsHOMOzygous(SNP)
&gt; Boolean</t>
    <phoneticPr fontId="1"/>
  </si>
  <si>
    <t>SNPMatch(SNP1, SNP2)
&gt; Boolean</t>
    <phoneticPr fontId="1"/>
  </si>
  <si>
    <t>IsIncluded(SSR, allele)
&gt; Boolean</t>
    <phoneticPr fontId="1"/>
  </si>
  <si>
    <t>SNPIsIncluded(SNP, allele)
&gt; Boolean</t>
    <phoneticPr fontId="1"/>
  </si>
  <si>
    <t>SSRPloidy(SSR)
&gt; Integer</t>
    <phoneticPr fontId="1"/>
  </si>
  <si>
    <t>SSRAlleles(SSR)
&gt;array formula for SSR alleles</t>
    <phoneticPr fontId="1"/>
  </si>
  <si>
    <t>SNPAlleles(SNP)
&gt;array formula for SNP alleles</t>
    <phoneticPr fontId="1"/>
  </si>
  <si>
    <t>SSRSharedAllele(SSR1, SSR2)
&gt; SSR allele</t>
    <phoneticPr fontId="1"/>
  </si>
  <si>
    <t>SNPSharedAllele(SNP1, SNP2)
&gt; SNP allele</t>
    <phoneticPr fontId="1"/>
  </si>
  <si>
    <t>SSR2SegType(parent1, parent2)
&gt; segregation mode</t>
    <phoneticPr fontId="1"/>
  </si>
  <si>
    <t>SNP2SegType(parent1, parent2)
&gt; segregation mode</t>
    <phoneticPr fontId="1"/>
  </si>
  <si>
    <t>SSR2BC1GT(parent1, parent2, offspring)
&gt; BC1 mode genotype</t>
    <phoneticPr fontId="1"/>
  </si>
  <si>
    <t>SNP2F2GT(parent1, parent2, offspring)
&gt; F2 mode genotype</t>
    <phoneticPr fontId="1"/>
  </si>
  <si>
    <t>MWillSegregate(parent1, parent2)
&gt; Boolean</t>
    <phoneticPr fontId="1"/>
  </si>
  <si>
    <t>MSegregateType(parent1, parent2)
&gt; segregation mode</t>
    <phoneticPr fontId="1"/>
  </si>
  <si>
    <t>UniqSSRAlleles(region for SSRs)
&gt; integer</t>
    <phoneticPr fontId="1"/>
  </si>
  <si>
    <t>UniqSNPAlleles(region for SNPs)
&gt; integer</t>
    <phoneticPr fontId="1"/>
  </si>
  <si>
    <t>UniqMAlleles(region for M)
&gt; integer</t>
    <phoneticPr fontId="1"/>
  </si>
  <si>
    <t>UniqAlleles(region for allele)
&gt; integer</t>
    <phoneticPr fontId="1"/>
  </si>
  <si>
    <t>UniqSSRGTs(region for SSRs)
&gt; integer</t>
    <phoneticPr fontId="1"/>
  </si>
  <si>
    <t>UniqSNPGTs(region for SNPs)
&gt; integer</t>
    <phoneticPr fontId="1"/>
  </si>
  <si>
    <t>UniqMGTs(region for M)
&gt; integer</t>
    <phoneticPr fontId="1"/>
  </si>
  <si>
    <t>GetUniqSSRAllele(region for SSRs, index)
&gt; SSR allele</t>
    <phoneticPr fontId="1"/>
  </si>
  <si>
    <t>GetUniqSNPAllele(region for SNPs, index)
&gt; SNP allele</t>
    <phoneticPr fontId="1"/>
  </si>
  <si>
    <t>GetUniqMAllele(region for M, index)
&gt; M allele</t>
    <phoneticPr fontId="1"/>
  </si>
  <si>
    <t>GetUniqAllele(region for allele, index)
&gt; allele</t>
    <phoneticPr fontId="1"/>
  </si>
  <si>
    <t>GetUniqSSRGT(region for SSRs, index)
&gt; SSR genoptype</t>
    <phoneticPr fontId="1"/>
  </si>
  <si>
    <t>GetUniqSNPGT(region for SNPs, index)
&gt; SNP genotype</t>
    <phoneticPr fontId="1"/>
  </si>
  <si>
    <t>GetUniqMGT(region for M, index)
&gt; M genotype</t>
    <phoneticPr fontId="1"/>
  </si>
  <si>
    <t>SSRMatchedRatio(region for SSRs1, region for SSRs2)
&gt; real</t>
    <phoneticPr fontId="1"/>
  </si>
  <si>
    <t>SNPMatchedRatio(region for SNPs1, region for SNPs2)
&gt; real</t>
    <phoneticPr fontId="1"/>
  </si>
  <si>
    <t>MMatchedRatio(region for M1, region for M2)
&gt; real</t>
    <phoneticPr fontId="1"/>
  </si>
  <si>
    <t>MatchedRatio(region for allele1, region for allele2)
&gt; real</t>
    <phoneticPr fontId="1"/>
  </si>
  <si>
    <t>SSRSharedRatio(region for SSRs1, region for SSRs2)
&gt; real</t>
    <phoneticPr fontId="1"/>
  </si>
  <si>
    <t>SNPSharedRatio(region for SNPs1, region for SNPs2)
&gt; real</t>
    <phoneticPr fontId="1"/>
  </si>
  <si>
    <t>MSharedRatio(region for M1, region for M2)
&gt; real</t>
    <phoneticPr fontId="1"/>
  </si>
  <si>
    <t>SSRAlleleFreq(region for SSRs, allele)
&gt; real</t>
    <phoneticPr fontId="1"/>
  </si>
  <si>
    <t>SNPAlleleFreq(region for SNPs, allele)
&gt; real</t>
    <phoneticPr fontId="1"/>
  </si>
  <si>
    <t>MAlleleFreq(region for Ms, allele)
&gt; real</t>
    <phoneticPr fontId="1"/>
  </si>
  <si>
    <t>AlleleFreq(region for alleles, allele)
&gt; real</t>
    <phoneticPr fontId="1"/>
  </si>
  <si>
    <t>SSRGTFreq(region for SSRs, genotype)
&gt; real</t>
    <phoneticPr fontId="1"/>
  </si>
  <si>
    <t>SNPGTFreq(region for SNPs, genotype)
&gt; real</t>
    <phoneticPr fontId="1"/>
  </si>
  <si>
    <t>MGTFreq(region for Ms, genotype)
&gt; real</t>
    <phoneticPr fontId="1"/>
  </si>
  <si>
    <t>SSRHo(region for SSRs)
&gt; real</t>
    <phoneticPr fontId="1"/>
  </si>
  <si>
    <t>SNPHo(region for SNPs)
&gt; real</t>
    <phoneticPr fontId="1"/>
  </si>
  <si>
    <t>MHo(region for Ms)
&gt; real</t>
    <phoneticPr fontId="1"/>
  </si>
  <si>
    <t>SSRHZ(region for SSRs)
&gt; real</t>
    <phoneticPr fontId="1"/>
  </si>
  <si>
    <t>SNPHZ(region for SNPs)
&gt; real</t>
    <phoneticPr fontId="1"/>
  </si>
  <si>
    <t>MHZ(region for Ms)
&gt; real</t>
    <phoneticPr fontId="1"/>
  </si>
  <si>
    <t>SSRPIC(region for SSRs)
&gt; real</t>
    <phoneticPr fontId="1"/>
  </si>
  <si>
    <t>SNPPIC(region for SNPs)
&gt; real</t>
    <phoneticPr fontId="1"/>
  </si>
  <si>
    <t>MPIC(region for Ms)
&gt; real</t>
    <phoneticPr fontId="1"/>
  </si>
  <si>
    <t>SSRPM(region for SSRs)
&gt; real</t>
    <phoneticPr fontId="1"/>
  </si>
  <si>
    <t>SNPPM(region for SNPs)
&gt; real</t>
    <phoneticPr fontId="1"/>
  </si>
  <si>
    <t>MPM(region for Ms)
&gt; real</t>
    <phoneticPr fontId="1"/>
  </si>
  <si>
    <t>SSRPD(region for SSRs)
&gt; real</t>
    <phoneticPr fontId="1"/>
  </si>
  <si>
    <t>SNPPD(region for SNPs)
&gt; real</t>
    <phoneticPr fontId="1"/>
  </si>
  <si>
    <t>MPD(region for Ms)
&gt; real</t>
    <phoneticPr fontId="1"/>
  </si>
  <si>
    <t>SSRGD(region for SSRs)
&gt; real</t>
    <phoneticPr fontId="1"/>
  </si>
  <si>
    <t>GD(region for alleles)
&gt; real</t>
    <phoneticPr fontId="1"/>
  </si>
  <si>
    <t>GD2(region for alleles)
&gt; real</t>
    <phoneticPr fontId="1"/>
  </si>
  <si>
    <r>
      <rPr>
        <sz val="11"/>
        <color rgb="FF0000FF"/>
        <rFont val="Arial"/>
        <family val="2"/>
      </rPr>
      <t>MGD2(region for Ms)
&gt; real</t>
    </r>
    <r>
      <rPr>
        <sz val="11"/>
        <color theme="1"/>
        <rFont val="Arial"/>
        <family val="2"/>
      </rPr>
      <t xml:space="preserve">
</t>
    </r>
    <phoneticPr fontId="1"/>
  </si>
  <si>
    <t>SNPGD2(region for SNPs)
&gt; real</t>
    <phoneticPr fontId="1"/>
  </si>
  <si>
    <t>SSRGD2(region for SSRs)
&gt; real</t>
    <phoneticPr fontId="1"/>
  </si>
  <si>
    <t>SNPGD(region for SNPs)
&gt; real</t>
    <phoneticPr fontId="1"/>
  </si>
  <si>
    <r>
      <rPr>
        <sz val="11"/>
        <color rgb="FF0000FF"/>
        <rFont val="Arial"/>
        <family val="2"/>
      </rPr>
      <t>UkaiP1(range for fi, N)
&gt; real</t>
    </r>
    <r>
      <rPr>
        <sz val="11"/>
        <color theme="1"/>
        <rFont val="Arial"/>
        <family val="2"/>
      </rPr>
      <t xml:space="preserve">
fi is a set of genotype frequency for individual markers, and N represents the number of samples that obtained fi. The probability P1 will be returned.
*) available for all genotypes.</t>
    </r>
    <phoneticPr fontId="1"/>
  </si>
  <si>
    <t>AlleleShared(SSR1, SSR2)
&gt; boolean</t>
    <phoneticPr fontId="1"/>
  </si>
  <si>
    <t>SNPAlleleShared(SNP1, SNP2)
&gt; boolean</t>
    <phoneticPr fontId="1"/>
  </si>
  <si>
    <t>MAlleleShared(M1, M2)
&gt; boolean</t>
    <phoneticPr fontId="1"/>
  </si>
  <si>
    <t>IsChild(offspring, parent1, parent2)
&gt; boolean</t>
    <phoneticPr fontId="1"/>
  </si>
  <si>
    <t>SNPIsChild(offspring, parent1, parent2)
&gt; boolean</t>
    <phoneticPr fontId="1"/>
  </si>
  <si>
    <t>MIsChild(offspring, parent1, parent2)
&gt; boolean</t>
    <phoneticPr fontId="1"/>
  </si>
  <si>
    <t>SNPChildProbability(offspring, parent1, parent2)
&gt; real</t>
    <phoneticPr fontId="1"/>
  </si>
  <si>
    <t>MChildProbability(offspring, parent1, parent2)
&gt; real</t>
    <phoneticPr fontId="1"/>
  </si>
  <si>
    <t>SSRGTProbability(region for SSRs, offspring)
&gt; real</t>
    <phoneticPr fontId="1"/>
  </si>
  <si>
    <t>SNPGTProbability(region for SNPs, offspring)
&gt; real</t>
    <phoneticPr fontId="1"/>
  </si>
  <si>
    <t>MGTProbability(region for Ms, offspring)
&gt; real</t>
    <phoneticPr fontId="1"/>
  </si>
  <si>
    <t>SSRParentageProbability(offspring, alleged parent, region for SSRs)
&gt; real</t>
    <phoneticPr fontId="1"/>
  </si>
  <si>
    <t>SNPParentageProbability(offspring, alleged parent, region for SNPs)
&gt; real</t>
    <phoneticPr fontId="1"/>
  </si>
  <si>
    <r>
      <rPr>
        <u/>
        <sz val="11"/>
        <color rgb="FFFF0000"/>
        <rFont val="Arial"/>
        <family val="2"/>
      </rPr>
      <t>Data conversion</t>
    </r>
    <r>
      <rPr>
        <sz val="11"/>
        <color rgb="FFFF0000"/>
        <rFont val="Arial"/>
        <family val="2"/>
      </rPr>
      <t xml:space="preserve">
</t>
    </r>
    <r>
      <rPr>
        <sz val="11"/>
        <color theme="1"/>
        <rFont val="Arial"/>
        <family val="2"/>
      </rPr>
      <t>These functions will convert SSR genotype from absolute size to relative size, insert an SNP genotype with slash, or convert single letter genotype of M-format to two letter SNP format-like genotype.</t>
    </r>
    <phoneticPr fontId="1"/>
  </si>
  <si>
    <r>
      <rPr>
        <sz val="11"/>
        <color rgb="FF0000FF"/>
        <rFont val="Arial"/>
        <family val="2"/>
      </rPr>
      <t>SNPwithSEP(SNP, separator)
&gt; SNP genotype with the separator</t>
    </r>
    <r>
      <rPr>
        <sz val="11"/>
        <color theme="1"/>
        <rFont val="Arial"/>
        <family val="2"/>
      </rPr>
      <t xml:space="preserve">
Converts SNP genotype without a separator to the genotype with a separator.</t>
    </r>
    <phoneticPr fontId="1"/>
  </si>
  <si>
    <r>
      <rPr>
        <sz val="11"/>
        <color rgb="FF0000FF"/>
        <rFont val="Arial"/>
        <family val="2"/>
      </rPr>
      <t>M2SNP(M)
&gt;SNP-like genotype</t>
    </r>
    <r>
      <rPr>
        <sz val="11"/>
        <color theme="1"/>
        <rFont val="Arial"/>
        <family val="2"/>
      </rPr>
      <t xml:space="preserve">
Converts a single-letter genotype (M) to an SNP-like two-letter genotype (AA, AB, or BB).</t>
    </r>
    <phoneticPr fontId="1"/>
  </si>
  <si>
    <r>
      <rPr>
        <u/>
        <sz val="11"/>
        <color rgb="FFFF0000"/>
        <rFont val="Arial"/>
        <family val="2"/>
      </rPr>
      <t>Convert Illumina's single letter genotype to an SNP genotype</t>
    </r>
    <r>
      <rPr>
        <sz val="11"/>
        <color rgb="FFFF0000"/>
        <rFont val="Arial"/>
        <family val="2"/>
      </rPr>
      <t xml:space="preserve">
</t>
    </r>
    <r>
      <rPr>
        <sz val="11"/>
        <color theme="1"/>
        <rFont val="Arial"/>
        <family val="2"/>
      </rPr>
      <t xml:space="preserve">This function converts Illumina's single-letter SNP-format for a two-letter SNP genotype by referring to the reference nucleotide and strand data.
</t>
    </r>
    <phoneticPr fontId="1"/>
  </si>
  <si>
    <r>
      <rPr>
        <sz val="11"/>
        <color rgb="FF0000FF"/>
        <rFont val="Arial"/>
        <family val="2"/>
      </rPr>
      <t>SSR2F2GT(parent1, parent2, offspring)
&gt; F2 mode genotype</t>
    </r>
    <r>
      <rPr>
        <sz val="11"/>
        <color theme="1"/>
        <rFont val="Arial"/>
        <family val="2"/>
      </rPr>
      <t xml:space="preserve">
</t>
    </r>
    <phoneticPr fontId="1"/>
  </si>
  <si>
    <r>
      <t>*) '</t>
    </r>
    <r>
      <rPr>
        <b/>
        <sz val="11"/>
        <color theme="1"/>
        <rFont val="Times New Roman"/>
        <family val="1"/>
      </rPr>
      <t>UniqAlleles'</t>
    </r>
    <r>
      <rPr>
        <sz val="11"/>
        <color theme="1"/>
        <rFont val="Times New Roman"/>
        <family val="1"/>
      </rPr>
      <t xml:space="preserve"> function is available for this method.</t>
    </r>
    <phoneticPr fontId="1"/>
  </si>
  <si>
    <r>
      <t>*) '</t>
    </r>
    <r>
      <rPr>
        <b/>
        <sz val="11"/>
        <color theme="1"/>
        <rFont val="Times New Roman"/>
        <family val="1"/>
      </rPr>
      <t>GetUniqAllele'</t>
    </r>
    <r>
      <rPr>
        <sz val="11"/>
        <color theme="1"/>
        <rFont val="Times New Roman"/>
        <family val="1"/>
      </rPr>
      <t xml:space="preserve"> function is available for this method.</t>
    </r>
    <phoneticPr fontId="1"/>
  </si>
  <si>
    <r>
      <rPr>
        <u/>
        <sz val="11"/>
        <color rgb="FFFF0000"/>
        <rFont val="Arial"/>
        <family val="2"/>
      </rPr>
      <t xml:space="preserve">Match probability (PM)
</t>
    </r>
    <r>
      <rPr>
        <sz val="11"/>
        <color theme="1"/>
        <rFont val="Arial"/>
        <family val="2"/>
      </rPr>
      <t>This function will return a value for match probability (PM) for a set of genotype in a designated region. PM is the probability that the two randomly selected individuals will have identical genotype.</t>
    </r>
    <phoneticPr fontId="1"/>
  </si>
  <si>
    <r>
      <rPr>
        <u/>
        <sz val="11"/>
        <color rgb="FFFF0000"/>
        <rFont val="Arial"/>
        <family val="2"/>
      </rPr>
      <t xml:space="preserve">Power of discrimination (PD)
</t>
    </r>
    <r>
      <rPr>
        <sz val="11"/>
        <color theme="1"/>
        <rFont val="Arial"/>
        <family val="2"/>
      </rPr>
      <t xml:space="preserve">These functions estimate the power of discrimination (PD) for a set of genotypes in a designated region.
</t>
    </r>
    <phoneticPr fontId="1"/>
  </si>
  <si>
    <r>
      <rPr>
        <sz val="11"/>
        <color rgb="FF0000FF"/>
        <rFont val="Arial"/>
        <family val="2"/>
      </rPr>
      <t>MGD(region for Ms)
&gt; real</t>
    </r>
    <r>
      <rPr>
        <sz val="11"/>
        <color theme="1"/>
        <rFont val="Arial"/>
        <family val="2"/>
      </rPr>
      <t xml:space="preserve">
</t>
    </r>
    <phoneticPr fontId="1"/>
  </si>
  <si>
    <r>
      <rPr>
        <u/>
        <sz val="11"/>
        <color rgb="FFFF0000"/>
        <rFont val="Arial"/>
        <family val="2"/>
      </rPr>
      <t>Unbiased estimator of expected heterozygosity for a selfed population (GD2)</t>
    </r>
    <r>
      <rPr>
        <sz val="11"/>
        <color theme="1"/>
        <rFont val="Arial"/>
        <family val="2"/>
      </rPr>
      <t xml:space="preserve">
These functions return the unbiased expected heterozygosity for a selfed population (GD2) with a set of genotypes in a designated region.
</t>
    </r>
    <phoneticPr fontId="1"/>
  </si>
  <si>
    <r>
      <rPr>
        <sz val="11"/>
        <color rgb="FF0000FF"/>
        <rFont val="Arial"/>
        <family val="2"/>
      </rPr>
      <t>Ukaif0(range for fi) 
&gt; real</t>
    </r>
    <r>
      <rPr>
        <sz val="11"/>
        <color theme="1"/>
        <rFont val="Arial"/>
        <family val="2"/>
      </rPr>
      <t xml:space="preserve">
*) available for all genotypes.</t>
    </r>
    <phoneticPr fontId="1"/>
  </si>
  <si>
    <r>
      <rPr>
        <u/>
        <sz val="11"/>
        <color rgb="FFFF0000"/>
        <rFont val="Arial"/>
        <family val="2"/>
      </rPr>
      <t>Probability that a randomly selected individual will show a genotype identical to a particular individual</t>
    </r>
    <r>
      <rPr>
        <sz val="11"/>
        <color theme="1"/>
        <rFont val="Arial"/>
        <family val="2"/>
      </rPr>
      <t xml:space="preserve">
This function returns the probability of a randomly selected individual being identical in genotype to a particular individual in a population. This probability is estimated from the direct power for the particular genotypes in a population (f0) obtained separately with the ‘Ukaif0’ function. The P1 value is obtained according to the theory by Ukai.
</t>
    </r>
    <phoneticPr fontId="1"/>
  </si>
  <si>
    <r>
      <rPr>
        <u/>
        <sz val="11"/>
        <color rgb="FFFF0000"/>
        <rFont val="Arial"/>
        <family val="2"/>
      </rPr>
      <t>Allele sharing test (single parent test)</t>
    </r>
    <r>
      <rPr>
        <sz val="11"/>
        <color theme="1"/>
        <rFont val="Arial"/>
        <family val="2"/>
      </rPr>
      <t xml:space="preserve">
These functions examine whether two genotypes share the same allele and then return the result as a Boolean value (single parent test). The value will be ‘True’ when two genotypes share at least one allele or ‘False’ when nothing is shared between them.
</t>
    </r>
    <phoneticPr fontId="1"/>
  </si>
  <si>
    <r>
      <rPr>
        <u/>
        <sz val="11"/>
        <color rgb="FFFF0000"/>
        <rFont val="Arial"/>
        <family val="2"/>
      </rPr>
      <t>Trio test (family test)</t>
    </r>
    <r>
      <rPr>
        <sz val="11"/>
        <color theme="1"/>
        <rFont val="Arial"/>
        <family val="2"/>
      </rPr>
      <t xml:space="preserve">
These functions examine whether a particular genotype of an offspiring is consistent with those of two parents and then return the result as a Boolean value. The value will be ‘True’ when the given genotype is consistent with being an offspring of the parents or ‘False’ when the genotypes are inconsistent with belonging to a family.
</t>
    </r>
    <phoneticPr fontId="1"/>
  </si>
  <si>
    <r>
      <rPr>
        <u/>
        <sz val="11"/>
        <color rgb="FFFF0000"/>
        <rFont val="Arial"/>
        <family val="2"/>
      </rPr>
      <t>Probability of obtaining a particular offspring from parents</t>
    </r>
    <r>
      <rPr>
        <sz val="11"/>
        <color theme="1"/>
        <rFont val="Arial"/>
        <family val="2"/>
      </rPr>
      <t xml:space="preserve">
These functions return the probability of obtaining offspring with particular genotypes from two parental individuals for which their genotypes are known.
These functions estimate T(g0|gm, ga) by Marshall (1998) from the proposed genotypes of the offsrping and parents. 
The result will be ‘0’, ‘0.25’, ‘0.5’, ‘0.75’, or ‘1’ according to their genotypes.
</t>
    </r>
    <phoneticPr fontId="1"/>
  </si>
  <si>
    <r>
      <rPr>
        <sz val="11"/>
        <color rgb="FF0000FF"/>
        <rFont val="Arial"/>
        <family val="2"/>
      </rPr>
      <t>SSRChildProbability(offspring, parent1, parent2, diff)
&gt; real</t>
    </r>
    <r>
      <rPr>
        <sz val="11"/>
        <color theme="1"/>
        <rFont val="Arial"/>
        <family val="2"/>
      </rPr>
      <t xml:space="preserve">
SSR genotype allowed up to DIFF differences for individual allele, but heterozygosity/homozygosity should be identical between SSR1 and SSR2.</t>
    </r>
    <phoneticPr fontId="1"/>
  </si>
  <si>
    <r>
      <rPr>
        <u/>
        <sz val="11"/>
        <color rgb="FFFF0000"/>
        <rFont val="Arial"/>
        <family val="2"/>
      </rPr>
      <t>Probability of obtaining a particular offspring from a random mating population</t>
    </r>
    <r>
      <rPr>
        <sz val="11"/>
        <color theme="1"/>
        <rFont val="Arial"/>
        <family val="2"/>
      </rPr>
      <t xml:space="preserve">
These functions return the probability of obtaining offspring of a particular genotype from the random mating of a designated population. These functions estimate the P(go) of Marshall (1998).
</t>
    </r>
    <phoneticPr fontId="1"/>
  </si>
  <si>
    <r>
      <rPr>
        <u/>
        <sz val="11"/>
        <color rgb="FFFF0000"/>
        <rFont val="Arial"/>
        <family val="2"/>
      </rPr>
      <t>Probability of obtaining a particular offspring from an individual of the population and an alleged parent</t>
    </r>
    <r>
      <rPr>
        <sz val="11"/>
        <color theme="1"/>
        <rFont val="Arial"/>
        <family val="2"/>
      </rPr>
      <t xml:space="preserve">
These functions estimate the probability of obtaining offspring with a particular genotype from an alleged parent and a randomly selected alleged single parent in a population that is defined by the region. These functions estimate the T(g0|gm) of Marshall (1998).
</t>
    </r>
    <phoneticPr fontId="1"/>
  </si>
  <si>
    <r>
      <rPr>
        <sz val="11"/>
        <color rgb="FF0000FF"/>
        <rFont val="Arial"/>
        <family val="2"/>
      </rPr>
      <t>SSRtoRelSize(sample SSR, reference SSR)
&gt; SSR genotype relative to the reference</t>
    </r>
    <r>
      <rPr>
        <sz val="11"/>
        <color theme="1"/>
        <rFont val="Arial"/>
        <family val="2"/>
      </rPr>
      <t xml:space="preserve">
Converts alleles of an SSR genotype to the relative values against the reference genotype.</t>
    </r>
    <phoneticPr fontId="1"/>
  </si>
  <si>
    <r>
      <rPr>
        <sz val="11"/>
        <color rgb="FF0000FF"/>
        <rFont val="Arial"/>
        <family val="2"/>
      </rPr>
      <t>SSRDiff(SSR)</t>
    </r>
    <r>
      <rPr>
        <sz val="11"/>
        <color theme="1"/>
        <rFont val="Arial"/>
        <family val="2"/>
      </rPr>
      <t xml:space="preserve">
</t>
    </r>
    <r>
      <rPr>
        <sz val="11"/>
        <color rgb="FF0000FF"/>
        <rFont val="Arial"/>
        <family val="2"/>
      </rPr>
      <t xml:space="preserve">&gt; integer </t>
    </r>
    <r>
      <rPr>
        <sz val="11"/>
        <color theme="1"/>
        <rFont val="Arial"/>
        <family val="2"/>
      </rPr>
      <t xml:space="preserve">
</t>
    </r>
    <phoneticPr fontId="1"/>
  </si>
  <si>
    <r>
      <rPr>
        <u/>
        <sz val="11"/>
        <color rgb="FFFF0000"/>
        <rFont val="Arial"/>
        <family val="2"/>
      </rPr>
      <t>Examine genotype identity</t>
    </r>
    <r>
      <rPr>
        <sz val="11"/>
        <color theme="1"/>
        <rFont val="Arial"/>
        <family val="2"/>
      </rPr>
      <t xml:space="preserve">
These functions examine whether the two designated SSR or SNP genotypes are identical and then return the result as a Boolean value. The given genotype data will be normalized before the identity check.</t>
    </r>
    <phoneticPr fontId="1"/>
  </si>
  <si>
    <r>
      <rPr>
        <sz val="11"/>
        <color rgb="FF0000FF"/>
        <rFont val="Arial"/>
        <family val="2"/>
      </rPr>
      <t>SNP2BC1GT(parent1, parent2, offspring)
&gt; BC1 mode genotype</t>
    </r>
    <r>
      <rPr>
        <sz val="11"/>
        <color theme="1"/>
        <rFont val="Arial"/>
        <family val="2"/>
      </rPr>
      <t xml:space="preserve">
</t>
    </r>
    <phoneticPr fontId="1"/>
  </si>
  <si>
    <r>
      <rPr>
        <u/>
        <sz val="11"/>
        <color rgb="FFFF0000"/>
        <rFont val="Arial"/>
        <family val="2"/>
      </rPr>
      <t>Completement nucleotide</t>
    </r>
    <r>
      <rPr>
        <sz val="11"/>
        <color theme="1"/>
        <rFont val="Arial"/>
        <family val="2"/>
      </rPr>
      <t xml:space="preserve">
This function returns complement nucleotide (not for sequence).</t>
    </r>
    <phoneticPr fontId="1"/>
  </si>
  <si>
    <t>revcomp("CAAGCTACA")  
&gt;TGTAGCTTG</t>
    <phoneticPr fontId="1"/>
  </si>
  <si>
    <r>
      <rPr>
        <u/>
        <sz val="11"/>
        <color rgb="FFFF0000"/>
        <rFont val="Arial"/>
        <family val="2"/>
      </rPr>
      <t>Complementary sequence</t>
    </r>
    <r>
      <rPr>
        <sz val="11"/>
        <color theme="1"/>
        <rFont val="Arial"/>
        <family val="2"/>
      </rPr>
      <t xml:space="preserve">
This functions returns the complementary sequence. This function is valid for nucleotide sequence.
</t>
    </r>
    <phoneticPr fontId="1"/>
  </si>
  <si>
    <t>e.</t>
    <phoneticPr fontId="1"/>
  </si>
  <si>
    <r>
      <rPr>
        <u/>
        <sz val="11"/>
        <color rgb="FFFF0000"/>
        <rFont val="Arial"/>
        <family val="2"/>
      </rPr>
      <t>Bracketting a code in the sequence</t>
    </r>
    <r>
      <rPr>
        <sz val="11"/>
        <color theme="1"/>
        <rFont val="Arial"/>
        <family val="2"/>
      </rPr>
      <t xml:space="preserve">
This functions enclose a code at Nth position in the seqeuence with bracket. This function is available for DNA/RNA/amino acid sequence.
</t>
    </r>
    <phoneticPr fontId="1"/>
  </si>
  <si>
    <t>splitseq("CAAGCTACAGTGTAATTTACGAGCCCAATTTTGCTACTGGTCACCCTCTGACTCAACAAT", 3)  
&gt;CAA GCT ACA GTG TAA TTT ACG AGC CCA ATT TTG CTA CTG GTC ACC CTC TGA CTC AAC AAT 
splitseq("CAAGCTACAGTGTAATTTACGAGCCCAATTTTGCTACTGGTCACCCTCTGACTCAACAAT", 5)  
&gt;CAAGC TACAG TGTAA TTTAC GAGCC CAATT TTGCT ACTGG TCACC CTCTG ACTCA ACAAT</t>
    <phoneticPr fontId="1"/>
  </si>
  <si>
    <t>shrink("CAA GCT ACA GTG TAA TTT ACG AGC CCA ATT TTG CTA CTG GTC ACC CTC TGA CTC AAC AAT")  
&gt;CAAGCTACAGTGTAATTTACGAGCCCAATTTTGCTACTGGTCACCCTCTGACTCAACAAT
shrink("CAAGCTACAGTGTAATTTACGAGCCCAATTTTGCTACTGGTCACCCTCTGACTCAACAA[T]")
&gt;CAAGCTACAGTGTAATTTACGAGCCCAATTTTGCTACTGGTCACCCTCTGACTCAACAAT</t>
    <phoneticPr fontId="1"/>
  </si>
  <si>
    <t>toRNA("CAAGCTACA")  
&gt;CAAGCUACA</t>
    <phoneticPr fontId="1"/>
  </si>
  <si>
    <t>toDNA("CAAGCUACA")  
&gt;CAAGCTACA</t>
    <phoneticPr fontId="1"/>
  </si>
  <si>
    <t>bracket("CAAGCTACAGTGTAATTTACGAGCCCAATTTTGCTACTGGTCACCCTCTGACTCAACAAT", 3)  
&gt;CA[A]GCTACAGTGTAATTTACGAGCCCAATTTTGCTACTGGTCACCCTCTGACTCAACAAT
bracket("CAAGCTACAGTGTAATTTACGAGCCCAATTTTGCTACTGGTCACCCTCTGACTCAACAAT", 1000)  
&gt;CAAGCTACAGTGTAATTTACGAGCCCAATTTTGCTACTGGTCACCCTCTGACTCAACAA[T]</t>
    <phoneticPr fontId="1"/>
  </si>
  <si>
    <t>fold("CAAGCTACAGTGTAATTTACGAGCCCAATTTTGCTACTGGTCACCCTCTGACTCAACAAT", 10)  
&gt;CAAGCTACAG
TGTAATTTAC
GAGCCCAATT
TTGCTACTGG
TCACCCTCTG
ACTCAACAAT</t>
    <phoneticPr fontId="1"/>
  </si>
  <si>
    <r>
      <rPr>
        <u/>
        <sz val="11"/>
        <color rgb="FFFF0000"/>
        <rFont val="Arial"/>
        <family val="2"/>
      </rPr>
      <t>Convert the RNA sequence to DNA sequence</t>
    </r>
    <r>
      <rPr>
        <sz val="11"/>
        <color theme="1"/>
        <rFont val="Arial"/>
        <family val="2"/>
      </rPr>
      <t xml:space="preserve">
This functions convert U/u to T/t in the sequence. This function is valid for RNA sequence.
</t>
    </r>
    <phoneticPr fontId="1"/>
  </si>
  <si>
    <r>
      <rPr>
        <u/>
        <sz val="11"/>
        <color rgb="FFFF0000"/>
        <rFont val="Arial"/>
        <family val="2"/>
      </rPr>
      <t>Split the sequence with space</t>
    </r>
    <r>
      <rPr>
        <sz val="11"/>
        <color theme="1"/>
        <rFont val="Arial"/>
        <family val="2"/>
      </rPr>
      <t xml:space="preserve">
This functions split the sequence with space at every Nth position. This function is available for DNA/RNA/amino acid sequence.
</t>
    </r>
    <phoneticPr fontId="1"/>
  </si>
  <si>
    <r>
      <rPr>
        <u/>
        <sz val="11"/>
        <color rgb="FFFF0000"/>
        <rFont val="Arial"/>
        <family val="2"/>
      </rPr>
      <t>Reverse sequence</t>
    </r>
    <r>
      <rPr>
        <sz val="11"/>
        <color theme="1"/>
        <rFont val="Arial"/>
        <family val="2"/>
      </rPr>
      <t xml:space="preserve">
This function returns sequence in reverse direction. This function is available for DNA/RNA/amino acid sequence.</t>
    </r>
    <phoneticPr fontId="1"/>
  </si>
  <si>
    <t>= compnuc("A")
&gt;"T"
= compnuc("C")
&gt;"G"</t>
    <phoneticPr fontId="1"/>
  </si>
  <si>
    <t>This function returns complement nucleotide (not for sequence).</t>
    <phoneticPr fontId="1"/>
  </si>
  <si>
    <t>Usage:</t>
    <phoneticPr fontId="1"/>
  </si>
  <si>
    <t>=compnuc(NUC)</t>
    <phoneticPr fontId="1"/>
  </si>
  <si>
    <t>Argument</t>
    <phoneticPr fontId="1"/>
  </si>
  <si>
    <t>Return</t>
    <phoneticPr fontId="1"/>
  </si>
  <si>
    <t>G</t>
    <phoneticPr fontId="1"/>
  </si>
  <si>
    <t>"*" will be returned for invalid character.</t>
    <phoneticPr fontId="1"/>
  </si>
  <si>
    <t>ACC</t>
    <phoneticPr fontId="1"/>
  </si>
  <si>
    <t>Argument:</t>
    <phoneticPr fontId="1"/>
  </si>
  <si>
    <t>Return value:</t>
    <phoneticPr fontId="1"/>
  </si>
  <si>
    <t>Reverse sequence</t>
  </si>
  <si>
    <t>=reverse(SEQ)</t>
    <phoneticPr fontId="1"/>
  </si>
  <si>
    <t>ACGT</t>
    <phoneticPr fontId="1"/>
  </si>
  <si>
    <t>CAAGCTACA</t>
  </si>
  <si>
    <t>reverse("CAAGCTACA")  ;; nucleotide sequence
&gt;ACATCGAAC
reverse("KLQCNLRA")    ;; amino acid sequence
&gt;ARLNCQLK</t>
    <phoneticPr fontId="1"/>
  </si>
  <si>
    <t>KLQCNLRA</t>
  </si>
  <si>
    <t xml:space="preserve">This function returns sequence in reverse direction. </t>
    <phoneticPr fontId="1"/>
  </si>
  <si>
    <t>This function is available for DNA/RNA/amino acid sequence.</t>
    <phoneticPr fontId="1"/>
  </si>
  <si>
    <t>Reversed sequence</t>
    <phoneticPr fontId="1"/>
  </si>
  <si>
    <t>ATTNCC</t>
    <phoneticPr fontId="1"/>
  </si>
  <si>
    <t>AAAGU</t>
    <phoneticPr fontId="1"/>
  </si>
  <si>
    <t>DNA sequence</t>
    <phoneticPr fontId="1"/>
  </si>
  <si>
    <t>DNA sequence</t>
    <phoneticPr fontId="1"/>
  </si>
  <si>
    <t>Amino acid sequence</t>
    <phoneticPr fontId="1"/>
  </si>
  <si>
    <t>RNA sequence</t>
    <phoneticPr fontId="1"/>
  </si>
  <si>
    <t>DNA sequence containing N</t>
    <phoneticPr fontId="1"/>
  </si>
  <si>
    <t>NULL will give NULL</t>
    <phoneticPr fontId="1"/>
  </si>
  <si>
    <t>Complementary sequence</t>
  </si>
  <si>
    <t xml:space="preserve">This functions returns the complementary sequence. </t>
  </si>
  <si>
    <t>Complementary sequence</t>
    <phoneticPr fontId="1"/>
  </si>
  <si>
    <t>=comp(SEQ)</t>
    <phoneticPr fontId="1"/>
  </si>
  <si>
    <t>comp("CAAGCTACA")  
&gt;GTTCGATGT</t>
    <phoneticPr fontId="1"/>
  </si>
  <si>
    <t>Amino acid sequence is not acceptable for this function.</t>
    <phoneticPr fontId="1"/>
  </si>
  <si>
    <t>Reverse complementary sequence</t>
  </si>
  <si>
    <r>
      <rPr>
        <u/>
        <sz val="11"/>
        <color rgb="FFFF0000"/>
        <rFont val="Arial"/>
        <family val="2"/>
      </rPr>
      <t>Reverse complementary sequence</t>
    </r>
    <r>
      <rPr>
        <sz val="11"/>
        <color theme="1"/>
        <rFont val="Arial"/>
        <family val="2"/>
      </rPr>
      <t xml:space="preserve">
This functions returns the reverse-complementary sequence. This function is valid for nucleotide sequence.
</t>
    </r>
    <phoneticPr fontId="1"/>
  </si>
  <si>
    <t>=revcomp(SEQ)</t>
    <phoneticPr fontId="1"/>
  </si>
  <si>
    <t>N will be remained when DNA sequence containing N.</t>
    <phoneticPr fontId="1"/>
  </si>
  <si>
    <t>RNA sequence will be converted to DNA sequence</t>
    <phoneticPr fontId="1"/>
  </si>
  <si>
    <t>Split sequence</t>
    <phoneticPr fontId="1"/>
  </si>
  <si>
    <t>CAAGCTACAGTGTAATTTACGAGCCCAATTTTGCTACTGGTCACCCTCTGACTCAACAAT</t>
  </si>
  <si>
    <t>=splitseq(SEQ, interval)</t>
    <phoneticPr fontId="1"/>
  </si>
  <si>
    <t>Interval</t>
    <phoneticPr fontId="1"/>
  </si>
  <si>
    <t>Split the sequence with space</t>
    <phoneticPr fontId="1"/>
  </si>
  <si>
    <t>=bracket(SEQ, position)</t>
    <phoneticPr fontId="1"/>
  </si>
  <si>
    <t>Position</t>
    <phoneticPr fontId="1"/>
  </si>
  <si>
    <t>Position</t>
    <phoneticPr fontId="1"/>
  </si>
  <si>
    <t>Remove extra code in the sequence</t>
  </si>
  <si>
    <r>
      <rPr>
        <u/>
        <sz val="11"/>
        <color rgb="FFFF0000"/>
        <rFont val="Arial"/>
        <family val="2"/>
      </rPr>
      <t>Remove extra code in the sequence</t>
    </r>
    <r>
      <rPr>
        <sz val="11"/>
        <color theme="1"/>
        <rFont val="Arial"/>
        <family val="2"/>
      </rPr>
      <t xml:space="preserve">
This functions remove all extra code (space, bracket) in the sequence. This function is available for DNA/RNA/amino acid sequence.
</t>
    </r>
    <phoneticPr fontId="1"/>
  </si>
  <si>
    <t>=shrink(SEQ)</t>
    <phoneticPr fontId="1"/>
  </si>
  <si>
    <t xml:space="preserve">CAA GCT ACA GTG TAA TTT ACG AGC CCA ATT TTG CTA CTG GTC ACC CTC TGA CTC AAC AAT </t>
  </si>
  <si>
    <t>CAAGCTACAGTGTAATTTA[C]GAGCCCAATTTTGCTACTGGTCACCCTCTGACTCAACAAT</t>
  </si>
  <si>
    <t>CAAGCTACAGTGTAATTTA(C)GAGCCCAATTTTGCTACTGGTCACCCTCTGACTCAACAAT</t>
    <phoneticPr fontId="1"/>
  </si>
  <si>
    <t>CAAGCTACAG
TGTAATTTAC
GAGCCCAATT
TTGCTACTGG
TCACCCTCTG
ACTCAACAAT</t>
    <phoneticPr fontId="1"/>
  </si>
  <si>
    <t>CAAGCTACAGTGTAATTTA/C/GAGCCCAATTTTGCTACTGGTCACCCTCTGACTCAACAAT</t>
    <phoneticPr fontId="1"/>
  </si>
  <si>
    <t>'Bracket' will be removed</t>
    <phoneticPr fontId="1"/>
  </si>
  <si>
    <t>'Space' will be removed</t>
    <phoneticPr fontId="1"/>
  </si>
  <si>
    <t>'Slash' will be removed</t>
    <phoneticPr fontId="1"/>
  </si>
  <si>
    <t>'Parenthesis' will be removed</t>
    <phoneticPr fontId="1"/>
  </si>
  <si>
    <t>'Return' will be removed</t>
    <phoneticPr fontId="1"/>
  </si>
  <si>
    <r>
      <rPr>
        <u/>
        <sz val="11"/>
        <color rgb="FFFF0000"/>
        <rFont val="Arial"/>
        <family val="2"/>
      </rPr>
      <t>Convert the DNA sequence to RNA sequence</t>
    </r>
    <r>
      <rPr>
        <sz val="11"/>
        <color theme="1"/>
        <rFont val="Arial"/>
        <family val="2"/>
      </rPr>
      <t xml:space="preserve">
This functions convert T/t to U/u in the sequence. This function is valid for DNA sequence.
</t>
    </r>
    <phoneticPr fontId="1"/>
  </si>
  <si>
    <t>This function is valid for DNA sequence.</t>
  </si>
  <si>
    <t>=toRNA(SEQ)</t>
    <phoneticPr fontId="1"/>
  </si>
  <si>
    <t>N will be remained when the sequence containing N.</t>
    <phoneticPr fontId="1"/>
  </si>
  <si>
    <t>This function is valid for RNA sequence.</t>
    <phoneticPr fontId="1"/>
  </si>
  <si>
    <t>=toDNA(SEQ)</t>
    <phoneticPr fontId="1"/>
  </si>
  <si>
    <t>ACGU</t>
    <phoneticPr fontId="1"/>
  </si>
  <si>
    <t>CAAGCUACA</t>
    <phoneticPr fontId="1"/>
  </si>
  <si>
    <t>AAAGT</t>
    <phoneticPr fontId="1"/>
  </si>
  <si>
    <t>DNA sequence will be remained.</t>
    <phoneticPr fontId="1"/>
  </si>
  <si>
    <t>RNA sequence will be remained.</t>
    <phoneticPr fontId="1"/>
  </si>
  <si>
    <t>Formatted sequence</t>
    <phoneticPr fontId="1"/>
  </si>
  <si>
    <t>=fold(SEQ, interval)</t>
    <phoneticPr fontId="1"/>
  </si>
  <si>
    <t>Important:</t>
    <phoneticPr fontId="1"/>
  </si>
  <si>
    <r>
      <rPr>
        <u/>
        <sz val="11"/>
        <color rgb="FFFF0000"/>
        <rFont val="Arial"/>
        <family val="2"/>
      </rPr>
      <t>Convert the nucletotide sequence to amino acid sequence</t>
    </r>
    <r>
      <rPr>
        <sz val="11"/>
        <color theme="1"/>
        <rFont val="Arial"/>
        <family val="2"/>
      </rPr>
      <t xml:space="preserve">
This functions convert nucleotide sequence to amino acid sequence in t he Nth reading frame. This function is valid for nucleotide sequence.
</t>
    </r>
    <phoneticPr fontId="1"/>
  </si>
  <si>
    <t>Reading frame</t>
    <phoneticPr fontId="1"/>
  </si>
  <si>
    <t>(not to be defined)</t>
    <phoneticPr fontId="1"/>
  </si>
  <si>
    <t>*) Splitseq will split the sequence at every 3rd position when interval is not defined.</t>
    <phoneticPr fontId="1"/>
  </si>
  <si>
    <t>l.</t>
    <phoneticPr fontId="1"/>
  </si>
  <si>
    <t>nuc2aa("CAAGCTACAGTGTAATTTACGAGCCCAATTTTGCTACTGGTCACCCTCTGACTCAACAAT", 1)
&gt;KLQCNLRAQFCYWSPSDST-</t>
    <phoneticPr fontId="1"/>
  </si>
  <si>
    <t>= composition("CAAGCTACAGTGTAATTTACGAGCCCAATTTTGCTACTGGTCACCCTCTGACTCAACAAT")
&gt; A:17 C:17 G:9 T:17 Else:0 Total:60</t>
    <phoneticPr fontId="1"/>
  </si>
  <si>
    <t>m.</t>
    <phoneticPr fontId="1"/>
  </si>
  <si>
    <t>n.</t>
    <phoneticPr fontId="1"/>
  </si>
  <si>
    <t>o.</t>
    <phoneticPr fontId="1"/>
  </si>
  <si>
    <t>p.</t>
    <phoneticPr fontId="1"/>
  </si>
  <si>
    <t>q.</t>
    <phoneticPr fontId="1"/>
  </si>
  <si>
    <r>
      <rPr>
        <u/>
        <sz val="11"/>
        <color rgb="FFFF0000"/>
        <rFont val="Arial"/>
        <family val="2"/>
      </rPr>
      <t>Convert the DNA code to RNA code</t>
    </r>
    <r>
      <rPr>
        <sz val="11"/>
        <color theme="1"/>
        <rFont val="Arial"/>
        <family val="2"/>
      </rPr>
      <t xml:space="preserve">
This functions convert DNA nucleotide to RNA nucleotide. This function is valid for DNA sequence.
</t>
    </r>
    <phoneticPr fontId="1"/>
  </si>
  <si>
    <r>
      <rPr>
        <u/>
        <sz val="11"/>
        <color rgb="FFFF0000"/>
        <rFont val="Arial"/>
        <family val="2"/>
      </rPr>
      <t>Convert the RNA code to DNA code</t>
    </r>
    <r>
      <rPr>
        <sz val="11"/>
        <color theme="1"/>
        <rFont val="Arial"/>
        <family val="2"/>
      </rPr>
      <t xml:space="preserve">
This functions convert RNA nucleotide to DNA nucleotide. This function is valid for RNA sequence.
</t>
    </r>
    <phoneticPr fontId="1"/>
  </si>
  <si>
    <t>RNA nucleotide</t>
    <phoneticPr fontId="1"/>
  </si>
  <si>
    <t>Small DNA nucleotide</t>
    <phoneticPr fontId="1"/>
  </si>
  <si>
    <t>DNA nucleotide</t>
    <phoneticPr fontId="1"/>
  </si>
  <si>
    <t xml:space="preserve">This functions convert RNA nucleotide to DNA nucleotide. </t>
    <phoneticPr fontId="1"/>
  </si>
  <si>
    <t>A nucleotide</t>
    <phoneticPr fontId="1"/>
  </si>
  <si>
    <t>/</t>
    <phoneticPr fontId="1"/>
  </si>
  <si>
    <t>[</t>
    <phoneticPr fontId="1"/>
  </si>
  <si>
    <t>A special character will be remained.</t>
    <phoneticPr fontId="1"/>
  </si>
  <si>
    <t>=DNA2Rnuc(SEQ)</t>
    <phoneticPr fontId="1"/>
  </si>
  <si>
    <t>=RNA2Dnuc(SEQ)</t>
    <phoneticPr fontId="1"/>
  </si>
  <si>
    <t>j.</t>
    <phoneticPr fontId="1"/>
  </si>
  <si>
    <t>l.</t>
    <phoneticPr fontId="1"/>
  </si>
  <si>
    <t>DNA2Rnuc("T")  
&gt;U</t>
    <phoneticPr fontId="1"/>
  </si>
  <si>
    <t>RNA2Dnuc("U")  
&gt;T</t>
    <phoneticPr fontId="1"/>
  </si>
  <si>
    <r>
      <rPr>
        <u/>
        <sz val="11"/>
        <color rgb="FFFF0000"/>
        <rFont val="Arial"/>
        <family val="2"/>
      </rPr>
      <t>Return the nucletotide composition and sequence length</t>
    </r>
    <r>
      <rPr>
        <sz val="11"/>
        <color theme="1"/>
        <rFont val="Arial"/>
        <family val="2"/>
      </rPr>
      <t xml:space="preserve">
This functions return the composition of nucleotide and the length of the sequence. This function is valid for nucleotide sequence.
</t>
    </r>
    <phoneticPr fontId="1"/>
  </si>
  <si>
    <t>=composition(SEQ)</t>
    <phoneticPr fontId="1"/>
  </si>
  <si>
    <t>TACCGTCCAAGATTCCCGGGATGGCATATTATGGCCTAACACACATTGGCGAAGATTTCC</t>
  </si>
  <si>
    <t>CCGTTTACGGGCNNNNNNNNNNNNNNNNNNAATGGGGTCTAATACGCTCTACGATATTAAGAGCCCCATAGCCTTTTACCA</t>
    <phoneticPr fontId="1"/>
  </si>
  <si>
    <t>Extracted sequence</t>
    <phoneticPr fontId="1"/>
  </si>
  <si>
    <t>=clip5(SEQ, length)</t>
    <phoneticPr fontId="1"/>
  </si>
  <si>
    <t>Length</t>
    <phoneticPr fontId="1"/>
  </si>
  <si>
    <r>
      <rPr>
        <u/>
        <sz val="11"/>
        <color rgb="FFFF0000"/>
        <rFont val="Arial"/>
        <family val="2"/>
      </rPr>
      <t>Extract the 5' nucletotide sequence for N bases</t>
    </r>
    <r>
      <rPr>
        <sz val="11"/>
        <color theme="1"/>
        <rFont val="Arial"/>
        <family val="2"/>
      </rPr>
      <t xml:space="preserve">
This functions return the 5' nucleotide sequence for N bp. The 5' nucleotide will be returned when the length was not defined. This function is valid for nucleotide sequence.
</t>
    </r>
    <phoneticPr fontId="1"/>
  </si>
  <si>
    <r>
      <rPr>
        <u/>
        <sz val="11"/>
        <color rgb="FFFF0000"/>
        <rFont val="Arial"/>
        <family val="2"/>
      </rPr>
      <t>Extract the 3' nucletotide sequence for N bases</t>
    </r>
    <r>
      <rPr>
        <sz val="11"/>
        <color theme="1"/>
        <rFont val="Arial"/>
        <family val="2"/>
      </rPr>
      <t xml:space="preserve">
This functions return the 3' nucleotide sequence for N bp. The 3' nucleotide will be returned when the length was not defined. This function is valid for nucleotide sequence.
</t>
    </r>
    <phoneticPr fontId="1"/>
  </si>
  <si>
    <t>=clip3(SEQ, length)</t>
    <phoneticPr fontId="1"/>
  </si>
  <si>
    <t>q.</t>
    <phoneticPr fontId="1"/>
  </si>
  <si>
    <r>
      <rPr>
        <u/>
        <sz val="11"/>
        <color rgb="FFFF0000"/>
        <rFont val="Arial"/>
        <family val="2"/>
      </rPr>
      <t>Examine the GC ratio of the nucleotide sequence</t>
    </r>
    <r>
      <rPr>
        <sz val="11"/>
        <color theme="1"/>
        <rFont val="Arial"/>
        <family val="2"/>
      </rPr>
      <t xml:space="preserve">
This functions return the GC ratio of the nucleotide sequence. This function is valid for nucleotide sequence.
</t>
    </r>
    <phoneticPr fontId="1"/>
  </si>
  <si>
    <t>Numeric value for the GC ratio.</t>
    <phoneticPr fontId="1"/>
  </si>
  <si>
    <t>=GCratio(SEQ)</t>
    <phoneticPr fontId="1"/>
  </si>
  <si>
    <t>r.</t>
    <phoneticPr fontId="1"/>
  </si>
  <si>
    <t>s.</t>
    <phoneticPr fontId="1"/>
  </si>
  <si>
    <t>Motif sequence</t>
    <phoneticPr fontId="1"/>
  </si>
  <si>
    <t>Number of the motif sequence in the target sequence</t>
    <phoneticPr fontId="1"/>
  </si>
  <si>
    <t>=motifcount(SEQ, motif (,position))</t>
    <phoneticPr fontId="1"/>
  </si>
  <si>
    <t>Start position</t>
    <phoneticPr fontId="1"/>
  </si>
  <si>
    <t>TACCGTCCAAGATTCCCGAATTCCATATTATGGCCTAACACACATTGGCGAAGATTTCC</t>
  </si>
  <si>
    <t>Target sequence</t>
    <phoneticPr fontId="1"/>
  </si>
  <si>
    <t>GAATTC</t>
    <phoneticPr fontId="1"/>
  </si>
  <si>
    <t>AT</t>
    <phoneticPr fontId="1"/>
  </si>
  <si>
    <t>AATT</t>
    <phoneticPr fontId="1"/>
  </si>
  <si>
    <t>CAAGCTACAGTGTAATTTACGAGCCCAATTTTGCTACTGGTCACCCTCTGACTCAACAAT</t>
    <phoneticPr fontId="1"/>
  </si>
  <si>
    <t>t.</t>
    <phoneticPr fontId="1"/>
  </si>
  <si>
    <t>u.</t>
    <phoneticPr fontId="1"/>
  </si>
  <si>
    <t>=firstmotif(SEQ, motif (,position))</t>
    <phoneticPr fontId="1"/>
  </si>
  <si>
    <t>t.</t>
    <phoneticPr fontId="1"/>
  </si>
  <si>
    <t>=findmotif(SEQ, motif)</t>
    <phoneticPr fontId="1"/>
  </si>
  <si>
    <t>You need to enable "Wrap text" functionality of the cell to get the expected result.</t>
    <phoneticPr fontId="1"/>
  </si>
  <si>
    <t>u.</t>
    <phoneticPr fontId="1"/>
  </si>
  <si>
    <t>=markmotif(SEQ, motif)</t>
    <phoneticPr fontId="1"/>
  </si>
  <si>
    <t>*) Reading frame 1 will be selected for minus value of the reading frame.</t>
    <phoneticPr fontId="1"/>
  </si>
  <si>
    <t>*) Reading frame will be adjusted to the mod 3 of the given value when it is larger than 3.</t>
    <phoneticPr fontId="1"/>
  </si>
  <si>
    <t>DNA</t>
    <phoneticPr fontId="1"/>
  </si>
  <si>
    <t>RNA</t>
    <phoneticPr fontId="1"/>
  </si>
  <si>
    <t>Any</t>
    <phoneticPr fontId="1"/>
  </si>
  <si>
    <t>b.</t>
    <phoneticPr fontId="1"/>
  </si>
  <si>
    <t>c.</t>
    <phoneticPr fontId="1"/>
  </si>
  <si>
    <t>n.</t>
    <phoneticPr fontId="1"/>
  </si>
  <si>
    <t>This function is available for any types of sequence.</t>
    <phoneticPr fontId="1"/>
  </si>
  <si>
    <t>Mark the all motif sequence appeared in the target sequence</t>
    <phoneticPr fontId="1"/>
  </si>
  <si>
    <r>
      <rPr>
        <u/>
        <sz val="11"/>
        <color rgb="FFFF0000"/>
        <rFont val="Arial"/>
        <family val="2"/>
      </rPr>
      <t>Count the occurence of a motif in the target sequence</t>
    </r>
    <r>
      <rPr>
        <sz val="11"/>
        <color theme="1"/>
        <rFont val="Arial"/>
        <family val="2"/>
      </rPr>
      <t xml:space="preserve">
This functions counts an occurence of a motif sequence that found in the target sequence after the defined position. This function is availabe for any types of sequence.
</t>
    </r>
    <phoneticPr fontId="1"/>
  </si>
  <si>
    <r>
      <rPr>
        <u/>
        <sz val="11"/>
        <color rgb="FFFF0000"/>
        <rFont val="Arial"/>
        <family val="2"/>
      </rPr>
      <t>Find the first position of a motif sequence appeared in the target sequence</t>
    </r>
    <r>
      <rPr>
        <sz val="11"/>
        <color theme="1"/>
        <rFont val="Arial"/>
        <family val="2"/>
      </rPr>
      <t xml:space="preserve">
This functions return the first position of a motif sequence found in the target sequence after the defined position. This function is availabe for any types of sequence.
</t>
    </r>
    <phoneticPr fontId="1"/>
  </si>
  <si>
    <r>
      <rPr>
        <u/>
        <sz val="11"/>
        <color rgb="FFFF0000"/>
        <rFont val="Arial"/>
        <family val="2"/>
      </rPr>
      <t>Find the all positions of a motif sequence appeared in the target sequence</t>
    </r>
    <r>
      <rPr>
        <sz val="11"/>
        <color theme="1"/>
        <rFont val="Arial"/>
        <family val="2"/>
      </rPr>
      <t xml:space="preserve">
This functions return the all position of a motif sequence found in the target sequence as a text. This function is availabe for any types of sequence.
</t>
    </r>
    <phoneticPr fontId="1"/>
  </si>
  <si>
    <r>
      <rPr>
        <u/>
        <sz val="11"/>
        <color rgb="FFFF0000"/>
        <rFont val="Arial"/>
        <family val="2"/>
      </rPr>
      <t>Mark the all motif sequence appeared in the target sequence</t>
    </r>
    <r>
      <rPr>
        <sz val="11"/>
        <color theme="1"/>
        <rFont val="Arial"/>
        <family val="2"/>
      </rPr>
      <t xml:space="preserve">
This function marks the all motif sequence found in the target sequence with bracket. This function is availabe for any types of sequence.
</t>
    </r>
    <phoneticPr fontId="1"/>
  </si>
  <si>
    <t>SNP genotype</t>
    <phoneticPr fontId="1"/>
  </si>
  <si>
    <t>M genotype</t>
    <phoneticPr fontId="1"/>
  </si>
  <si>
    <t>Arguments:</t>
    <phoneticPr fontId="1"/>
  </si>
  <si>
    <t>The case SSR genotype converted allele to the relative size to the reference SSR genotype</t>
    <phoneticPr fontId="1"/>
  </si>
  <si>
    <t>SNP genotype separated each allele with the separator.</t>
    <phoneticPr fontId="1"/>
  </si>
  <si>
    <t>SNP-like two-letter genotype</t>
    <phoneticPr fontId="1"/>
  </si>
  <si>
    <t xml:space="preserve"> *) The first letter is valid for conversion.</t>
    <phoneticPr fontId="1"/>
  </si>
  <si>
    <t xml:space="preserve"> *) 'U' is not recognized as a valid M genotype.</t>
    <phoneticPr fontId="1"/>
  </si>
  <si>
    <t>Numerical difference between two alleles of the SSR genotype.</t>
    <phoneticPr fontId="1"/>
  </si>
  <si>
    <t>SNP genotype according to the reference, phase, and Illumina's code.</t>
    <phoneticPr fontId="1"/>
  </si>
  <si>
    <t>Right side allele of the SSR genotype</t>
    <phoneticPr fontId="1"/>
  </si>
  <si>
    <t>Right side allele of the SNP genotype</t>
    <phoneticPr fontId="1"/>
  </si>
  <si>
    <t>Left side allele of the SSR genotype</t>
    <phoneticPr fontId="1"/>
  </si>
  <si>
    <t>Left side allele of the SNP genotype</t>
    <phoneticPr fontId="1"/>
  </si>
  <si>
    <t>"TRUE" when homozygous, else "FALSE"</t>
    <phoneticPr fontId="1"/>
  </si>
  <si>
    <t>Arguments:</t>
    <phoneticPr fontId="1"/>
  </si>
  <si>
    <t>"TRUE" when they are identical else "FALSE"</t>
    <phoneticPr fontId="1"/>
  </si>
  <si>
    <t>"TRUE" when the allele was included else "FALSE"</t>
    <phoneticPr fontId="1"/>
  </si>
  <si>
    <t>Ploidy number according to the given SSR genotype</t>
    <phoneticPr fontId="1"/>
  </si>
  <si>
    <t>=SSRDiff(SSR)</t>
    <phoneticPr fontId="1"/>
  </si>
  <si>
    <t>=SSRSharedAllele(SSR1, SSR2)</t>
    <phoneticPr fontId="1"/>
  </si>
  <si>
    <t>=SNPSharedAllele(SNP1, SNP2)</t>
    <phoneticPr fontId="1"/>
  </si>
  <si>
    <t>Array formula that contain the split alleles</t>
    <phoneticPr fontId="1"/>
  </si>
  <si>
    <t>"TRUE" when they shared same allele else "FALSE"</t>
    <phoneticPr fontId="1"/>
  </si>
  <si>
    <t>Abstracted genotype of offspring by CP mode of JoinMap</t>
  </si>
  <si>
    <t>Abstracted genotype of offspring by CP mode of JoinMap</t>
    <phoneticPr fontId="1"/>
  </si>
  <si>
    <t>Abstracted genotype of offspring by BC1 mode of JoinMap</t>
    <phoneticPr fontId="1"/>
  </si>
  <si>
    <t>Abstracted genotype of offspring by BC1 mode of JoinMap</t>
    <phoneticPr fontId="1"/>
  </si>
  <si>
    <t>Abstracted genotype of offspring by F2 mode of JoinMap</t>
    <phoneticPr fontId="1"/>
  </si>
  <si>
    <t>Number of the unique alleles in the SNP dataset</t>
    <phoneticPr fontId="1"/>
  </si>
  <si>
    <t>Number of the unique alleles in the SSR dataset</t>
    <phoneticPr fontId="1"/>
  </si>
  <si>
    <t>Number of the unique genotypes in the SSR dataset</t>
    <phoneticPr fontId="1"/>
  </si>
  <si>
    <t>Number of the unique genotypes in the SNP dataset</t>
    <phoneticPr fontId="1"/>
  </si>
  <si>
    <t>Arguments:</t>
    <phoneticPr fontId="1"/>
  </si>
  <si>
    <t>Arguments:</t>
    <phoneticPr fontId="1"/>
  </si>
  <si>
    <t>The ratio of the alleles matched between the dataset.</t>
    <phoneticPr fontId="1"/>
  </si>
  <si>
    <t>The ratio of the M genotypes matched between the dataset.</t>
    <phoneticPr fontId="1"/>
  </si>
  <si>
    <t>The ratio of the SSR genotypes matched between the dataset.</t>
    <phoneticPr fontId="1"/>
  </si>
  <si>
    <t>The ratio of the SNP genotypes matched between the dataset.</t>
    <phoneticPr fontId="1"/>
  </si>
  <si>
    <t>The ratio of the shared alleles between the SSR dataset.</t>
    <phoneticPr fontId="1"/>
  </si>
  <si>
    <t>The ratio of the shared alleles between the SNP dataset.</t>
    <phoneticPr fontId="1"/>
  </si>
  <si>
    <t>The ratio of the shared alleles between the M dataset.</t>
    <phoneticPr fontId="1"/>
  </si>
  <si>
    <t>=SSRAlleleFreq(Region, allele)</t>
    <phoneticPr fontId="1"/>
  </si>
  <si>
    <t>Allele: an allele of interest</t>
    <phoneticPr fontId="1"/>
  </si>
  <si>
    <t>Ratio of the allele for the SSR genotypes in the region</t>
    <phoneticPr fontId="1"/>
  </si>
  <si>
    <t>Ratio of the allele for the SNP genotypes in the region</t>
    <phoneticPr fontId="1"/>
  </si>
  <si>
    <t>Ratio of the genotype for the SSR genotypes in the region</t>
    <phoneticPr fontId="1"/>
  </si>
  <si>
    <t>Ratio of the genotype for the SNP genotypes in the region</t>
    <phoneticPr fontId="1"/>
  </si>
  <si>
    <t>Polymorphic information content (PIC)</t>
  </si>
  <si>
    <t>Match probability (PM)</t>
  </si>
  <si>
    <t>Power of discrimination (PD)</t>
  </si>
  <si>
    <t>GD for a random population</t>
    <phoneticPr fontId="1"/>
  </si>
  <si>
    <t>GD for a selfed population</t>
    <phoneticPr fontId="1"/>
  </si>
  <si>
    <t>"TRUE" if two genotypes shared a same allele</t>
    <phoneticPr fontId="1"/>
  </si>
  <si>
    <t>=IsChild(Child, Parent1, Parent2)</t>
    <phoneticPr fontId="1"/>
  </si>
  <si>
    <t>=MIsChild(Child, Parent1, Parent2)</t>
    <phoneticPr fontId="1"/>
  </si>
  <si>
    <t>Probability to obtain an offspring with the particular parents</t>
    <phoneticPr fontId="1"/>
  </si>
  <si>
    <t>Probability to obtain an offspring by random mating of the population</t>
    <phoneticPr fontId="1"/>
  </si>
  <si>
    <t>Probability to obtain an offspring from the parent with population</t>
    <phoneticPr fontId="1"/>
  </si>
  <si>
    <t>Ribo nucleic acid sequence</t>
    <phoneticPr fontId="1"/>
  </si>
  <si>
    <t>Deoxyribo nucleic acid sequence</t>
    <phoneticPr fontId="1"/>
  </si>
  <si>
    <t>=nuc2aa(SEQ, frame)</t>
    <phoneticPr fontId="1"/>
  </si>
  <si>
    <t>AC</t>
    <phoneticPr fontId="1"/>
  </si>
  <si>
    <t>ATT</t>
    <phoneticPr fontId="1"/>
  </si>
  <si>
    <t>GAATTC</t>
    <phoneticPr fontId="1"/>
  </si>
  <si>
    <t>This function is valid for nucleic acid sequence (DNA/RNA).</t>
    <phoneticPr fontId="1"/>
  </si>
  <si>
    <t>Complementary nucleotide</t>
    <phoneticPr fontId="1"/>
  </si>
  <si>
    <t>Reverse complementary sequence</t>
    <phoneticPr fontId="1"/>
  </si>
  <si>
    <t>This function inserts a space to the sequence at every N characters interval.</t>
    <phoneticPr fontId="1"/>
  </si>
  <si>
    <t xml:space="preserve">This function returns the reverse-complementary sequence. </t>
    <phoneticPr fontId="1"/>
  </si>
  <si>
    <t>This function encloses a character at the assigned position in the sequence with bracket.</t>
    <phoneticPr fontId="1"/>
  </si>
  <si>
    <t>This function removes all extra code (space, bracket, slash or parenthesis) in the sequence.</t>
    <phoneticPr fontId="1"/>
  </si>
  <si>
    <t>Bracketed sequence</t>
    <phoneticPr fontId="1"/>
  </si>
  <si>
    <t xml:space="preserve">This function converts a code of deoxyribo nucleotide to a code of ribo nucleotide. </t>
    <phoneticPr fontId="1"/>
  </si>
  <si>
    <t>Convert an RNA code to DNA code</t>
    <phoneticPr fontId="1"/>
  </si>
  <si>
    <t>Convert a DNA code to RNA code</t>
    <phoneticPr fontId="1"/>
  </si>
  <si>
    <t>A code of complementary nucleotide for DNA</t>
    <phoneticPr fontId="1"/>
  </si>
  <si>
    <t>A code of ribo nucleotide</t>
    <phoneticPr fontId="1"/>
  </si>
  <si>
    <t>A code of deoxyribo nucleotide</t>
    <phoneticPr fontId="1"/>
  </si>
  <si>
    <t>Convert DNA sequence to RNA sequence</t>
    <phoneticPr fontId="1"/>
  </si>
  <si>
    <t xml:space="preserve">This function converts U/u to T/t in the sequence. </t>
    <phoneticPr fontId="1"/>
  </si>
  <si>
    <t>This function converts T/t to U/u in the sequence.</t>
    <phoneticPr fontId="1"/>
  </si>
  <si>
    <t>Convert RNA sequence to DNA sequence</t>
    <phoneticPr fontId="1"/>
  </si>
  <si>
    <t>Format the sequence by insert line feed at same interval</t>
    <phoneticPr fontId="1"/>
  </si>
  <si>
    <t>Extract 5' nucleotide sequence</t>
    <phoneticPr fontId="1"/>
  </si>
  <si>
    <t>The 5'-end nucleotide will be returned when the length was not defined.</t>
  </si>
  <si>
    <t>Extract the 3' nucleotide sequence for N bases</t>
  </si>
  <si>
    <t>The 3'-end nucleotide will be returned when the length was not defined.</t>
  </si>
  <si>
    <t>Count the occurrence of a motif in the target sequence</t>
  </si>
  <si>
    <t>The first nucleotide is valid for the evaluation.</t>
  </si>
  <si>
    <t>Bracketing a character in the sequence</t>
  </si>
  <si>
    <t>*) Set position longer than the length of the sequence will bracket the 3' end of the sequence.</t>
  </si>
  <si>
    <t>Formatted sequence</t>
    <phoneticPr fontId="1"/>
  </si>
  <si>
    <t>Convert nucleotide sequence to amino acid sequence</t>
    <phoneticPr fontId="1"/>
  </si>
  <si>
    <t>This function converts a nucleotide sequence of the assigned reading frame to amino acid sequence.</t>
    <phoneticPr fontId="1"/>
  </si>
  <si>
    <t>Amino acid sequence</t>
    <phoneticPr fontId="1"/>
  </si>
  <si>
    <t>Nucleotide composition and sequence length</t>
    <phoneticPr fontId="1"/>
  </si>
  <si>
    <t>A text of the nucleotide composition and the sequence length</t>
    <phoneticPr fontId="1"/>
  </si>
  <si>
    <t>GC ratio of the nucleic acid sequence</t>
    <phoneticPr fontId="1"/>
  </si>
  <si>
    <t>This function returns the GC ratio of the nucleic acid sequence.</t>
    <phoneticPr fontId="1"/>
  </si>
  <si>
    <t>This function counts an occurrence of a motif sequence appeared in the target sequence after the defined position.</t>
    <phoneticPr fontId="1"/>
  </si>
  <si>
    <t>Find the first position of a motif sequence appeared in the target sequence</t>
    <phoneticPr fontId="1"/>
  </si>
  <si>
    <t xml:space="preserve">This function returns the first position of a motif sequence found in the target sequence after the defined position. </t>
    <phoneticPr fontId="1"/>
  </si>
  <si>
    <t>The first position of the motif sequence appeared in the target sequence after the position.</t>
    <phoneticPr fontId="1"/>
  </si>
  <si>
    <t>This function returns the list of all positions of the motif sequence found in the target sequence as a text.</t>
    <phoneticPr fontId="1"/>
  </si>
  <si>
    <t>List of positions of the motif sequence appeared in the target sequence</t>
    <phoneticPr fontId="1"/>
  </si>
  <si>
    <t>The target sequence enclosed all motif sequence appeared with brackets.</t>
    <phoneticPr fontId="1"/>
  </si>
  <si>
    <t>This function encloses the all motif sequence appeared in the target sequence with brackets.</t>
    <phoneticPr fontId="1"/>
  </si>
  <si>
    <t>This function extracts 5' nucleotide sequence of the assigned length. The 5' end nucleotide will be returned when the length was not defined.</t>
    <phoneticPr fontId="1"/>
  </si>
  <si>
    <t>This function extracts 5' nucleotide sequence of the assigned length. The 3' end nucleotide will be returned when the length was not defined.</t>
    <phoneticPr fontId="1"/>
  </si>
  <si>
    <t>This function reports the composition of nucleotides and the length of the sequence.</t>
    <phoneticPr fontId="1"/>
  </si>
  <si>
    <t>These functions examine whether a particular genotype of an offspring is consistent with those of two parents and then return the result as a Boolean value.</t>
  </si>
  <si>
    <t>"TRUE" if the offspring is true offspring of the parent</t>
  </si>
  <si>
    <t>These functions estimate T(g0|gm, ga) by Marshall (1998) [4] from the proposed genotypes of the offspring and parents.</t>
  </si>
  <si>
    <t>A unique allele appeared in the region defined by the index</t>
    <phoneticPr fontId="1"/>
  </si>
  <si>
    <t>The index represents the order of a unique allele appeared in the dataset.</t>
    <phoneticPr fontId="1"/>
  </si>
  <si>
    <t>The index represents the order of a unique genotype appeared in the dataset.</t>
    <phoneticPr fontId="1"/>
  </si>
  <si>
    <t>These functions return a text value of the unique genotype that appeared at index position in the dataset.</t>
    <phoneticPr fontId="1"/>
  </si>
  <si>
    <t>These functions return a text value of the unique allele that appeared at index position in the dataset.</t>
    <phoneticPr fontId="1"/>
  </si>
  <si>
    <t>A unique genotype appeared in the region defined by the index.</t>
    <phoneticPr fontId="1"/>
  </si>
  <si>
    <t>Allele index</t>
    <phoneticPr fontId="1"/>
  </si>
  <si>
    <t>A unique allele at the index</t>
    <phoneticPr fontId="1"/>
  </si>
  <si>
    <t>A unique genotype at the index</t>
    <phoneticPr fontId="1"/>
  </si>
  <si>
    <t>Genotype index</t>
    <phoneticPr fontId="1"/>
  </si>
  <si>
    <t>TRUE' if offspring of the parents will segregate for this DNA marker</t>
  </si>
  <si>
    <t>1) The size differences of two genotypes are larger than allowed difference</t>
  </si>
  <si>
    <t>NormXXX functions format a string for SSR, SNP, or M genotype.</t>
    <phoneticPr fontId="1"/>
  </si>
  <si>
    <r>
      <rPr>
        <u/>
        <sz val="11"/>
        <color rgb="FFFF0000"/>
        <rFont val="Arial"/>
        <family val="2"/>
      </rPr>
      <t>Data normalization</t>
    </r>
    <r>
      <rPr>
        <sz val="11"/>
        <color rgb="FFFF0000"/>
        <rFont val="Arial"/>
        <family val="2"/>
      </rPr>
      <t xml:space="preserve">
</t>
    </r>
    <r>
      <rPr>
        <sz val="11"/>
        <color theme="1"/>
        <rFont val="Arial"/>
        <family val="2"/>
      </rPr>
      <t>NormXXX functions format a string for SSR, SNP, or M genotype.</t>
    </r>
    <phoneticPr fontId="1"/>
  </si>
  <si>
    <t>This function returns a value for the size difference of two alleles of an SSR genotype.</t>
    <phoneticPr fontId="1"/>
  </si>
  <si>
    <r>
      <rPr>
        <u/>
        <sz val="11"/>
        <color rgb="FFFF0000"/>
        <rFont val="Arial"/>
        <family val="2"/>
      </rPr>
      <t>Obtain allele size difference of an SSR marker</t>
    </r>
    <r>
      <rPr>
        <sz val="11"/>
        <color rgb="FFFF0000"/>
        <rFont val="Arial"/>
        <family val="2"/>
      </rPr>
      <t xml:space="preserve">
</t>
    </r>
    <r>
      <rPr>
        <sz val="11"/>
        <color theme="1"/>
        <rFont val="Arial"/>
        <family val="2"/>
      </rPr>
      <t>This function will return a value for size difference of two SSR alleles.</t>
    </r>
    <phoneticPr fontId="1"/>
  </si>
  <si>
    <t>These functions return the left-side allele of a designated SSR or SNP genotype.</t>
    <phoneticPr fontId="1"/>
  </si>
  <si>
    <t>Test an allele is included in genotype data</t>
    <phoneticPr fontId="1"/>
  </si>
  <si>
    <r>
      <rPr>
        <u/>
        <sz val="11"/>
        <color rgb="FFFF0000"/>
        <rFont val="Arial"/>
        <family val="2"/>
      </rPr>
      <t>Test an allele is included in genotype data</t>
    </r>
    <r>
      <rPr>
        <sz val="11"/>
        <color rgb="FFFF0000"/>
        <rFont val="Arial"/>
        <family val="2"/>
      </rPr>
      <t xml:space="preserve">
</t>
    </r>
    <r>
      <rPr>
        <sz val="11"/>
        <rFont val="Arial"/>
        <family val="2"/>
      </rPr>
      <t xml:space="preserve">These functions examine whether a designated allele is included in the SSR or SNP genotype. The argument should be the allele, not the genotype.
</t>
    </r>
    <phoneticPr fontId="1"/>
  </si>
  <si>
    <t>Find a shared allele between two genotypes</t>
    <phoneticPr fontId="1"/>
  </si>
  <si>
    <r>
      <rPr>
        <u/>
        <sz val="11"/>
        <color rgb="FFFF0000"/>
        <rFont val="Arial"/>
        <family val="2"/>
      </rPr>
      <t>Find a shared allele between two genotypes</t>
    </r>
    <r>
      <rPr>
        <sz val="11"/>
        <color theme="1"/>
        <rFont val="Arial"/>
        <family val="2"/>
      </rPr>
      <t xml:space="preserve">
These functions find a shared allele between two genotypes and then return the shared allele found. If no allele is shared, ‘0’ (SSR) or ‘Null’ (SNP) will be returned.
</t>
    </r>
    <phoneticPr fontId="1"/>
  </si>
  <si>
    <t>Type of segregation of the offspring estimated from the parents</t>
    <phoneticPr fontId="1"/>
  </si>
  <si>
    <t>A string of the segregation type for CP mode of JoinMap</t>
    <phoneticPr fontId="1"/>
  </si>
  <si>
    <t>A string of the segregation type for CP mode of JoinMap</t>
    <phoneticPr fontId="1"/>
  </si>
  <si>
    <t>A string of the segregation type for BC1 or F2 mode of JoinMap</t>
    <phoneticPr fontId="1"/>
  </si>
  <si>
    <t>These functions estimate the segregation type of offspring from the genotypes of two parental genotypes for the BC1 or F2 mode of JoinMap.</t>
    <phoneticPr fontId="1"/>
  </si>
  <si>
    <t>A string of the segregation type for BC1 or F2 mode of JoinMap</t>
    <phoneticPr fontId="1"/>
  </si>
  <si>
    <t>CP type</t>
    <phoneticPr fontId="1"/>
  </si>
  <si>
    <t>Segregation type</t>
    <phoneticPr fontId="1"/>
  </si>
  <si>
    <t xml:space="preserve">SSR2CPGT(Parent1, parent2, type, offspring)
</t>
    <phoneticPr fontId="1"/>
  </si>
  <si>
    <t xml:space="preserve">SNP2CPGT(Parent1, parent2, type, offspring)
</t>
    <phoneticPr fontId="1"/>
  </si>
  <si>
    <t>Estimate the segregation type according to the BC1 or F2 mode from the genotypes of parents.</t>
    <phoneticPr fontId="1"/>
  </si>
  <si>
    <t>SNP2CPGT(parent1, parent2, type, offspring)
&gt; CP genotype</t>
    <phoneticPr fontId="1"/>
  </si>
  <si>
    <r>
      <rPr>
        <sz val="11"/>
        <color rgb="FF0000FF"/>
        <rFont val="Arial"/>
        <family val="2"/>
      </rPr>
      <t>SSR2CPGT(parent1, parent2, type, offspring)
&gt; CP genotype</t>
    </r>
    <r>
      <rPr>
        <sz val="11"/>
        <color theme="1"/>
        <rFont val="Arial"/>
        <family val="2"/>
      </rPr>
      <t xml:space="preserve">
</t>
    </r>
    <phoneticPr fontId="1"/>
  </si>
  <si>
    <t>SSR2CPType(parent1, parent2)
&gt; segregation type</t>
    <phoneticPr fontId="1"/>
  </si>
  <si>
    <t>SNP2CPType(parent1, parent2)
&gt; segregation type</t>
    <phoneticPr fontId="1"/>
  </si>
  <si>
    <t>These functions estimate the segregation type of offspring from the genotypes of parents according to the CP mode of JoinMap.</t>
    <phoneticPr fontId="1"/>
  </si>
  <si>
    <t>H</t>
    <phoneticPr fontId="1"/>
  </si>
  <si>
    <t>Number of the unique alleles in the M dataset</t>
    <phoneticPr fontId="1"/>
  </si>
  <si>
    <t>Number of the unique alleles in the allele dataset</t>
    <phoneticPr fontId="1"/>
  </si>
  <si>
    <t>=UniqMAlleles(Region)</t>
    <phoneticPr fontId="1"/>
  </si>
  <si>
    <t>=UniqSSRAlleles(Region)</t>
    <phoneticPr fontId="1"/>
  </si>
  <si>
    <t>=UniqSNPAlleles(Region)</t>
    <phoneticPr fontId="1"/>
  </si>
  <si>
    <t>=UniqAlleles(Region)</t>
    <phoneticPr fontId="1"/>
  </si>
  <si>
    <t>Number of the unique genotypes in the M dataset</t>
    <phoneticPr fontId="1"/>
  </si>
  <si>
    <t>=UniqMGTs(Dataset)</t>
    <phoneticPr fontId="1"/>
  </si>
  <si>
    <t>=GetUniqAllele(Region, index)</t>
    <phoneticPr fontId="1"/>
  </si>
  <si>
    <t>=GetUniqMAllele(Region, index)</t>
    <phoneticPr fontId="1"/>
  </si>
  <si>
    <t>=GetUniqSSRAllele(Region, index)</t>
    <phoneticPr fontId="1"/>
  </si>
  <si>
    <t>=GetUniqSNPAllele(Region, index)</t>
    <phoneticPr fontId="1"/>
  </si>
  <si>
    <t>=GetUniqMGT(Region, index)</t>
    <phoneticPr fontId="1"/>
  </si>
  <si>
    <t>=GetUniqSSRGT(Region, index)</t>
    <phoneticPr fontId="1"/>
  </si>
  <si>
    <t>=GetUniqSNPGT(Region, index)</t>
    <phoneticPr fontId="1"/>
  </si>
  <si>
    <t>7) Sequence manipulation</t>
    <phoneticPr fontId="1"/>
  </si>
  <si>
    <t>6) Genetic data analysis</t>
    <phoneticPr fontId="1"/>
  </si>
  <si>
    <t>5) Frequency analysis</t>
    <phoneticPr fontId="1"/>
  </si>
  <si>
    <t>3) Linkage analysis</t>
    <phoneticPr fontId="1"/>
  </si>
  <si>
    <t>2) Basic analysis</t>
    <phoneticPr fontId="1"/>
  </si>
  <si>
    <t>1) Data format conversion</t>
    <phoneticPr fontId="1"/>
  </si>
  <si>
    <t>NUC</t>
    <phoneticPr fontId="1"/>
  </si>
  <si>
    <t>A code of the deoxy-ribo nucleotide (A, C, G, T) or ribo nucleotide (A, C, G, U)</t>
  </si>
  <si>
    <t>SEQ</t>
    <phoneticPr fontId="1"/>
  </si>
  <si>
    <t>A single letter code of amino acid</t>
  </si>
  <si>
    <t>Any</t>
    <phoneticPr fontId="1"/>
  </si>
  <si>
    <t>Any types of sequence (DNA, RNA, amino acid or else)</t>
    <phoneticPr fontId="1"/>
  </si>
  <si>
    <t>Segregation type for the CP mode of JoinMap</t>
    <phoneticPr fontId="1"/>
  </si>
  <si>
    <t>NUC</t>
    <phoneticPr fontId="1"/>
  </si>
  <si>
    <t>Any</t>
    <phoneticPr fontId="1"/>
  </si>
  <si>
    <t>Any types of sequence (DNA, RNA, amino acid or else)</t>
    <phoneticPr fontId="1"/>
  </si>
  <si>
    <t>Nucleotide sequence of DNA or RNA, or amino acid sequence</t>
    <phoneticPr fontId="1"/>
  </si>
  <si>
    <t>A single letter code of amino acid</t>
    <phoneticPr fontId="1"/>
  </si>
  <si>
    <t>A code of the deoxy-ribo nucleotide (A, C, G, T) or ribo nucleotide (A, C, G, U)</t>
    <phoneticPr fontId="1"/>
  </si>
  <si>
    <t>1) Data conversion</t>
    <phoneticPr fontId="1"/>
  </si>
  <si>
    <t>3) Linkage analysis</t>
    <phoneticPr fontId="1"/>
  </si>
  <si>
    <t>5) Frequency Analysis</t>
    <phoneticPr fontId="1"/>
  </si>
  <si>
    <t>6) Genetic data analysis</t>
    <phoneticPr fontId="1"/>
  </si>
  <si>
    <t>7) Sequence manipulation</t>
    <phoneticPr fontId="1"/>
  </si>
  <si>
    <t>5) Frequency Analysis</t>
    <phoneticPr fontId="1"/>
  </si>
  <si>
    <t>7) Sequence Manipulation</t>
    <phoneticPr fontId="1"/>
  </si>
  <si>
    <t>3) Linkage Analysis</t>
    <phoneticPr fontId="1"/>
  </si>
  <si>
    <t>2)  Basic Analysis</t>
    <phoneticPr fontId="1"/>
  </si>
  <si>
    <t>1) Data Format Conversion</t>
    <phoneticPr fontId="1"/>
  </si>
  <si>
    <t>Query seq</t>
    <phoneticPr fontId="1"/>
  </si>
  <si>
    <t>This function compares the query sequence to the reference sequence from 5'-end then shows the matched character.</t>
  </si>
  <si>
    <t>=matchseq(REF, Query)</t>
    <phoneticPr fontId="1"/>
  </si>
  <si>
    <t>REF seq</t>
    <phoneticPr fontId="1"/>
  </si>
  <si>
    <t>TACCGTCCAAGATTCCCGAATTCCATAAAATGGCCTAACACACATTGGCGAAGATTTCC</t>
    <phoneticPr fontId="1"/>
  </si>
  <si>
    <t>TACCGTCCAAGATTCCCGAATTCCATATTATGGCCTAANNNNNNTTGGCGAAGATTTCC</t>
    <phoneticPr fontId="1"/>
  </si>
  <si>
    <t>TACCGTCCAAGATTcccgAATTCCATATTATGGCCTAATTGGCGAAGATTTCC</t>
    <phoneticPr fontId="1"/>
  </si>
  <si>
    <t>1st line: REF sequence, 2nd line: matched QUERY sequence but "." for unmatched.</t>
    <phoneticPr fontId="1"/>
  </si>
  <si>
    <t>SEQ</t>
    <phoneticPr fontId="1"/>
  </si>
  <si>
    <t>ORDER</t>
    <phoneticPr fontId="1"/>
  </si>
  <si>
    <t>CAAGCTACAGTGTAATTTACGAGCCCA[A/C]TTTTGCTACTGGTCACCCTCTGACTCAACAAT</t>
    <phoneticPr fontId="1"/>
  </si>
  <si>
    <t>CAAGCTACAGTGTAATTTACGAGCCCAATTTTGCTACTGGTCACCCTCTGACTCAACAA[T</t>
    <phoneticPr fontId="1"/>
  </si>
  <si>
    <t>CAAG[C/A]TACAGT[G/A]TAATTT[C/A]CGAGCCCA[T/A]TTTTG[C/T]TACTGGTCACCCTCTGACTCAACAAT</t>
    <phoneticPr fontId="1"/>
  </si>
  <si>
    <t>The right side of the SEQ will be returned when it was not closed.</t>
    <phoneticPr fontId="1"/>
  </si>
  <si>
    <t>CAAGCTACAGTGTAATTTACGA]GCCCAATTTTGCTACTGGTCACCCTCTGACTCAACAAT</t>
    <phoneticPr fontId="1"/>
  </si>
  <si>
    <t>*) FIrst bracket will be selected when the value of ORDER was ouside of the range.</t>
    <phoneticPr fontId="1"/>
  </si>
  <si>
    <t>Prune the unnecessary sequence and select the sequence inside the bracket</t>
    <phoneticPr fontId="1"/>
  </si>
  <si>
    <t>User can identify the one to be remained when multiple brackets present in the sequence.</t>
    <phoneticPr fontId="1"/>
  </si>
  <si>
    <t>*) The value of ORDER will be 1 when it was not defined.</t>
    <phoneticPr fontId="1"/>
  </si>
  <si>
    <t>*) Nothing will be returned when the left side bracket didn't present.</t>
    <phoneticPr fontId="1"/>
  </si>
  <si>
    <t>A sequence in the bracket within the SEQ at a position defined by ORDER.</t>
    <phoneticPr fontId="1"/>
  </si>
  <si>
    <t>121/140</t>
    <phoneticPr fontId="1"/>
  </si>
  <si>
    <t>120/141</t>
    <phoneticPr fontId="1"/>
  </si>
  <si>
    <t>Return</t>
    <phoneticPr fontId="1"/>
  </si>
  <si>
    <t>TACCGTCCAAGATTCCCGAATTCCATATTATGGCCTAACACACATTGGCGAAGATTTCC</t>
    <phoneticPr fontId="1"/>
  </si>
  <si>
    <t>CAAGCTACAGTGTAA[TTTACGA]GCCCAAT[T]TTGCTACTGGTCACCCTCTGACTCAACAAT</t>
    <phoneticPr fontId="1"/>
  </si>
  <si>
    <t>Matched ratio of the query sequence to the reference sequence</t>
    <phoneticPr fontId="1"/>
  </si>
  <si>
    <t>This function compares the query sequence to the reference sequence from 5'-end then returns the ratio of the matched character.</t>
    <phoneticPr fontId="1"/>
  </si>
  <si>
    <t>w.</t>
    <phoneticPr fontId="1"/>
  </si>
  <si>
    <t>Ratio of the matched query sequence to the reference sequence</t>
    <phoneticPr fontId="1"/>
  </si>
  <si>
    <t>v.</t>
    <phoneticPr fontId="1"/>
  </si>
  <si>
    <t>x.</t>
    <phoneticPr fontId="1"/>
  </si>
  <si>
    <t>4) Dataset Analysis</t>
    <phoneticPr fontId="1"/>
  </si>
  <si>
    <r>
      <t>= UniqSSRAlleles(</t>
    </r>
    <r>
      <rPr>
        <b/>
        <sz val="12"/>
        <color rgb="FF0000FF"/>
        <rFont val="Calibri"/>
        <family val="2"/>
      </rPr>
      <t>Region</t>
    </r>
    <r>
      <rPr>
        <sz val="12"/>
        <color rgb="FF0000FF"/>
        <rFont val="Calibri"/>
        <family val="2"/>
      </rPr>
      <t>)</t>
    </r>
    <phoneticPr fontId="1"/>
  </si>
  <si>
    <r>
      <t>= UniqSNPAlleles(</t>
    </r>
    <r>
      <rPr>
        <b/>
        <sz val="12"/>
        <color rgb="FF0000FF"/>
        <rFont val="Calibri"/>
        <family val="2"/>
      </rPr>
      <t>Region</t>
    </r>
    <r>
      <rPr>
        <sz val="12"/>
        <color rgb="FF0000FF"/>
        <rFont val="Calibri"/>
        <family val="2"/>
      </rPr>
      <t>)</t>
    </r>
    <phoneticPr fontId="1"/>
  </si>
  <si>
    <r>
      <rPr>
        <b/>
        <sz val="12"/>
        <color theme="1"/>
        <rFont val="Calibri"/>
        <family val="2"/>
      </rPr>
      <t>Region</t>
    </r>
    <r>
      <rPr>
        <sz val="12"/>
        <color theme="1"/>
        <rFont val="Calibri"/>
        <family val="2"/>
      </rPr>
      <t>: a region consist of SSR genotype data for the evaluation</t>
    </r>
    <phoneticPr fontId="1"/>
  </si>
  <si>
    <r>
      <rPr>
        <b/>
        <sz val="12"/>
        <color theme="1"/>
        <rFont val="Calibri"/>
        <family val="2"/>
      </rPr>
      <t>Region</t>
    </r>
    <r>
      <rPr>
        <sz val="12"/>
        <color theme="1"/>
        <rFont val="Calibri"/>
        <family val="2"/>
      </rPr>
      <t>: a region consist of SNP genotype data for the evaluation</t>
    </r>
    <phoneticPr fontId="1"/>
  </si>
  <si>
    <r>
      <t>= UniqMAlleles(</t>
    </r>
    <r>
      <rPr>
        <b/>
        <sz val="12"/>
        <color rgb="FF0000FF"/>
        <rFont val="Calibri"/>
        <family val="2"/>
      </rPr>
      <t>Region</t>
    </r>
    <r>
      <rPr>
        <sz val="12"/>
        <color rgb="FF0000FF"/>
        <rFont val="Calibri"/>
        <family val="2"/>
      </rPr>
      <t>)</t>
    </r>
    <phoneticPr fontId="1"/>
  </si>
  <si>
    <r>
      <t>= UniqAlleles(</t>
    </r>
    <r>
      <rPr>
        <b/>
        <sz val="12"/>
        <color rgb="FF0000FF"/>
        <rFont val="Calibri"/>
        <family val="2"/>
      </rPr>
      <t>Region</t>
    </r>
    <r>
      <rPr>
        <sz val="12"/>
        <color rgb="FF0000FF"/>
        <rFont val="Calibri"/>
        <family val="2"/>
      </rPr>
      <t>)</t>
    </r>
    <phoneticPr fontId="1"/>
  </si>
  <si>
    <r>
      <rPr>
        <b/>
        <sz val="12"/>
        <color theme="1"/>
        <rFont val="Calibri"/>
        <family val="2"/>
      </rPr>
      <t>Region</t>
    </r>
    <r>
      <rPr>
        <sz val="12"/>
        <color theme="1"/>
        <rFont val="Calibri"/>
        <family val="2"/>
      </rPr>
      <t>: a region consist of M genotype data for the evaluation</t>
    </r>
    <phoneticPr fontId="1"/>
  </si>
  <si>
    <r>
      <rPr>
        <b/>
        <sz val="12"/>
        <color theme="1"/>
        <rFont val="Calibri"/>
        <family val="2"/>
      </rPr>
      <t>Region</t>
    </r>
    <r>
      <rPr>
        <sz val="12"/>
        <color theme="1"/>
        <rFont val="Calibri"/>
        <family val="2"/>
      </rPr>
      <t>: a region consist of allele data for the evaluation</t>
    </r>
    <phoneticPr fontId="1"/>
  </si>
  <si>
    <r>
      <t>= UniqSSRGTs(</t>
    </r>
    <r>
      <rPr>
        <b/>
        <sz val="12"/>
        <color rgb="FF0000FF"/>
        <rFont val="Calibri"/>
        <family val="2"/>
      </rPr>
      <t>Region</t>
    </r>
    <r>
      <rPr>
        <sz val="12"/>
        <color rgb="FF0000FF"/>
        <rFont val="Calibri"/>
        <family val="2"/>
      </rPr>
      <t>)</t>
    </r>
    <phoneticPr fontId="1"/>
  </si>
  <si>
    <r>
      <t>= UniqSNPGTs(</t>
    </r>
    <r>
      <rPr>
        <b/>
        <sz val="12"/>
        <color rgb="FF0000FF"/>
        <rFont val="Calibri"/>
        <family val="2"/>
      </rPr>
      <t>Region</t>
    </r>
    <r>
      <rPr>
        <sz val="12"/>
        <color rgb="FF0000FF"/>
        <rFont val="Calibri"/>
        <family val="2"/>
      </rPr>
      <t>)</t>
    </r>
    <phoneticPr fontId="1"/>
  </si>
  <si>
    <r>
      <t>= UniqMGTs(</t>
    </r>
    <r>
      <rPr>
        <b/>
        <sz val="12"/>
        <color rgb="FF0000FF"/>
        <rFont val="Calibri"/>
        <family val="2"/>
      </rPr>
      <t>Region</t>
    </r>
    <r>
      <rPr>
        <sz val="12"/>
        <color rgb="FF0000FF"/>
        <rFont val="Calibri"/>
        <family val="2"/>
      </rPr>
      <t>)</t>
    </r>
    <phoneticPr fontId="1"/>
  </si>
  <si>
    <r>
      <t>= GetUniqSSRAllele(</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</si>
  <si>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t>= GetUniqSNPAllele(</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</si>
  <si>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rPr>
        <b/>
        <sz val="12"/>
        <color theme="1"/>
        <rFont val="Calibri"/>
        <family val="2"/>
      </rPr>
      <t>Index</t>
    </r>
    <r>
      <rPr>
        <sz val="12"/>
        <color theme="1"/>
        <rFont val="Calibri"/>
        <family val="2"/>
      </rPr>
      <t>: the order of the unique allele appeared in the dataset.</t>
    </r>
    <phoneticPr fontId="1"/>
  </si>
  <si>
    <r>
      <t>= GetUniqMAllele(</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</si>
  <si>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t>= GetUniqSNPAllele(</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</si>
  <si>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t>= GetUniqSSRGT(</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</si>
  <si>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t>= GetUniqSNPGT(</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</si>
  <si>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rPr>
        <b/>
        <sz val="12"/>
        <color theme="1"/>
        <rFont val="Calibri"/>
        <family val="2"/>
      </rPr>
      <t>Index</t>
    </r>
    <r>
      <rPr>
        <sz val="12"/>
        <color theme="1"/>
        <rFont val="Calibri"/>
        <family val="2"/>
      </rPr>
      <t>: the order of the unique genotype appeared in the dataset.</t>
    </r>
    <phoneticPr fontId="1"/>
  </si>
  <si>
    <r>
      <t>= GetUniqMGT(</t>
    </r>
    <r>
      <rPr>
        <b/>
        <sz val="12"/>
        <color rgb="FF0000FF"/>
        <rFont val="Calibri"/>
        <family val="2"/>
      </rPr>
      <t>Region</t>
    </r>
    <r>
      <rPr>
        <sz val="12"/>
        <color rgb="FF0000FF"/>
        <rFont val="Calibri"/>
        <family val="2"/>
      </rPr>
      <t xml:space="preserve">, </t>
    </r>
    <r>
      <rPr>
        <b/>
        <sz val="12"/>
        <color rgb="FF0000FF"/>
        <rFont val="Calibri"/>
        <family val="2"/>
      </rPr>
      <t>index</t>
    </r>
    <r>
      <rPr>
        <sz val="12"/>
        <color rgb="FF0000FF"/>
        <rFont val="Calibri"/>
        <family val="2"/>
      </rPr>
      <t>)</t>
    </r>
    <phoneticPr fontId="1"/>
  </si>
  <si>
    <r>
      <t>= SSRMatchedRatio(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</si>
  <si>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t>= SNPMatchedRatio(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</si>
  <si>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rPr>
        <b/>
        <sz val="12"/>
        <color theme="1"/>
        <rFont val="Calibri"/>
        <family val="2"/>
      </rPr>
      <t>Region1, region2</t>
    </r>
    <r>
      <rPr>
        <sz val="12"/>
        <color theme="1"/>
        <rFont val="Calibri"/>
        <family val="2"/>
      </rPr>
      <t>: sets of SSR genotypes for the evaluation</t>
    </r>
    <phoneticPr fontId="1"/>
  </si>
  <si>
    <r>
      <rPr>
        <b/>
        <sz val="12"/>
        <color theme="1"/>
        <rFont val="Calibri"/>
        <family val="2"/>
      </rPr>
      <t>Region1, region2</t>
    </r>
    <r>
      <rPr>
        <sz val="12"/>
        <color theme="1"/>
        <rFont val="Calibri"/>
        <family val="2"/>
      </rPr>
      <t>: sets of SNP genotypes for the evaluation</t>
    </r>
    <phoneticPr fontId="1"/>
  </si>
  <si>
    <r>
      <t>= MMatchedRatio(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</si>
  <si>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t>= MatchedRatio(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</si>
  <si>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rPr>
        <b/>
        <sz val="12"/>
        <color theme="1"/>
        <rFont val="Calibri"/>
        <family val="2"/>
      </rPr>
      <t>Region1, region2</t>
    </r>
    <r>
      <rPr>
        <sz val="12"/>
        <color theme="1"/>
        <rFont val="Calibri"/>
        <family val="2"/>
      </rPr>
      <t>: sets of M genotypes for the evaluation</t>
    </r>
    <phoneticPr fontId="1"/>
  </si>
  <si>
    <r>
      <rPr>
        <b/>
        <sz val="12"/>
        <color theme="1"/>
        <rFont val="Calibri"/>
        <family val="2"/>
      </rPr>
      <t>Region1, region2</t>
    </r>
    <r>
      <rPr>
        <sz val="12"/>
        <color theme="1"/>
        <rFont val="Calibri"/>
        <family val="2"/>
      </rPr>
      <t>: sets of alleles for the evaluation</t>
    </r>
    <phoneticPr fontId="1"/>
  </si>
  <si>
    <r>
      <t>= SSRSharedRatio(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</si>
  <si>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t>= SNPSharedRatio(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</si>
  <si>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r>
      <t>= MSharedRatio(</t>
    </r>
    <r>
      <rPr>
        <b/>
        <sz val="12"/>
        <color rgb="FF0000FF"/>
        <rFont val="Calibri"/>
        <family val="2"/>
      </rPr>
      <t>region1</t>
    </r>
    <r>
      <rPr>
        <sz val="12"/>
        <color rgb="FF0000FF"/>
        <rFont val="Calibri"/>
        <family val="2"/>
      </rPr>
      <t xml:space="preserve">, </t>
    </r>
    <r>
      <rPr>
        <b/>
        <sz val="12"/>
        <color rgb="FF0000FF"/>
        <rFont val="Calibri"/>
        <family val="2"/>
      </rPr>
      <t>region2</t>
    </r>
    <r>
      <rPr>
        <sz val="12"/>
        <color rgb="FF0000FF"/>
        <rFont val="Calibri"/>
        <family val="2"/>
      </rPr>
      <t>)</t>
    </r>
    <phoneticPr fontId="1"/>
  </si>
  <si>
    <t>Sample SSR dataset 1</t>
  </si>
  <si>
    <t>Sample SNP dataset 1</t>
  </si>
  <si>
    <t>Sample M dataset 1</t>
  </si>
  <si>
    <t>Sample allele dataset 1</t>
  </si>
  <si>
    <t>Number of unique alleles in a designated dataset</t>
  </si>
  <si>
    <t>Results for the sample SSR dataset 1</t>
  </si>
  <si>
    <t>Results for the sample SNP dataset 1</t>
  </si>
  <si>
    <t>Results for the sample M dataset 1</t>
  </si>
  <si>
    <t>Results for the sample allele dataset 1</t>
  </si>
  <si>
    <t>Number of unique genotypes in a designated dataset</t>
  </si>
  <si>
    <t>Region: a region consist of SSR genotype dataset for the evaluation</t>
  </si>
  <si>
    <t>Region: a region consist of SNP genotype dataset for the evaluation</t>
  </si>
  <si>
    <t>Region: a region consist of M genotype dataset for the evaluation</t>
  </si>
  <si>
    <t>A unique allele in a designated dataset</t>
  </si>
  <si>
    <t>A unique genotype in a designated dataset</t>
  </si>
  <si>
    <t>Ratio of matched genotypes by pairwise comparison between the two datasets</t>
  </si>
  <si>
    <t>Sample SSR dataset 2</t>
  </si>
  <si>
    <t>Sample SNP dataset 2</t>
  </si>
  <si>
    <t>Results for the sample SSR dataset 2</t>
  </si>
  <si>
    <t>Results for the sample SNP dataset 2</t>
  </si>
  <si>
    <t>Sample M dataset</t>
  </si>
  <si>
    <t>Sample Allele dataset</t>
  </si>
  <si>
    <t>Results for the sample M dataset</t>
  </si>
  <si>
    <t>Results for the sample allele dataset</t>
  </si>
  <si>
    <t>Ratio of matched alleles by pairwise comparison between the two datasets</t>
  </si>
  <si>
    <t xml:space="preserve">Results for the sample M dataset </t>
  </si>
  <si>
    <t>Frequency of a particular allele in a designated dataset</t>
  </si>
  <si>
    <t>Frequency of a particular genotype in a designated dataset</t>
  </si>
  <si>
    <r>
      <t>=SSRAlleleFreq(</t>
    </r>
    <r>
      <rPr>
        <b/>
        <sz val="12"/>
        <color rgb="FF0000FF"/>
        <rFont val="Calibri"/>
        <family val="2"/>
      </rPr>
      <t>Region</t>
    </r>
    <r>
      <rPr>
        <sz val="12"/>
        <color rgb="FF0000FF"/>
        <rFont val="Calibri"/>
        <family val="2"/>
      </rPr>
      <t xml:space="preserve">, </t>
    </r>
    <r>
      <rPr>
        <b/>
        <sz val="12"/>
        <color rgb="FF0000FF"/>
        <rFont val="Calibri"/>
        <family val="2"/>
      </rPr>
      <t>allele</t>
    </r>
    <r>
      <rPr>
        <sz val="12"/>
        <color rgb="FF0000FF"/>
        <rFont val="Calibri"/>
        <family val="2"/>
      </rPr>
      <t>)</t>
    </r>
    <phoneticPr fontId="1"/>
  </si>
  <si>
    <r>
      <t>=SNPAlleleFreq(</t>
    </r>
    <r>
      <rPr>
        <b/>
        <sz val="12"/>
        <color rgb="FF0000FF"/>
        <rFont val="Calibri"/>
        <family val="2"/>
      </rPr>
      <t>Region</t>
    </r>
    <r>
      <rPr>
        <sz val="12"/>
        <color rgb="FF0000FF"/>
        <rFont val="Calibri"/>
        <family val="2"/>
      </rPr>
      <t xml:space="preserve">, </t>
    </r>
    <r>
      <rPr>
        <b/>
        <sz val="12"/>
        <color rgb="FF0000FF"/>
        <rFont val="Calibri"/>
        <family val="2"/>
      </rPr>
      <t>allele</t>
    </r>
    <r>
      <rPr>
        <sz val="12"/>
        <color rgb="FF0000FF"/>
        <rFont val="Calibri"/>
        <family val="2"/>
      </rPr>
      <t>)</t>
    </r>
    <phoneticPr fontId="1"/>
  </si>
  <si>
    <r>
      <rPr>
        <b/>
        <sz val="12"/>
        <color theme="1"/>
        <rFont val="Calibri"/>
        <family val="2"/>
      </rPr>
      <t>Region</t>
    </r>
    <r>
      <rPr>
        <sz val="12"/>
        <color theme="1"/>
        <rFont val="Calibri"/>
        <family val="2"/>
      </rPr>
      <t>: a region that contains SSR genotypes to be evaluated</t>
    </r>
    <phoneticPr fontId="1"/>
  </si>
  <si>
    <r>
      <rPr>
        <b/>
        <sz val="12"/>
        <color theme="1"/>
        <rFont val="Calibri"/>
        <family val="2"/>
      </rPr>
      <t>Region</t>
    </r>
    <r>
      <rPr>
        <sz val="12"/>
        <color theme="1"/>
        <rFont val="Calibri"/>
        <family val="2"/>
      </rPr>
      <t>: a region that contains SNP genotypes to be evaluated</t>
    </r>
    <phoneticPr fontId="1"/>
  </si>
  <si>
    <r>
      <t>=SSRGTFreq(</t>
    </r>
    <r>
      <rPr>
        <b/>
        <sz val="12"/>
        <color rgb="FF0000FF"/>
        <rFont val="Calibri"/>
        <family val="2"/>
      </rPr>
      <t>Region</t>
    </r>
    <r>
      <rPr>
        <sz val="12"/>
        <color rgb="FF0000FF"/>
        <rFont val="Calibri"/>
        <family val="2"/>
      </rPr>
      <t xml:space="preserve">, </t>
    </r>
    <r>
      <rPr>
        <b/>
        <sz val="12"/>
        <color rgb="FF0000FF"/>
        <rFont val="Calibri"/>
        <family val="2"/>
      </rPr>
      <t>genotype</t>
    </r>
    <r>
      <rPr>
        <sz val="12"/>
        <color rgb="FF0000FF"/>
        <rFont val="Calibri"/>
        <family val="2"/>
      </rPr>
      <t>)</t>
    </r>
    <phoneticPr fontId="1"/>
  </si>
  <si>
    <r>
      <t>=SNPGTFreq(</t>
    </r>
    <r>
      <rPr>
        <b/>
        <sz val="12"/>
        <color rgb="FF0000FF"/>
        <rFont val="Calibri"/>
        <family val="2"/>
      </rPr>
      <t>Region</t>
    </r>
    <r>
      <rPr>
        <sz val="12"/>
        <color rgb="FF0000FF"/>
        <rFont val="Calibri"/>
        <family val="2"/>
      </rPr>
      <t xml:space="preserve">, </t>
    </r>
    <r>
      <rPr>
        <b/>
        <sz val="12"/>
        <color rgb="FF0000FF"/>
        <rFont val="Calibri"/>
        <family val="2"/>
      </rPr>
      <t>genotype</t>
    </r>
    <r>
      <rPr>
        <sz val="12"/>
        <color rgb="FF0000FF"/>
        <rFont val="Calibri"/>
        <family val="2"/>
      </rPr>
      <t>)</t>
    </r>
    <phoneticPr fontId="1"/>
  </si>
  <si>
    <r>
      <rPr>
        <b/>
        <sz val="12"/>
        <color theme="1"/>
        <rFont val="Calibri"/>
        <family val="2"/>
      </rPr>
      <t>Region</t>
    </r>
    <r>
      <rPr>
        <sz val="12"/>
        <color theme="1"/>
        <rFont val="Calibri"/>
        <family val="2"/>
      </rPr>
      <t>: a region that contains SNP genotypes to be evaluated</t>
    </r>
    <phoneticPr fontId="1"/>
  </si>
  <si>
    <r>
      <rPr>
        <b/>
        <sz val="12"/>
        <color theme="1"/>
        <rFont val="Calibri"/>
        <family val="2"/>
      </rPr>
      <t>Genotype</t>
    </r>
    <r>
      <rPr>
        <sz val="12"/>
        <color theme="1"/>
        <rFont val="Calibri"/>
        <family val="2"/>
      </rPr>
      <t>: a genotype of interest</t>
    </r>
    <phoneticPr fontId="1"/>
  </si>
  <si>
    <r>
      <rPr>
        <b/>
        <sz val="12"/>
        <color theme="1"/>
        <rFont val="Calibri"/>
        <family val="2"/>
      </rPr>
      <t>Genotype</t>
    </r>
    <r>
      <rPr>
        <sz val="12"/>
        <color theme="1"/>
        <rFont val="Calibri"/>
        <family val="2"/>
      </rPr>
      <t>: a genotype of interest</t>
    </r>
    <phoneticPr fontId="1"/>
  </si>
  <si>
    <r>
      <t>Observed heterozygosity (</t>
    </r>
    <r>
      <rPr>
        <i/>
        <sz val="12"/>
        <color theme="1"/>
        <rFont val="Calibri"/>
        <family val="2"/>
      </rPr>
      <t>Ho</t>
    </r>
    <r>
      <rPr>
        <sz val="12"/>
        <color theme="1"/>
        <rFont val="Calibri"/>
        <family val="2"/>
      </rPr>
      <t>)</t>
    </r>
    <phoneticPr fontId="1"/>
  </si>
  <si>
    <r>
      <t xml:space="preserve">This </t>
    </r>
    <r>
      <rPr>
        <i/>
        <sz val="12"/>
        <color theme="1"/>
        <rFont val="Calibri"/>
        <family val="2"/>
      </rPr>
      <t>Ho</t>
    </r>
    <r>
      <rPr>
        <sz val="12"/>
        <color theme="1"/>
        <rFont val="Calibri"/>
        <family val="2"/>
      </rPr>
      <t>represents the ratio of the heterozygous genotypes in the region.</t>
    </r>
    <phoneticPr fontId="1"/>
  </si>
  <si>
    <r>
      <t>=SSRHo(</t>
    </r>
    <r>
      <rPr>
        <b/>
        <sz val="12"/>
        <color rgb="FF0000FF"/>
        <rFont val="Calibri"/>
        <family val="2"/>
      </rPr>
      <t>Region</t>
    </r>
    <r>
      <rPr>
        <sz val="12"/>
        <color rgb="FF0000FF"/>
        <rFont val="Calibri"/>
        <family val="2"/>
      </rPr>
      <t>)</t>
    </r>
    <phoneticPr fontId="1"/>
  </si>
  <si>
    <r>
      <t>=SNPHo(</t>
    </r>
    <r>
      <rPr>
        <b/>
        <sz val="12"/>
        <color rgb="FF0000FF"/>
        <rFont val="Calibri"/>
        <family val="2"/>
      </rPr>
      <t>Region</t>
    </r>
    <r>
      <rPr>
        <sz val="12"/>
        <color rgb="FF0000FF"/>
        <rFont val="Calibri"/>
        <family val="2"/>
      </rPr>
      <t>)</t>
    </r>
    <phoneticPr fontId="1"/>
  </si>
  <si>
    <r>
      <t>Observed heterozygosity (</t>
    </r>
    <r>
      <rPr>
        <i/>
        <sz val="12"/>
        <color theme="1"/>
        <rFont val="Calibri"/>
        <family val="2"/>
      </rPr>
      <t>H</t>
    </r>
    <r>
      <rPr>
        <sz val="12"/>
        <color theme="1"/>
        <rFont val="Calibri"/>
        <family val="2"/>
      </rPr>
      <t>o)</t>
    </r>
    <phoneticPr fontId="1"/>
  </si>
  <si>
    <r>
      <t xml:space="preserve">Expected heterozygosity </t>
    </r>
    <r>
      <rPr>
        <i/>
        <sz val="12"/>
        <color theme="1"/>
        <rFont val="Calibri"/>
        <family val="2"/>
      </rPr>
      <t>(He</t>
    </r>
    <r>
      <rPr>
        <sz val="12"/>
        <color theme="1"/>
        <rFont val="Calibri"/>
        <family val="2"/>
      </rPr>
      <t>)</t>
    </r>
    <phoneticPr fontId="1"/>
  </si>
  <si>
    <r>
      <t>=SSRHe(</t>
    </r>
    <r>
      <rPr>
        <b/>
        <sz val="12"/>
        <color rgb="FF0000FF"/>
        <rFont val="Calibri"/>
        <family val="2"/>
      </rPr>
      <t>Region</t>
    </r>
    <r>
      <rPr>
        <sz val="12"/>
        <color rgb="FF0000FF"/>
        <rFont val="Calibri"/>
        <family val="2"/>
      </rPr>
      <t>)</t>
    </r>
    <phoneticPr fontId="1"/>
  </si>
  <si>
    <r>
      <t>=SNPHe(</t>
    </r>
    <r>
      <rPr>
        <b/>
        <sz val="12"/>
        <color rgb="FF0000FF"/>
        <rFont val="Calibri"/>
        <family val="2"/>
      </rPr>
      <t>Region</t>
    </r>
    <r>
      <rPr>
        <sz val="12"/>
        <color rgb="FF0000FF"/>
        <rFont val="Calibri"/>
        <family val="2"/>
      </rPr>
      <t>)</t>
    </r>
    <phoneticPr fontId="1"/>
  </si>
  <si>
    <r>
      <t>Expected heterozygosity (</t>
    </r>
    <r>
      <rPr>
        <i/>
        <sz val="12"/>
        <color theme="1"/>
        <rFont val="Calibri"/>
        <family val="2"/>
      </rPr>
      <t>H</t>
    </r>
    <r>
      <rPr>
        <sz val="12"/>
        <color theme="1"/>
        <rFont val="Calibri"/>
        <family val="2"/>
      </rPr>
      <t>e)</t>
    </r>
    <phoneticPr fontId="1"/>
  </si>
  <si>
    <r>
      <t>=SSRPIC(</t>
    </r>
    <r>
      <rPr>
        <b/>
        <sz val="12"/>
        <color rgb="FF0000FF"/>
        <rFont val="Calibri"/>
        <family val="2"/>
      </rPr>
      <t>Region</t>
    </r>
    <r>
      <rPr>
        <sz val="12"/>
        <color rgb="FF0000FF"/>
        <rFont val="Calibri"/>
        <family val="2"/>
      </rPr>
      <t>)</t>
    </r>
    <phoneticPr fontId="1"/>
  </si>
  <si>
    <r>
      <t>=SNPPIC(</t>
    </r>
    <r>
      <rPr>
        <b/>
        <sz val="12"/>
        <color rgb="FF0000FF"/>
        <rFont val="Calibri"/>
        <family val="2"/>
      </rPr>
      <t>Region</t>
    </r>
    <r>
      <rPr>
        <sz val="12"/>
        <color rgb="FF0000FF"/>
        <rFont val="Calibri"/>
        <family val="2"/>
      </rPr>
      <t>)</t>
    </r>
    <phoneticPr fontId="1"/>
  </si>
  <si>
    <r>
      <rPr>
        <b/>
        <sz val="12"/>
        <color theme="1"/>
        <rFont val="Calibri"/>
        <family val="2"/>
      </rPr>
      <t>Region</t>
    </r>
    <r>
      <rPr>
        <sz val="12"/>
        <color theme="1"/>
        <rFont val="Calibri"/>
        <family val="2"/>
      </rPr>
      <t>: a region that contains SSR genotypes to be evaluated</t>
    </r>
    <phoneticPr fontId="1"/>
  </si>
  <si>
    <r>
      <t>=SSRPM(</t>
    </r>
    <r>
      <rPr>
        <b/>
        <sz val="12"/>
        <color rgb="FF0000FF"/>
        <rFont val="Calibri"/>
        <family val="2"/>
      </rPr>
      <t>Region</t>
    </r>
    <r>
      <rPr>
        <sz val="12"/>
        <color rgb="FF0000FF"/>
        <rFont val="Calibri"/>
        <family val="2"/>
      </rPr>
      <t>)</t>
    </r>
    <phoneticPr fontId="1"/>
  </si>
  <si>
    <r>
      <t>=SNPPM(</t>
    </r>
    <r>
      <rPr>
        <b/>
        <sz val="12"/>
        <color rgb="FF0000FF"/>
        <rFont val="Calibri"/>
        <family val="2"/>
      </rPr>
      <t>Region</t>
    </r>
    <r>
      <rPr>
        <sz val="12"/>
        <color rgb="FF0000FF"/>
        <rFont val="Calibri"/>
        <family val="2"/>
      </rPr>
      <t>)</t>
    </r>
    <phoneticPr fontId="1"/>
  </si>
  <si>
    <r>
      <t>=SSRPD(</t>
    </r>
    <r>
      <rPr>
        <b/>
        <sz val="12"/>
        <color rgb="FF0000FF"/>
        <rFont val="Calibri"/>
        <family val="2"/>
      </rPr>
      <t>Region</t>
    </r>
    <r>
      <rPr>
        <sz val="12"/>
        <color rgb="FF0000FF"/>
        <rFont val="Calibri"/>
        <family val="2"/>
      </rPr>
      <t>)</t>
    </r>
    <phoneticPr fontId="1"/>
  </si>
  <si>
    <r>
      <t>=SNPPD(</t>
    </r>
    <r>
      <rPr>
        <b/>
        <sz val="12"/>
        <color rgb="FF0000FF"/>
        <rFont val="Calibri"/>
        <family val="2"/>
      </rPr>
      <t>Region</t>
    </r>
    <r>
      <rPr>
        <sz val="12"/>
        <color rgb="FF0000FF"/>
        <rFont val="Calibri"/>
        <family val="2"/>
      </rPr>
      <t>)</t>
    </r>
    <phoneticPr fontId="1"/>
  </si>
  <si>
    <r>
      <rPr>
        <b/>
        <sz val="12"/>
        <color theme="1"/>
        <rFont val="Calibri"/>
        <family val="2"/>
      </rPr>
      <t>Region</t>
    </r>
    <r>
      <rPr>
        <sz val="12"/>
        <color theme="1"/>
        <rFont val="Calibri"/>
        <family val="2"/>
      </rPr>
      <t>: a region that contains SSR genotypes to be evaluated</t>
    </r>
    <phoneticPr fontId="1"/>
  </si>
  <si>
    <r>
      <t>=SSRGD(</t>
    </r>
    <r>
      <rPr>
        <b/>
        <sz val="12"/>
        <color rgb="FF0000FF"/>
        <rFont val="Calibri"/>
        <family val="2"/>
      </rPr>
      <t>Region</t>
    </r>
    <r>
      <rPr>
        <sz val="12"/>
        <color rgb="FF0000FF"/>
        <rFont val="Calibri"/>
        <family val="2"/>
      </rPr>
      <t>)</t>
    </r>
    <phoneticPr fontId="1"/>
  </si>
  <si>
    <r>
      <t>=SNPGD(</t>
    </r>
    <r>
      <rPr>
        <b/>
        <sz val="12"/>
        <color rgb="FF0000FF"/>
        <rFont val="Calibri"/>
        <family val="2"/>
      </rPr>
      <t>Region</t>
    </r>
    <r>
      <rPr>
        <sz val="12"/>
        <color rgb="FF0000FF"/>
        <rFont val="Calibri"/>
        <family val="2"/>
      </rPr>
      <t>)</t>
    </r>
    <phoneticPr fontId="1"/>
  </si>
  <si>
    <r>
      <t>=SSRGD2(</t>
    </r>
    <r>
      <rPr>
        <b/>
        <sz val="12"/>
        <color rgb="FF0000FF"/>
        <rFont val="Calibri"/>
        <family val="2"/>
      </rPr>
      <t>Region</t>
    </r>
    <r>
      <rPr>
        <sz val="12"/>
        <color rgb="FF0000FF"/>
        <rFont val="Calibri"/>
        <family val="2"/>
      </rPr>
      <t>)</t>
    </r>
    <phoneticPr fontId="1"/>
  </si>
  <si>
    <r>
      <t>=SNPGD2(</t>
    </r>
    <r>
      <rPr>
        <b/>
        <sz val="12"/>
        <color rgb="FF0000FF"/>
        <rFont val="Calibri"/>
        <family val="2"/>
      </rPr>
      <t>Region</t>
    </r>
    <r>
      <rPr>
        <sz val="12"/>
        <color rgb="FF0000FF"/>
        <rFont val="Calibri"/>
        <family val="2"/>
      </rPr>
      <t>)</t>
    </r>
    <phoneticPr fontId="1"/>
  </si>
  <si>
    <r>
      <rPr>
        <i/>
        <sz val="12"/>
        <color theme="1"/>
        <rFont val="Calibri"/>
        <family val="2"/>
      </rPr>
      <t>Tips</t>
    </r>
    <r>
      <rPr>
        <sz val="12"/>
        <color theme="1"/>
        <rFont val="Calibri"/>
        <family val="2"/>
      </rPr>
      <t>: This is a common function of all genotype data.</t>
    </r>
    <phoneticPr fontId="1"/>
  </si>
  <si>
    <r>
      <t>=</t>
    </r>
    <r>
      <rPr>
        <sz val="12"/>
        <color rgb="FFFF0000"/>
        <rFont val="Calibri"/>
        <family val="2"/>
      </rPr>
      <t>Ukaif0</t>
    </r>
    <r>
      <rPr>
        <sz val="12"/>
        <color theme="1"/>
        <rFont val="Calibri"/>
        <family val="2"/>
      </rPr>
      <t>(Region for fi)</t>
    </r>
    <phoneticPr fontId="1"/>
  </si>
  <si>
    <r>
      <rPr>
        <i/>
        <sz val="12"/>
        <color rgb="FFFF0000"/>
        <rFont val="Calibri"/>
        <family val="2"/>
      </rPr>
      <t>f</t>
    </r>
    <r>
      <rPr>
        <sz val="12"/>
        <color rgb="FFFF0000"/>
        <rFont val="Calibri"/>
        <family val="2"/>
      </rPr>
      <t>0 =</t>
    </r>
    <phoneticPr fontId="1"/>
  </si>
  <si>
    <r>
      <t>=</t>
    </r>
    <r>
      <rPr>
        <sz val="12"/>
        <color rgb="FFFF0000"/>
        <rFont val="Calibri"/>
        <family val="2"/>
      </rPr>
      <t>UkaiP1</t>
    </r>
    <r>
      <rPr>
        <sz val="12"/>
        <color theme="1"/>
        <rFont val="Calibri"/>
        <family val="2"/>
      </rPr>
      <t>(Region for fi, N for individuals)</t>
    </r>
    <phoneticPr fontId="1"/>
  </si>
  <si>
    <r>
      <t>= AlleleShared(</t>
    </r>
    <r>
      <rPr>
        <b/>
        <sz val="12"/>
        <color rgb="FF0000FF"/>
        <rFont val="Calibri"/>
        <family val="2"/>
      </rPr>
      <t>SSR1</t>
    </r>
    <r>
      <rPr>
        <sz val="12"/>
        <color rgb="FF0000FF"/>
        <rFont val="Calibri"/>
        <family val="2"/>
      </rPr>
      <t xml:space="preserve">, </t>
    </r>
    <r>
      <rPr>
        <b/>
        <sz val="12"/>
        <color rgb="FF0000FF"/>
        <rFont val="Calibri"/>
        <family val="2"/>
      </rPr>
      <t>SSR2</t>
    </r>
    <r>
      <rPr>
        <sz val="12"/>
        <color rgb="FF0000FF"/>
        <rFont val="Calibri"/>
        <family val="2"/>
      </rPr>
      <t>)</t>
    </r>
    <phoneticPr fontId="1"/>
  </si>
  <si>
    <r>
      <t>= SNPAlleleShared(</t>
    </r>
    <r>
      <rPr>
        <b/>
        <sz val="12"/>
        <color rgb="FF0000FF"/>
        <rFont val="Calibri"/>
        <family val="2"/>
      </rPr>
      <t>SNP1</t>
    </r>
    <r>
      <rPr>
        <sz val="12"/>
        <color rgb="FF0000FF"/>
        <rFont val="Calibri"/>
        <family val="2"/>
      </rPr>
      <t xml:space="preserve">, </t>
    </r>
    <r>
      <rPr>
        <b/>
        <sz val="12"/>
        <color rgb="FF0000FF"/>
        <rFont val="Calibri"/>
        <family val="2"/>
      </rPr>
      <t>SNP2</t>
    </r>
    <r>
      <rPr>
        <sz val="12"/>
        <color rgb="FF0000FF"/>
        <rFont val="Calibri"/>
        <family val="2"/>
      </rPr>
      <t>)</t>
    </r>
    <phoneticPr fontId="1"/>
  </si>
  <si>
    <r>
      <rPr>
        <b/>
        <sz val="12"/>
        <color theme="1"/>
        <rFont val="Calibri"/>
        <family val="2"/>
      </rPr>
      <t>SSR</t>
    </r>
    <r>
      <rPr>
        <sz val="12"/>
        <color theme="1"/>
        <rFont val="Calibri"/>
        <family val="2"/>
      </rPr>
      <t xml:space="preserve"> genotype to be evaluated</t>
    </r>
    <phoneticPr fontId="1"/>
  </si>
  <si>
    <r>
      <rPr>
        <b/>
        <sz val="12"/>
        <color theme="1"/>
        <rFont val="Calibri"/>
        <family val="2"/>
      </rPr>
      <t>SNP</t>
    </r>
    <r>
      <rPr>
        <sz val="12"/>
        <color theme="1"/>
        <rFont val="Calibri"/>
        <family val="2"/>
      </rPr>
      <t xml:space="preserve"> genotype to be evaluated</t>
    </r>
    <phoneticPr fontId="1"/>
  </si>
  <si>
    <r>
      <t>= IsChild(</t>
    </r>
    <r>
      <rPr>
        <b/>
        <sz val="12"/>
        <color rgb="FF0000FF"/>
        <rFont val="Calibri"/>
        <family val="2"/>
      </rPr>
      <t>Offspring</t>
    </r>
    <r>
      <rPr>
        <sz val="12"/>
        <color rgb="FF0000FF"/>
        <rFont val="Calibri"/>
        <family val="2"/>
      </rPr>
      <t xml:space="preserve">, </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phoneticPr fontId="1"/>
  </si>
  <si>
    <r>
      <t>= MIsChild(</t>
    </r>
    <r>
      <rPr>
        <b/>
        <sz val="12"/>
        <color rgb="FF0000FF"/>
        <rFont val="Calibri"/>
        <family val="2"/>
      </rPr>
      <t>Offspring</t>
    </r>
    <r>
      <rPr>
        <sz val="12"/>
        <color rgb="FF0000FF"/>
        <rFont val="Calibri"/>
        <family val="2"/>
      </rPr>
      <t xml:space="preserve">, </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phoneticPr fontId="1"/>
  </si>
  <si>
    <r>
      <rPr>
        <b/>
        <sz val="12"/>
        <color theme="1"/>
        <rFont val="Calibri"/>
        <family val="2"/>
      </rPr>
      <t>Offspring</t>
    </r>
    <r>
      <rPr>
        <sz val="12"/>
        <color theme="1"/>
        <rFont val="Calibri"/>
        <family val="2"/>
      </rPr>
      <t>: SSR genotype of offspring individual</t>
    </r>
    <phoneticPr fontId="1"/>
  </si>
  <si>
    <r>
      <rPr>
        <b/>
        <sz val="12"/>
        <color theme="1"/>
        <rFont val="Calibri"/>
        <family val="2"/>
      </rPr>
      <t>Offspring</t>
    </r>
    <r>
      <rPr>
        <sz val="12"/>
        <color theme="1"/>
        <rFont val="Calibri"/>
        <family val="2"/>
      </rPr>
      <t>: M genotype of offspring individual</t>
    </r>
    <phoneticPr fontId="1"/>
  </si>
  <si>
    <r>
      <rPr>
        <b/>
        <sz val="12"/>
        <color theme="1"/>
        <rFont val="Calibri"/>
        <family val="2"/>
      </rPr>
      <t xml:space="preserve">Parent1, parent2: </t>
    </r>
    <r>
      <rPr>
        <sz val="12"/>
        <color theme="1"/>
        <rFont val="Calibri"/>
        <family val="2"/>
      </rPr>
      <t>SSR genotype to be evaluated</t>
    </r>
    <phoneticPr fontId="1"/>
  </si>
  <si>
    <r>
      <rPr>
        <b/>
        <sz val="12"/>
        <color theme="1"/>
        <rFont val="Calibri"/>
        <family val="2"/>
      </rPr>
      <t xml:space="preserve">Parent1, parent2: </t>
    </r>
    <r>
      <rPr>
        <sz val="12"/>
        <color theme="1"/>
        <rFont val="Calibri"/>
        <family val="2"/>
      </rPr>
      <t>M genotype to be evaluated</t>
    </r>
    <phoneticPr fontId="1"/>
  </si>
  <si>
    <r>
      <t>= SNPIsChild(</t>
    </r>
    <r>
      <rPr>
        <b/>
        <sz val="12"/>
        <color theme="1"/>
        <rFont val="Calibri"/>
        <family val="2"/>
      </rPr>
      <t>Offspring</t>
    </r>
    <r>
      <rPr>
        <sz val="12"/>
        <color theme="1"/>
        <rFont val="Calibri"/>
        <family val="2"/>
      </rPr>
      <t xml:space="preserve">, </t>
    </r>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t>
    </r>
    <phoneticPr fontId="1"/>
  </si>
  <si>
    <r>
      <rPr>
        <b/>
        <sz val="12"/>
        <color theme="1"/>
        <rFont val="Calibri"/>
        <family val="2"/>
      </rPr>
      <t>Offspring</t>
    </r>
    <r>
      <rPr>
        <sz val="12"/>
        <color theme="1"/>
        <rFont val="Calibri"/>
        <family val="2"/>
      </rPr>
      <t>: SNP genotype of offspring individual</t>
    </r>
    <phoneticPr fontId="1"/>
  </si>
  <si>
    <r>
      <rPr>
        <b/>
        <sz val="12"/>
        <color theme="1"/>
        <rFont val="Calibri"/>
        <family val="2"/>
      </rPr>
      <t xml:space="preserve">Parent1, parent2: </t>
    </r>
    <r>
      <rPr>
        <sz val="12"/>
        <color theme="1"/>
        <rFont val="Calibri"/>
        <family val="2"/>
      </rPr>
      <t>SNP genotype to be evaluated</t>
    </r>
    <phoneticPr fontId="1"/>
  </si>
  <si>
    <r>
      <t>= SSRChildProbability(</t>
    </r>
    <r>
      <rPr>
        <b/>
        <sz val="12"/>
        <color rgb="FF0000FF"/>
        <rFont val="Calibri"/>
        <family val="2"/>
      </rPr>
      <t>Offspring</t>
    </r>
    <r>
      <rPr>
        <sz val="12"/>
        <color rgb="FF0000FF"/>
        <rFont val="Calibri"/>
        <family val="2"/>
      </rPr>
      <t xml:space="preserve">, </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Diff</t>
    </r>
    <r>
      <rPr>
        <sz val="12"/>
        <color rgb="FF0000FF"/>
        <rFont val="Calibri"/>
        <family val="2"/>
      </rPr>
      <t>)</t>
    </r>
    <phoneticPr fontId="1"/>
  </si>
  <si>
    <r>
      <t>= SNPChildProbability(</t>
    </r>
    <r>
      <rPr>
        <b/>
        <sz val="12"/>
        <color rgb="FF0000FF"/>
        <rFont val="Calibri"/>
        <family val="2"/>
      </rPr>
      <t>Offspring</t>
    </r>
    <r>
      <rPr>
        <sz val="12"/>
        <color rgb="FF0000FF"/>
        <rFont val="Calibri"/>
        <family val="2"/>
      </rPr>
      <t xml:space="preserve">, </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phoneticPr fontId="1"/>
  </si>
  <si>
    <r>
      <rPr>
        <b/>
        <sz val="12"/>
        <color theme="1"/>
        <rFont val="Calibri"/>
        <family val="2"/>
      </rPr>
      <t>Offspring</t>
    </r>
    <r>
      <rPr>
        <sz val="12"/>
        <color theme="1"/>
        <rFont val="Calibri"/>
        <family val="2"/>
      </rPr>
      <t>: SNP genotype of offspring individual</t>
    </r>
    <phoneticPr fontId="1"/>
  </si>
  <si>
    <r>
      <rPr>
        <b/>
        <sz val="12"/>
        <color theme="1"/>
        <rFont val="Calibri"/>
        <family val="2"/>
      </rPr>
      <t xml:space="preserve">Parent1, parent2: </t>
    </r>
    <r>
      <rPr>
        <sz val="12"/>
        <color theme="1"/>
        <rFont val="Calibri"/>
        <family val="2"/>
      </rPr>
      <t>SSR genotype to be evaluated</t>
    </r>
    <phoneticPr fontId="1"/>
  </si>
  <si>
    <r>
      <rPr>
        <b/>
        <sz val="12"/>
        <color theme="1"/>
        <rFont val="Calibri"/>
        <family val="2"/>
      </rPr>
      <t xml:space="preserve">Parent1, parent2: </t>
    </r>
    <r>
      <rPr>
        <sz val="12"/>
        <color theme="1"/>
        <rFont val="Calibri"/>
        <family val="2"/>
      </rPr>
      <t>SNP genotype to be evaluated</t>
    </r>
    <phoneticPr fontId="1"/>
  </si>
  <si>
    <r>
      <rPr>
        <b/>
        <sz val="12"/>
        <color theme="1"/>
        <rFont val="Calibri"/>
        <family val="2"/>
      </rPr>
      <t>DIFF</t>
    </r>
    <r>
      <rPr>
        <sz val="12"/>
        <color theme="1"/>
        <rFont val="Calibri"/>
        <family val="2"/>
      </rPr>
      <t>: allowed differences between alleles to regard them identical</t>
    </r>
    <phoneticPr fontId="1"/>
  </si>
  <si>
    <r>
      <t>T(</t>
    </r>
    <r>
      <rPr>
        <i/>
        <sz val="12"/>
        <color rgb="FF000000"/>
        <rFont val="Calibri"/>
        <family val="2"/>
      </rPr>
      <t>g</t>
    </r>
    <r>
      <rPr>
        <i/>
        <vertAlign val="subscript"/>
        <sz val="12"/>
        <color rgb="FF000000"/>
        <rFont val="Calibri"/>
        <family val="2"/>
      </rPr>
      <t>0</t>
    </r>
    <r>
      <rPr>
        <sz val="12"/>
        <color rgb="FF000000"/>
        <rFont val="Calibri"/>
        <family val="2"/>
      </rPr>
      <t>|</t>
    </r>
    <r>
      <rPr>
        <i/>
        <sz val="12"/>
        <color rgb="FF000000"/>
        <rFont val="Calibri"/>
        <family val="2"/>
      </rPr>
      <t>g</t>
    </r>
    <r>
      <rPr>
        <i/>
        <vertAlign val="subscript"/>
        <sz val="12"/>
        <color rgb="FF000000"/>
        <rFont val="Calibri"/>
        <family val="2"/>
      </rPr>
      <t>m</t>
    </r>
    <r>
      <rPr>
        <sz val="12"/>
        <color rgb="FF000000"/>
        <rFont val="Calibri"/>
        <family val="2"/>
      </rPr>
      <t xml:space="preserve">, </t>
    </r>
    <r>
      <rPr>
        <i/>
        <sz val="12"/>
        <color rgb="FF000000"/>
        <rFont val="Calibri"/>
        <family val="2"/>
      </rPr>
      <t>g</t>
    </r>
    <r>
      <rPr>
        <i/>
        <vertAlign val="subscript"/>
        <sz val="12"/>
        <color rgb="FF000000"/>
        <rFont val="Calibri"/>
        <family val="2"/>
      </rPr>
      <t>a</t>
    </r>
    <r>
      <rPr>
        <sz val="12"/>
        <color rgb="FF000000"/>
        <rFont val="Calibri"/>
        <family val="2"/>
      </rPr>
      <t>)</t>
    </r>
  </si>
  <si>
    <r>
      <t>= SSRGTProbability(</t>
    </r>
    <r>
      <rPr>
        <b/>
        <sz val="12"/>
        <color rgb="FF0000FF"/>
        <rFont val="Calibri"/>
        <family val="2"/>
      </rPr>
      <t>Region, offspring</t>
    </r>
    <r>
      <rPr>
        <sz val="12"/>
        <color rgb="FF0000FF"/>
        <rFont val="Calibri"/>
        <family val="2"/>
      </rPr>
      <t>)</t>
    </r>
    <phoneticPr fontId="1"/>
  </si>
  <si>
    <r>
      <t>= SNPGTProbability(</t>
    </r>
    <r>
      <rPr>
        <b/>
        <sz val="12"/>
        <color rgb="FF0000FF"/>
        <rFont val="Calibri"/>
        <family val="2"/>
      </rPr>
      <t>Region, offspring</t>
    </r>
    <r>
      <rPr>
        <sz val="12"/>
        <color rgb="FF0000FF"/>
        <rFont val="Calibri"/>
        <family val="2"/>
      </rPr>
      <t>)</t>
    </r>
    <phoneticPr fontId="1"/>
  </si>
  <si>
    <r>
      <rPr>
        <b/>
        <sz val="12"/>
        <color theme="1"/>
        <rFont val="Calibri"/>
        <family val="2"/>
      </rPr>
      <t xml:space="preserve">Region: </t>
    </r>
    <r>
      <rPr>
        <sz val="12"/>
        <color theme="1"/>
        <rFont val="Calibri"/>
        <family val="2"/>
      </rPr>
      <t>a set of SSR genotypes to be evaluated</t>
    </r>
    <phoneticPr fontId="1"/>
  </si>
  <si>
    <r>
      <rPr>
        <b/>
        <sz val="12"/>
        <color theme="1"/>
        <rFont val="Calibri"/>
        <family val="2"/>
      </rPr>
      <t xml:space="preserve">Region: </t>
    </r>
    <r>
      <rPr>
        <sz val="12"/>
        <color theme="1"/>
        <rFont val="Calibri"/>
        <family val="2"/>
      </rPr>
      <t>a set of SNP genotypes to be evaluated</t>
    </r>
    <phoneticPr fontId="1"/>
  </si>
  <si>
    <r>
      <rPr>
        <b/>
        <sz val="12"/>
        <color theme="1"/>
        <rFont val="Calibri"/>
        <family val="2"/>
      </rPr>
      <t>Offspring</t>
    </r>
    <r>
      <rPr>
        <sz val="12"/>
        <color theme="1"/>
        <rFont val="Calibri"/>
        <family val="2"/>
      </rPr>
      <t>: SSR genotype of offspring individual</t>
    </r>
    <phoneticPr fontId="1"/>
  </si>
  <si>
    <r>
      <t>= SSRParentageProbability(</t>
    </r>
    <r>
      <rPr>
        <b/>
        <sz val="12"/>
        <color rgb="FF0000FF"/>
        <rFont val="Calibri"/>
        <family val="2"/>
      </rPr>
      <t>Offspring</t>
    </r>
    <r>
      <rPr>
        <sz val="12"/>
        <color rgb="FF0000FF"/>
        <rFont val="Calibri"/>
        <family val="2"/>
      </rPr>
      <t xml:space="preserve">, </t>
    </r>
    <r>
      <rPr>
        <b/>
        <sz val="12"/>
        <color rgb="FF0000FF"/>
        <rFont val="Calibri"/>
        <family val="2"/>
      </rPr>
      <t>parent</t>
    </r>
    <r>
      <rPr>
        <sz val="12"/>
        <color rgb="FF0000FF"/>
        <rFont val="Calibri"/>
        <family val="2"/>
      </rPr>
      <t xml:space="preserve">, </t>
    </r>
    <r>
      <rPr>
        <b/>
        <sz val="12"/>
        <color rgb="FF0000FF"/>
        <rFont val="Calibri"/>
        <family val="2"/>
      </rPr>
      <t>region</t>
    </r>
    <r>
      <rPr>
        <sz val="12"/>
        <color rgb="FF0000FF"/>
        <rFont val="Calibri"/>
        <family val="2"/>
      </rPr>
      <t>)</t>
    </r>
    <phoneticPr fontId="1"/>
  </si>
  <si>
    <r>
      <t>= SNPParentageProbability(</t>
    </r>
    <r>
      <rPr>
        <b/>
        <sz val="12"/>
        <color rgb="FF0000FF"/>
        <rFont val="Calibri"/>
        <family val="2"/>
      </rPr>
      <t>Offspring</t>
    </r>
    <r>
      <rPr>
        <sz val="12"/>
        <color rgb="FF0000FF"/>
        <rFont val="Calibri"/>
        <family val="2"/>
      </rPr>
      <t xml:space="preserve">, </t>
    </r>
    <r>
      <rPr>
        <b/>
        <sz val="12"/>
        <color rgb="FF0000FF"/>
        <rFont val="Calibri"/>
        <family val="2"/>
      </rPr>
      <t>parent</t>
    </r>
    <r>
      <rPr>
        <sz val="12"/>
        <color rgb="FF0000FF"/>
        <rFont val="Calibri"/>
        <family val="2"/>
      </rPr>
      <t xml:space="preserve">, </t>
    </r>
    <r>
      <rPr>
        <b/>
        <sz val="12"/>
        <color rgb="FF0000FF"/>
        <rFont val="Calibri"/>
        <family val="2"/>
      </rPr>
      <t>region</t>
    </r>
    <r>
      <rPr>
        <sz val="12"/>
        <color rgb="FF0000FF"/>
        <rFont val="Calibri"/>
        <family val="2"/>
      </rPr>
      <t>)</t>
    </r>
    <phoneticPr fontId="1"/>
  </si>
  <si>
    <r>
      <rPr>
        <b/>
        <sz val="12"/>
        <color theme="1"/>
        <rFont val="Calibri"/>
        <family val="2"/>
      </rPr>
      <t>Offspring</t>
    </r>
    <r>
      <rPr>
        <sz val="12"/>
        <color theme="1"/>
        <rFont val="Calibri"/>
        <family val="2"/>
      </rPr>
      <t>: SSR genotype of offspring individual</t>
    </r>
    <phoneticPr fontId="1"/>
  </si>
  <si>
    <r>
      <rPr>
        <b/>
        <sz val="12"/>
        <color theme="1"/>
        <rFont val="Calibri"/>
        <family val="2"/>
      </rPr>
      <t>Offspring</t>
    </r>
    <r>
      <rPr>
        <sz val="12"/>
        <color theme="1"/>
        <rFont val="Calibri"/>
        <family val="2"/>
      </rPr>
      <t>: SNP genotype of offspring individual</t>
    </r>
    <phoneticPr fontId="1"/>
  </si>
  <si>
    <r>
      <rPr>
        <b/>
        <sz val="12"/>
        <color theme="1"/>
        <rFont val="Calibri"/>
        <family val="2"/>
      </rPr>
      <t xml:space="preserve">Parent: </t>
    </r>
    <r>
      <rPr>
        <sz val="12"/>
        <color theme="1"/>
        <rFont val="Calibri"/>
        <family val="2"/>
      </rPr>
      <t>SSR genotype of alleged parent</t>
    </r>
    <phoneticPr fontId="1"/>
  </si>
  <si>
    <r>
      <rPr>
        <b/>
        <sz val="12"/>
        <color theme="1"/>
        <rFont val="Calibri"/>
        <family val="2"/>
      </rPr>
      <t xml:space="preserve">Parent: </t>
    </r>
    <r>
      <rPr>
        <sz val="12"/>
        <color theme="1"/>
        <rFont val="Calibri"/>
        <family val="2"/>
      </rPr>
      <t>SNP genotype of alleged parent</t>
    </r>
    <phoneticPr fontId="1"/>
  </si>
  <si>
    <r>
      <rPr>
        <b/>
        <sz val="12"/>
        <color theme="1"/>
        <rFont val="Calibri"/>
        <family val="2"/>
      </rPr>
      <t>Region</t>
    </r>
    <r>
      <rPr>
        <sz val="12"/>
        <color theme="1"/>
        <rFont val="Calibri"/>
        <family val="2"/>
      </rPr>
      <t>: reference population consists of SSR genotypes</t>
    </r>
    <phoneticPr fontId="1"/>
  </si>
  <si>
    <r>
      <rPr>
        <b/>
        <sz val="12"/>
        <color theme="1"/>
        <rFont val="Calibri"/>
        <family val="2"/>
      </rPr>
      <t>Region</t>
    </r>
    <r>
      <rPr>
        <sz val="12"/>
        <color theme="1"/>
        <rFont val="Calibri"/>
        <family val="2"/>
      </rPr>
      <t>: reference population consists of SSR genotypes</t>
    </r>
    <phoneticPr fontId="1"/>
  </si>
  <si>
    <t>Results for SSR dataset</t>
  </si>
  <si>
    <t>Results for SNP dataset</t>
  </si>
  <si>
    <t>Results for M dataset</t>
  </si>
  <si>
    <r>
      <t>= compnuc(</t>
    </r>
    <r>
      <rPr>
        <b/>
        <sz val="12"/>
        <color rgb="FF0000FF"/>
        <rFont val="Calibri"/>
        <family val="2"/>
      </rPr>
      <t>NUC</t>
    </r>
    <r>
      <rPr>
        <sz val="12"/>
        <color rgb="FF0000FF"/>
        <rFont val="Calibri"/>
        <family val="2"/>
      </rPr>
      <t>)</t>
    </r>
    <phoneticPr fontId="1"/>
  </si>
  <si>
    <r>
      <rPr>
        <b/>
        <sz val="12"/>
        <color theme="1"/>
        <rFont val="Calibri"/>
        <family val="2"/>
      </rPr>
      <t>NUC</t>
    </r>
    <r>
      <rPr>
        <sz val="12"/>
        <color theme="1"/>
        <rFont val="Calibri"/>
        <family val="2"/>
      </rPr>
      <t>: a code of nucleotide (not sequence)</t>
    </r>
    <phoneticPr fontId="1"/>
  </si>
  <si>
    <r>
      <t>= comp(</t>
    </r>
    <r>
      <rPr>
        <b/>
        <sz val="12"/>
        <color rgb="FF0000FF"/>
        <rFont val="Calibri"/>
        <family val="2"/>
      </rPr>
      <t>SEQ</t>
    </r>
    <r>
      <rPr>
        <sz val="12"/>
        <color rgb="FF0000FF"/>
        <rFont val="Calibri"/>
        <family val="2"/>
      </rPr>
      <t>)</t>
    </r>
    <phoneticPr fontId="1"/>
  </si>
  <si>
    <r>
      <rPr>
        <b/>
        <sz val="12"/>
        <color theme="1"/>
        <rFont val="Calibri"/>
        <family val="2"/>
      </rPr>
      <t>SEQ</t>
    </r>
    <r>
      <rPr>
        <sz val="12"/>
        <color theme="1"/>
        <rFont val="Calibri"/>
        <family val="2"/>
      </rPr>
      <t>: nucleic acid sequence</t>
    </r>
    <phoneticPr fontId="1"/>
  </si>
  <si>
    <r>
      <t>= reverse(</t>
    </r>
    <r>
      <rPr>
        <b/>
        <sz val="12"/>
        <color rgb="FF0000FF"/>
        <rFont val="Calibri"/>
        <family val="2"/>
      </rPr>
      <t>SEQ</t>
    </r>
    <r>
      <rPr>
        <sz val="12"/>
        <color rgb="FF0000FF"/>
        <rFont val="Calibri"/>
        <family val="2"/>
      </rPr>
      <t>)</t>
    </r>
    <phoneticPr fontId="1"/>
  </si>
  <si>
    <r>
      <rPr>
        <b/>
        <sz val="12"/>
        <color theme="1"/>
        <rFont val="Calibri"/>
        <family val="2"/>
      </rPr>
      <t>SEQ</t>
    </r>
    <r>
      <rPr>
        <sz val="12"/>
        <color theme="1"/>
        <rFont val="Calibri"/>
        <family val="2"/>
      </rPr>
      <t>: nucleic acid/amino acid sequence</t>
    </r>
    <phoneticPr fontId="1"/>
  </si>
  <si>
    <r>
      <t>= revcomp(</t>
    </r>
    <r>
      <rPr>
        <b/>
        <sz val="12"/>
        <color rgb="FF0000FF"/>
        <rFont val="Calibri"/>
        <family val="2"/>
      </rPr>
      <t>SEQ</t>
    </r>
    <r>
      <rPr>
        <sz val="12"/>
        <color rgb="FF0000FF"/>
        <rFont val="Calibri"/>
        <family val="2"/>
      </rPr>
      <t>)</t>
    </r>
    <phoneticPr fontId="1"/>
  </si>
  <si>
    <r>
      <rPr>
        <b/>
        <sz val="12"/>
        <color theme="1"/>
        <rFont val="Calibri"/>
        <family val="2"/>
      </rPr>
      <t>SEQ</t>
    </r>
    <r>
      <rPr>
        <sz val="12"/>
        <color theme="1"/>
        <rFont val="Calibri"/>
        <family val="2"/>
      </rPr>
      <t>: nucleic acid sequence</t>
    </r>
    <phoneticPr fontId="1"/>
  </si>
  <si>
    <r>
      <t>= splitseq(</t>
    </r>
    <r>
      <rPr>
        <b/>
        <sz val="12"/>
        <color rgb="FF0000FF"/>
        <rFont val="Calibri"/>
        <family val="2"/>
      </rPr>
      <t>SEQ</t>
    </r>
    <r>
      <rPr>
        <sz val="12"/>
        <color rgb="FF0000FF"/>
        <rFont val="Calibri"/>
        <family val="2"/>
      </rPr>
      <t xml:space="preserve">, </t>
    </r>
    <r>
      <rPr>
        <b/>
        <sz val="12"/>
        <color rgb="FF0000FF"/>
        <rFont val="Calibri"/>
        <family val="2"/>
      </rPr>
      <t>interval</t>
    </r>
    <r>
      <rPr>
        <sz val="12"/>
        <color rgb="FF0000FF"/>
        <rFont val="Calibri"/>
        <family val="2"/>
      </rPr>
      <t>)</t>
    </r>
    <phoneticPr fontId="1"/>
  </si>
  <si>
    <r>
      <rPr>
        <b/>
        <sz val="12"/>
        <color theme="1"/>
        <rFont val="Calibri"/>
        <family val="2"/>
      </rPr>
      <t>SEQ</t>
    </r>
    <r>
      <rPr>
        <sz val="12"/>
        <color theme="1"/>
        <rFont val="Calibri"/>
        <family val="2"/>
      </rPr>
      <t>: nucleic acid sequence</t>
    </r>
    <phoneticPr fontId="1"/>
  </si>
  <si>
    <r>
      <rPr>
        <b/>
        <sz val="12"/>
        <color theme="1"/>
        <rFont val="Calibri"/>
        <family val="2"/>
      </rPr>
      <t>Interval</t>
    </r>
    <r>
      <rPr>
        <sz val="12"/>
        <color theme="1"/>
        <rFont val="Calibri"/>
        <family val="2"/>
      </rPr>
      <t>: length to insert a space</t>
    </r>
    <phoneticPr fontId="1"/>
  </si>
  <si>
    <r>
      <t>= bracket(</t>
    </r>
    <r>
      <rPr>
        <b/>
        <sz val="12"/>
        <color rgb="FF0000FF"/>
        <rFont val="Calibri"/>
        <family val="2"/>
      </rPr>
      <t>SEQ</t>
    </r>
    <r>
      <rPr>
        <sz val="12"/>
        <color rgb="FF0000FF"/>
        <rFont val="Calibri"/>
        <family val="2"/>
      </rPr>
      <t xml:space="preserve">, </t>
    </r>
    <r>
      <rPr>
        <b/>
        <sz val="12"/>
        <color rgb="FF0000FF"/>
        <rFont val="Calibri"/>
        <family val="2"/>
      </rPr>
      <t>position</t>
    </r>
    <r>
      <rPr>
        <sz val="12"/>
        <color rgb="FF0000FF"/>
        <rFont val="Calibri"/>
        <family val="2"/>
      </rPr>
      <t>)</t>
    </r>
    <phoneticPr fontId="1"/>
  </si>
  <si>
    <r>
      <rPr>
        <b/>
        <sz val="12"/>
        <color theme="1"/>
        <rFont val="Calibri"/>
        <family val="2"/>
      </rPr>
      <t>SEQ</t>
    </r>
    <r>
      <rPr>
        <sz val="12"/>
        <color theme="1"/>
        <rFont val="Calibri"/>
        <family val="2"/>
      </rPr>
      <t>: nucleotide/amino acid sequence</t>
    </r>
    <phoneticPr fontId="1"/>
  </si>
  <si>
    <r>
      <rPr>
        <b/>
        <sz val="12"/>
        <color theme="1"/>
        <rFont val="Calibri"/>
        <family val="2"/>
      </rPr>
      <t>Position</t>
    </r>
    <r>
      <rPr>
        <sz val="12"/>
        <color theme="1"/>
        <rFont val="Calibri"/>
        <family val="2"/>
      </rPr>
      <t xml:space="preserve"> to be bracketed.</t>
    </r>
  </si>
  <si>
    <r>
      <t>= shrink(</t>
    </r>
    <r>
      <rPr>
        <b/>
        <sz val="12"/>
        <color rgb="FF0000FF"/>
        <rFont val="Calibri"/>
        <family val="2"/>
      </rPr>
      <t>SEQ</t>
    </r>
    <r>
      <rPr>
        <sz val="12"/>
        <color rgb="FF0000FF"/>
        <rFont val="Calibri"/>
        <family val="2"/>
      </rPr>
      <t>)</t>
    </r>
    <phoneticPr fontId="1"/>
  </si>
  <si>
    <r>
      <rPr>
        <b/>
        <sz val="12"/>
        <color theme="1"/>
        <rFont val="Calibri"/>
        <family val="2"/>
      </rPr>
      <t>SEQ</t>
    </r>
    <r>
      <rPr>
        <sz val="12"/>
        <color theme="1"/>
        <rFont val="Calibri"/>
        <family val="2"/>
      </rPr>
      <t>: nucleic acid/amino acid sequence</t>
    </r>
    <phoneticPr fontId="1"/>
  </si>
  <si>
    <r>
      <t>= DNA2Rnuc(</t>
    </r>
    <r>
      <rPr>
        <b/>
        <sz val="12"/>
        <color rgb="FF0000FF"/>
        <rFont val="Calibri"/>
        <family val="2"/>
      </rPr>
      <t>NU</t>
    </r>
    <r>
      <rPr>
        <sz val="12"/>
        <color rgb="FF0000FF"/>
        <rFont val="Calibri"/>
        <family val="2"/>
      </rPr>
      <t>C)</t>
    </r>
    <phoneticPr fontId="1"/>
  </si>
  <si>
    <r>
      <rPr>
        <b/>
        <sz val="12"/>
        <color theme="1"/>
        <rFont val="Calibri"/>
        <family val="2"/>
      </rPr>
      <t>NUC</t>
    </r>
    <r>
      <rPr>
        <sz val="12"/>
        <color theme="1"/>
        <rFont val="Calibri"/>
        <family val="2"/>
      </rPr>
      <t>: a code of deoxyribo nucleotide (not sequence)</t>
    </r>
    <phoneticPr fontId="1"/>
  </si>
  <si>
    <r>
      <t>= RNA2Dnuc(</t>
    </r>
    <r>
      <rPr>
        <b/>
        <sz val="12"/>
        <color rgb="FF0000FF"/>
        <rFont val="Calibri"/>
        <family val="2"/>
      </rPr>
      <t>NUC</t>
    </r>
    <r>
      <rPr>
        <sz val="12"/>
        <color rgb="FF0000FF"/>
        <rFont val="Calibri"/>
        <family val="2"/>
      </rPr>
      <t>)</t>
    </r>
    <phoneticPr fontId="1"/>
  </si>
  <si>
    <r>
      <rPr>
        <b/>
        <sz val="12"/>
        <color theme="1"/>
        <rFont val="Calibri"/>
        <family val="2"/>
      </rPr>
      <t>NUC</t>
    </r>
    <r>
      <rPr>
        <sz val="12"/>
        <color theme="1"/>
        <rFont val="Calibri"/>
        <family val="2"/>
      </rPr>
      <t>: a code of ribo nucleotide (not sequence)</t>
    </r>
    <phoneticPr fontId="1"/>
  </si>
  <si>
    <r>
      <t>= toRNA(</t>
    </r>
    <r>
      <rPr>
        <b/>
        <sz val="12"/>
        <color rgb="FF0000FF"/>
        <rFont val="Calibri"/>
        <family val="2"/>
      </rPr>
      <t>SEQ</t>
    </r>
    <r>
      <rPr>
        <sz val="12"/>
        <color rgb="FF0000FF"/>
        <rFont val="Calibri"/>
        <family val="2"/>
      </rPr>
      <t>)</t>
    </r>
    <phoneticPr fontId="1"/>
  </si>
  <si>
    <r>
      <rPr>
        <b/>
        <sz val="12"/>
        <color theme="1"/>
        <rFont val="Calibri"/>
        <family val="2"/>
      </rPr>
      <t>SEQ</t>
    </r>
    <r>
      <rPr>
        <sz val="12"/>
        <color theme="1"/>
        <rFont val="Calibri"/>
        <family val="2"/>
      </rPr>
      <t>: deoxyribo nucleic acid sequence (not nucleotide)</t>
    </r>
    <phoneticPr fontId="1"/>
  </si>
  <si>
    <r>
      <t>= toDNA(</t>
    </r>
    <r>
      <rPr>
        <b/>
        <sz val="12"/>
        <color rgb="FF0000FF"/>
        <rFont val="Calibri"/>
        <family val="2"/>
      </rPr>
      <t>NUC</t>
    </r>
    <r>
      <rPr>
        <sz val="12"/>
        <color rgb="FF0000FF"/>
        <rFont val="Calibri"/>
        <family val="2"/>
      </rPr>
      <t>)</t>
    </r>
    <phoneticPr fontId="1"/>
  </si>
  <si>
    <r>
      <rPr>
        <b/>
        <sz val="12"/>
        <color theme="1"/>
        <rFont val="Calibri"/>
        <family val="2"/>
      </rPr>
      <t>SEQ</t>
    </r>
    <r>
      <rPr>
        <sz val="12"/>
        <color theme="1"/>
        <rFont val="Calibri"/>
        <family val="2"/>
      </rPr>
      <t>: ribo nucleic acid sequence (not nucleotide)</t>
    </r>
    <phoneticPr fontId="1"/>
  </si>
  <si>
    <r>
      <t>= fold(</t>
    </r>
    <r>
      <rPr>
        <b/>
        <sz val="12"/>
        <color rgb="FF0000FF"/>
        <rFont val="Calibri"/>
        <family val="2"/>
      </rPr>
      <t>SEQ</t>
    </r>
    <r>
      <rPr>
        <sz val="12"/>
        <color rgb="FF0000FF"/>
        <rFont val="Calibri"/>
        <family val="2"/>
      </rPr>
      <t xml:space="preserve">, </t>
    </r>
    <r>
      <rPr>
        <b/>
        <sz val="12"/>
        <color rgb="FF0000FF"/>
        <rFont val="Calibri"/>
        <family val="2"/>
      </rPr>
      <t>interval)</t>
    </r>
    <phoneticPr fontId="1"/>
  </si>
  <si>
    <r>
      <rPr>
        <b/>
        <sz val="12"/>
        <color theme="1"/>
        <rFont val="Calibri"/>
        <family val="2"/>
      </rPr>
      <t>SEQ</t>
    </r>
    <r>
      <rPr>
        <sz val="12"/>
        <color theme="1"/>
        <rFont val="Calibri"/>
        <family val="2"/>
      </rPr>
      <t>: nucleic acid/amino acid sequence</t>
    </r>
    <phoneticPr fontId="1"/>
  </si>
  <si>
    <r>
      <rPr>
        <b/>
        <sz val="12"/>
        <color theme="1"/>
        <rFont val="Calibri"/>
        <family val="2"/>
      </rPr>
      <t>Interval</t>
    </r>
    <r>
      <rPr>
        <sz val="12"/>
        <color theme="1"/>
        <rFont val="Calibri"/>
        <family val="2"/>
      </rPr>
      <t>: duration to insert a line feed</t>
    </r>
    <phoneticPr fontId="1"/>
  </si>
  <si>
    <r>
      <t>= clip5(</t>
    </r>
    <r>
      <rPr>
        <b/>
        <sz val="12"/>
        <color rgb="FF0000FF"/>
        <rFont val="Calibri"/>
        <family val="2"/>
      </rPr>
      <t>SEQ</t>
    </r>
    <r>
      <rPr>
        <sz val="12"/>
        <color rgb="FF0000FF"/>
        <rFont val="Calibri"/>
        <family val="2"/>
      </rPr>
      <t xml:space="preserve">, </t>
    </r>
    <r>
      <rPr>
        <b/>
        <sz val="12"/>
        <color rgb="FF0000FF"/>
        <rFont val="Calibri"/>
        <family val="2"/>
      </rPr>
      <t>length</t>
    </r>
    <r>
      <rPr>
        <sz val="12"/>
        <color rgb="FF0000FF"/>
        <rFont val="Calibri"/>
        <family val="2"/>
      </rPr>
      <t>)</t>
    </r>
    <phoneticPr fontId="1"/>
  </si>
  <si>
    <r>
      <rPr>
        <b/>
        <sz val="12"/>
        <color theme="1"/>
        <rFont val="Calibri"/>
        <family val="2"/>
      </rPr>
      <t>Length</t>
    </r>
    <r>
      <rPr>
        <sz val="12"/>
        <color theme="1"/>
        <rFont val="Calibri"/>
        <family val="2"/>
      </rPr>
      <t>: distance from the 5' end</t>
    </r>
    <phoneticPr fontId="1"/>
  </si>
  <si>
    <r>
      <t>= clip3(</t>
    </r>
    <r>
      <rPr>
        <b/>
        <sz val="12"/>
        <color rgb="FF0000FF"/>
        <rFont val="Calibri"/>
        <family val="2"/>
      </rPr>
      <t>SEQ</t>
    </r>
    <r>
      <rPr>
        <sz val="12"/>
        <color rgb="FF0000FF"/>
        <rFont val="Calibri"/>
        <family val="2"/>
      </rPr>
      <t xml:space="preserve">, </t>
    </r>
    <r>
      <rPr>
        <b/>
        <sz val="12"/>
        <color rgb="FF0000FF"/>
        <rFont val="Calibri"/>
        <family val="2"/>
      </rPr>
      <t>length</t>
    </r>
    <r>
      <rPr>
        <sz val="12"/>
        <color rgb="FF0000FF"/>
        <rFont val="Calibri"/>
        <family val="2"/>
      </rPr>
      <t>)</t>
    </r>
    <phoneticPr fontId="1"/>
  </si>
  <si>
    <r>
      <rPr>
        <b/>
        <sz val="12"/>
        <color theme="1"/>
        <rFont val="Calibri"/>
        <family val="2"/>
      </rPr>
      <t>Length</t>
    </r>
    <r>
      <rPr>
        <sz val="12"/>
        <color theme="1"/>
        <rFont val="Calibri"/>
        <family val="2"/>
      </rPr>
      <t>: distance from the 5' end</t>
    </r>
    <phoneticPr fontId="1"/>
  </si>
  <si>
    <r>
      <t>= nuc2aa(</t>
    </r>
    <r>
      <rPr>
        <b/>
        <sz val="12"/>
        <color rgb="FF0000FF"/>
        <rFont val="Calibri"/>
        <family val="2"/>
      </rPr>
      <t>SEQ</t>
    </r>
    <r>
      <rPr>
        <sz val="12"/>
        <color rgb="FF0000FF"/>
        <rFont val="Calibri"/>
        <family val="2"/>
      </rPr>
      <t xml:space="preserve">, </t>
    </r>
    <r>
      <rPr>
        <b/>
        <sz val="12"/>
        <color rgb="FF0000FF"/>
        <rFont val="Calibri"/>
        <family val="2"/>
      </rPr>
      <t>frame</t>
    </r>
    <r>
      <rPr>
        <sz val="12"/>
        <color rgb="FF0000FF"/>
        <rFont val="Calibri"/>
        <family val="2"/>
      </rPr>
      <t>)</t>
    </r>
    <phoneticPr fontId="1"/>
  </si>
  <si>
    <r>
      <rPr>
        <b/>
        <sz val="12"/>
        <color theme="1"/>
        <rFont val="Calibri"/>
        <family val="2"/>
      </rPr>
      <t>SEQ</t>
    </r>
    <r>
      <rPr>
        <sz val="12"/>
        <color theme="1"/>
        <rFont val="Calibri"/>
        <family val="2"/>
      </rPr>
      <t>: nucleic acid sequence</t>
    </r>
    <phoneticPr fontId="1"/>
  </si>
  <si>
    <r>
      <rPr>
        <b/>
        <sz val="12"/>
        <color theme="1"/>
        <rFont val="Calibri"/>
        <family val="2"/>
      </rPr>
      <t>Frame</t>
    </r>
    <r>
      <rPr>
        <sz val="12"/>
        <color theme="1"/>
        <rFont val="Calibri"/>
        <family val="2"/>
      </rPr>
      <t>: reading frame (integer)</t>
    </r>
  </si>
  <si>
    <r>
      <t>= composition(</t>
    </r>
    <r>
      <rPr>
        <b/>
        <sz val="12"/>
        <color rgb="FF0000FF"/>
        <rFont val="Calibri"/>
        <family val="2"/>
      </rPr>
      <t>SEQ</t>
    </r>
    <r>
      <rPr>
        <sz val="12"/>
        <color rgb="FF0000FF"/>
        <rFont val="Calibri"/>
        <family val="2"/>
      </rPr>
      <t>)</t>
    </r>
    <phoneticPr fontId="1"/>
  </si>
  <si>
    <r>
      <t>= GCratio(</t>
    </r>
    <r>
      <rPr>
        <b/>
        <sz val="12"/>
        <color rgb="FF0000FF"/>
        <rFont val="Calibri"/>
        <family val="2"/>
      </rPr>
      <t>SEQ</t>
    </r>
    <r>
      <rPr>
        <sz val="12"/>
        <color rgb="FF0000FF"/>
        <rFont val="Calibri"/>
        <family val="2"/>
      </rPr>
      <t>)</t>
    </r>
    <phoneticPr fontId="1"/>
  </si>
  <si>
    <r>
      <t>= motifcount(</t>
    </r>
    <r>
      <rPr>
        <b/>
        <sz val="12"/>
        <color rgb="FF0000FF"/>
        <rFont val="Calibri"/>
        <family val="2"/>
      </rPr>
      <t>SEQ</t>
    </r>
    <r>
      <rPr>
        <sz val="12"/>
        <color rgb="FF0000FF"/>
        <rFont val="Calibri"/>
        <family val="2"/>
      </rPr>
      <t xml:space="preserve">, </t>
    </r>
    <r>
      <rPr>
        <b/>
        <sz val="12"/>
        <color rgb="FF0000FF"/>
        <rFont val="Calibri"/>
        <family val="2"/>
      </rPr>
      <t>motif</t>
    </r>
    <r>
      <rPr>
        <sz val="12"/>
        <color rgb="FF0000FF"/>
        <rFont val="Calibri"/>
        <family val="2"/>
      </rPr>
      <t xml:space="preserve"> (,</t>
    </r>
    <r>
      <rPr>
        <b/>
        <sz val="12"/>
        <color rgb="FF0000FF"/>
        <rFont val="Calibri"/>
        <family val="2"/>
      </rPr>
      <t>position</t>
    </r>
    <r>
      <rPr>
        <sz val="12"/>
        <color rgb="FF0000FF"/>
        <rFont val="Calibri"/>
        <family val="2"/>
      </rPr>
      <t>))</t>
    </r>
    <phoneticPr fontId="1"/>
  </si>
  <si>
    <r>
      <rPr>
        <b/>
        <sz val="12"/>
        <color theme="1"/>
        <rFont val="Calibri"/>
        <family val="2"/>
      </rPr>
      <t>SEQ</t>
    </r>
    <r>
      <rPr>
        <sz val="12"/>
        <color theme="1"/>
        <rFont val="Calibri"/>
        <family val="2"/>
      </rPr>
      <t>: target  sequence to be evaluated</t>
    </r>
    <phoneticPr fontId="1"/>
  </si>
  <si>
    <r>
      <rPr>
        <b/>
        <sz val="12"/>
        <color theme="1"/>
        <rFont val="Calibri"/>
        <family val="2"/>
      </rPr>
      <t>Motif</t>
    </r>
    <r>
      <rPr>
        <sz val="12"/>
        <color theme="1"/>
        <rFont val="Calibri"/>
        <family val="2"/>
      </rPr>
      <t>: a sequence of interest</t>
    </r>
    <phoneticPr fontId="1"/>
  </si>
  <si>
    <r>
      <rPr>
        <b/>
        <sz val="12"/>
        <color theme="1"/>
        <rFont val="Calibri"/>
        <family val="2"/>
      </rPr>
      <t>Position</t>
    </r>
    <r>
      <rPr>
        <sz val="12"/>
        <color theme="1"/>
        <rFont val="Calibri"/>
        <family val="2"/>
      </rPr>
      <t>: the position in the target sequence to start with the evaluation (optional)</t>
    </r>
    <phoneticPr fontId="1"/>
  </si>
  <si>
    <r>
      <t>= firstmotif(</t>
    </r>
    <r>
      <rPr>
        <b/>
        <sz val="12"/>
        <color rgb="FF0000FF"/>
        <rFont val="Calibri"/>
        <family val="2"/>
      </rPr>
      <t>SEQ</t>
    </r>
    <r>
      <rPr>
        <sz val="12"/>
        <color rgb="FF0000FF"/>
        <rFont val="Calibri"/>
        <family val="2"/>
      </rPr>
      <t xml:space="preserve">, </t>
    </r>
    <r>
      <rPr>
        <b/>
        <sz val="12"/>
        <color rgb="FF0000FF"/>
        <rFont val="Calibri"/>
        <family val="2"/>
      </rPr>
      <t>motif</t>
    </r>
    <r>
      <rPr>
        <sz val="12"/>
        <color rgb="FF0000FF"/>
        <rFont val="Calibri"/>
        <family val="2"/>
      </rPr>
      <t xml:space="preserve"> (</t>
    </r>
    <r>
      <rPr>
        <b/>
        <sz val="12"/>
        <color rgb="FF0000FF"/>
        <rFont val="Calibri"/>
        <family val="2"/>
      </rPr>
      <t>,position</t>
    </r>
    <r>
      <rPr>
        <sz val="12"/>
        <color rgb="FF0000FF"/>
        <rFont val="Calibri"/>
        <family val="2"/>
      </rPr>
      <t>))</t>
    </r>
    <phoneticPr fontId="1"/>
  </si>
  <si>
    <r>
      <rPr>
        <b/>
        <sz val="12"/>
        <color theme="1"/>
        <rFont val="Calibri"/>
        <family val="2"/>
      </rPr>
      <t>SEQ</t>
    </r>
    <r>
      <rPr>
        <sz val="12"/>
        <color theme="1"/>
        <rFont val="Calibri"/>
        <family val="2"/>
      </rPr>
      <t>: target  sequence to be evaluated</t>
    </r>
    <phoneticPr fontId="1"/>
  </si>
  <si>
    <r>
      <rPr>
        <b/>
        <sz val="12"/>
        <color theme="1"/>
        <rFont val="Calibri"/>
        <family val="2"/>
      </rPr>
      <t>Position</t>
    </r>
    <r>
      <rPr>
        <sz val="12"/>
        <color theme="1"/>
        <rFont val="Calibri"/>
        <family val="2"/>
      </rPr>
      <t>: a start position in the target sequence for the evaluation (optional)</t>
    </r>
    <phoneticPr fontId="1"/>
  </si>
  <si>
    <r>
      <t>= findmotif(</t>
    </r>
    <r>
      <rPr>
        <b/>
        <sz val="12"/>
        <color rgb="FF0000FF"/>
        <rFont val="Calibri"/>
        <family val="2"/>
      </rPr>
      <t>SEQ</t>
    </r>
    <r>
      <rPr>
        <sz val="12"/>
        <color rgb="FF0000FF"/>
        <rFont val="Calibri"/>
        <family val="2"/>
      </rPr>
      <t xml:space="preserve">, </t>
    </r>
    <r>
      <rPr>
        <b/>
        <sz val="12"/>
        <color rgb="FF0000FF"/>
        <rFont val="Calibri"/>
        <family val="2"/>
      </rPr>
      <t>motif</t>
    </r>
    <r>
      <rPr>
        <sz val="12"/>
        <color rgb="FF0000FF"/>
        <rFont val="Calibri"/>
        <family val="2"/>
      </rPr>
      <t>)</t>
    </r>
    <phoneticPr fontId="1"/>
  </si>
  <si>
    <r>
      <t>= markmotif(</t>
    </r>
    <r>
      <rPr>
        <b/>
        <sz val="12"/>
        <color rgb="FF0000FF"/>
        <rFont val="Calibri"/>
        <family val="2"/>
      </rPr>
      <t>SEQ</t>
    </r>
    <r>
      <rPr>
        <sz val="12"/>
        <color rgb="FF0000FF"/>
        <rFont val="Calibri"/>
        <family val="2"/>
      </rPr>
      <t xml:space="preserve">, </t>
    </r>
    <r>
      <rPr>
        <b/>
        <sz val="12"/>
        <color rgb="FF0000FF"/>
        <rFont val="Calibri"/>
        <family val="2"/>
      </rPr>
      <t>motif</t>
    </r>
    <r>
      <rPr>
        <sz val="12"/>
        <color rgb="FF0000FF"/>
        <rFont val="Calibri"/>
        <family val="2"/>
      </rPr>
      <t>)</t>
    </r>
    <phoneticPr fontId="1"/>
  </si>
  <si>
    <r>
      <rPr>
        <b/>
        <sz val="12"/>
        <color theme="1"/>
        <rFont val="Calibri"/>
        <family val="2"/>
      </rPr>
      <t>SEQ</t>
    </r>
    <r>
      <rPr>
        <sz val="12"/>
        <color theme="1"/>
        <rFont val="Calibri"/>
        <family val="2"/>
      </rPr>
      <t>: a sequence to be evaluated</t>
    </r>
    <phoneticPr fontId="1"/>
  </si>
  <si>
    <r>
      <rPr>
        <b/>
        <sz val="12"/>
        <color theme="1"/>
        <rFont val="Calibri"/>
        <family val="2"/>
      </rPr>
      <t>Motif</t>
    </r>
    <r>
      <rPr>
        <sz val="12"/>
        <color theme="1"/>
        <rFont val="Calibri"/>
        <family val="2"/>
      </rPr>
      <t>: a sequence of interest</t>
    </r>
    <phoneticPr fontId="1"/>
  </si>
  <si>
    <r>
      <t>= matchseq(</t>
    </r>
    <r>
      <rPr>
        <b/>
        <sz val="12"/>
        <color rgb="FF0000FF"/>
        <rFont val="Calibri"/>
        <family val="2"/>
      </rPr>
      <t>REF</t>
    </r>
    <r>
      <rPr>
        <sz val="12"/>
        <color rgb="FF0000FF"/>
        <rFont val="Calibri"/>
        <family val="2"/>
      </rPr>
      <t xml:space="preserve">, </t>
    </r>
    <r>
      <rPr>
        <b/>
        <sz val="12"/>
        <color rgb="FF0000FF"/>
        <rFont val="Calibri"/>
        <family val="2"/>
      </rPr>
      <t>QUERY</t>
    </r>
    <r>
      <rPr>
        <sz val="12"/>
        <color rgb="FF0000FF"/>
        <rFont val="Calibri"/>
        <family val="2"/>
      </rPr>
      <t>)</t>
    </r>
    <phoneticPr fontId="1"/>
  </si>
  <si>
    <r>
      <rPr>
        <b/>
        <sz val="12"/>
        <color theme="1"/>
        <rFont val="Calibri"/>
        <family val="2"/>
      </rPr>
      <t>REF</t>
    </r>
    <r>
      <rPr>
        <sz val="12"/>
        <color theme="1"/>
        <rFont val="Calibri"/>
        <family val="2"/>
      </rPr>
      <t>: reference sequence to be compared</t>
    </r>
    <phoneticPr fontId="1"/>
  </si>
  <si>
    <r>
      <rPr>
        <b/>
        <sz val="12"/>
        <color theme="1"/>
        <rFont val="Calibri"/>
        <family val="2"/>
      </rPr>
      <t>QUERY</t>
    </r>
    <r>
      <rPr>
        <sz val="12"/>
        <color theme="1"/>
        <rFont val="Calibri"/>
        <family val="2"/>
      </rPr>
      <t>: a sequence of interest</t>
    </r>
    <phoneticPr fontId="1"/>
  </si>
  <si>
    <r>
      <t xml:space="preserve">The </t>
    </r>
    <r>
      <rPr>
        <i/>
        <sz val="12"/>
        <color theme="1"/>
        <rFont val="Calibri"/>
        <family val="2"/>
      </rPr>
      <t>matchseq</t>
    </r>
    <r>
      <rPr>
        <sz val="12"/>
        <color theme="1"/>
        <rFont val="Calibri"/>
        <family val="2"/>
      </rPr>
      <t xml:space="preserve"> function does not consider INDEL or opposite direction. Try to use the </t>
    </r>
    <r>
      <rPr>
        <i/>
        <sz val="12"/>
        <color theme="1"/>
        <rFont val="Calibri"/>
        <family val="2"/>
      </rPr>
      <t>markmotif</t>
    </r>
    <r>
      <rPr>
        <sz val="12"/>
        <color theme="1"/>
        <rFont val="Calibri"/>
        <family val="2"/>
      </rPr>
      <t xml:space="preserve"> function to find a sequence within a reference sequence.</t>
    </r>
    <phoneticPr fontId="1"/>
  </si>
  <si>
    <r>
      <t>= matchscore(</t>
    </r>
    <r>
      <rPr>
        <b/>
        <sz val="12"/>
        <color rgb="FF0000FF"/>
        <rFont val="Calibri"/>
        <family val="2"/>
      </rPr>
      <t>REF</t>
    </r>
    <r>
      <rPr>
        <sz val="12"/>
        <color rgb="FF0000FF"/>
        <rFont val="Calibri"/>
        <family val="2"/>
      </rPr>
      <t xml:space="preserve">, </t>
    </r>
    <r>
      <rPr>
        <b/>
        <sz val="12"/>
        <color rgb="FF0000FF"/>
        <rFont val="Calibri"/>
        <family val="2"/>
      </rPr>
      <t>QUERY</t>
    </r>
    <r>
      <rPr>
        <sz val="12"/>
        <color rgb="FF0000FF"/>
        <rFont val="Calibri"/>
        <family val="2"/>
      </rPr>
      <t>)</t>
    </r>
    <phoneticPr fontId="1"/>
  </si>
  <si>
    <r>
      <rPr>
        <b/>
        <sz val="12"/>
        <color theme="1"/>
        <rFont val="Calibri"/>
        <family val="2"/>
      </rPr>
      <t>REF</t>
    </r>
    <r>
      <rPr>
        <sz val="12"/>
        <color theme="1"/>
        <rFont val="Calibri"/>
        <family val="2"/>
      </rPr>
      <t>: reference sequence to be compared</t>
    </r>
    <phoneticPr fontId="1"/>
  </si>
  <si>
    <r>
      <rPr>
        <b/>
        <sz val="12"/>
        <color theme="1"/>
        <rFont val="Calibri"/>
        <family val="2"/>
      </rPr>
      <t>QUERY</t>
    </r>
    <r>
      <rPr>
        <sz val="12"/>
        <color theme="1"/>
        <rFont val="Calibri"/>
        <family val="2"/>
      </rPr>
      <t>: a sequence of interest</t>
    </r>
    <phoneticPr fontId="1"/>
  </si>
  <si>
    <r>
      <t xml:space="preserve">The </t>
    </r>
    <r>
      <rPr>
        <i/>
        <sz val="12"/>
        <color theme="1"/>
        <rFont val="Calibri"/>
        <family val="2"/>
      </rPr>
      <t>matchscore</t>
    </r>
    <r>
      <rPr>
        <sz val="12"/>
        <color theme="1"/>
        <rFont val="Calibri"/>
        <family val="2"/>
      </rPr>
      <t xml:space="preserve"> function does not consider INDEL or opposite direction. Try to use the </t>
    </r>
    <r>
      <rPr>
        <i/>
        <sz val="12"/>
        <color theme="1"/>
        <rFont val="Calibri"/>
        <family val="2"/>
      </rPr>
      <t>markmotif</t>
    </r>
    <r>
      <rPr>
        <sz val="12"/>
        <color theme="1"/>
        <rFont val="Calibri"/>
        <family val="2"/>
      </rPr>
      <t xml:space="preserve"> function to find a sequence within a reference sequence.</t>
    </r>
    <phoneticPr fontId="1"/>
  </si>
  <si>
    <r>
      <rPr>
        <b/>
        <sz val="12"/>
        <color theme="1"/>
        <rFont val="Calibri"/>
        <family val="2"/>
      </rPr>
      <t>SEQ</t>
    </r>
    <r>
      <rPr>
        <sz val="12"/>
        <color theme="1"/>
        <rFont val="Calibri"/>
        <family val="2"/>
      </rPr>
      <t>: sequence to be evaluated</t>
    </r>
    <phoneticPr fontId="1"/>
  </si>
  <si>
    <r>
      <rPr>
        <sz val="12"/>
        <color rgb="FF0000FF"/>
        <rFont val="Calibri"/>
        <family val="2"/>
      </rPr>
      <t>= SSR2CPType(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r>
      <rPr>
        <sz val="12"/>
        <color theme="1"/>
        <rFont val="Calibri"/>
        <family val="2"/>
      </rPr>
      <t xml:space="preserve">
</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</si>
  <si>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SSR genotypes for the parents</t>
    </r>
    <phoneticPr fontId="1"/>
  </si>
  <si>
    <r>
      <rPr>
        <sz val="12"/>
        <color rgb="FF0000FF"/>
        <rFont val="Calibri"/>
        <family val="2"/>
      </rPr>
      <t>= SNP2CPType(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r>
      <rPr>
        <sz val="12"/>
        <color theme="1"/>
        <rFont val="Calibri"/>
        <family val="2"/>
      </rPr>
      <t xml:space="preserve">
</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</si>
  <si>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SNP genotypes for the parents</t>
    </r>
    <phoneticPr fontId="1"/>
  </si>
  <si>
    <r>
      <rPr>
        <sz val="12"/>
        <color rgb="FF0000FF"/>
        <rFont val="Calibri"/>
        <family val="2"/>
      </rPr>
      <t>= SSR2CPGT(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type</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</si>
  <si>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SSR genotypes for the parents</t>
    </r>
    <phoneticPr fontId="1"/>
  </si>
  <si>
    <r>
      <rPr>
        <b/>
        <sz val="12"/>
        <color theme="1"/>
        <rFont val="Calibri"/>
        <family val="2"/>
      </rPr>
      <t>Type</t>
    </r>
    <r>
      <rPr>
        <sz val="12"/>
        <color theme="1"/>
        <rFont val="Calibri"/>
        <family val="2"/>
      </rPr>
      <t>: segregation type for CP mode</t>
    </r>
    <phoneticPr fontId="1"/>
  </si>
  <si>
    <r>
      <rPr>
        <b/>
        <sz val="12"/>
        <color theme="1"/>
        <rFont val="Calibri"/>
        <family val="2"/>
      </rPr>
      <t>offspring</t>
    </r>
    <r>
      <rPr>
        <sz val="12"/>
        <color theme="1"/>
        <rFont val="Calibri"/>
        <family val="2"/>
      </rPr>
      <t>: SSR genotype for the offspring</t>
    </r>
    <phoneticPr fontId="1"/>
  </si>
  <si>
    <r>
      <rPr>
        <sz val="12"/>
        <color rgb="FF0000FF"/>
        <rFont val="Calibri"/>
        <family val="2"/>
      </rPr>
      <t>= SNP2CPGT(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type</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</si>
  <si>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SNP genotypes for the parents</t>
    </r>
    <phoneticPr fontId="1"/>
  </si>
  <si>
    <r>
      <rPr>
        <b/>
        <sz val="12"/>
        <color theme="1"/>
        <rFont val="Calibri"/>
        <family val="2"/>
      </rPr>
      <t>offspring</t>
    </r>
    <r>
      <rPr>
        <sz val="12"/>
        <color theme="1"/>
        <rFont val="Calibri"/>
        <family val="2"/>
      </rPr>
      <t>: SNP genotype for the offspring</t>
    </r>
    <phoneticPr fontId="1"/>
  </si>
  <si>
    <r>
      <rPr>
        <sz val="12"/>
        <color rgb="FF0000FF"/>
        <rFont val="Calibri"/>
        <family val="2"/>
      </rPr>
      <t>= SSR2SegType(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r>
      <rPr>
        <sz val="12"/>
        <color theme="1"/>
        <rFont val="Calibri"/>
        <family val="2"/>
      </rPr>
      <t xml:space="preserve">
</t>
    </r>
    <phoneticPr fontId="1"/>
  </si>
  <si>
    <r>
      <rPr>
        <sz val="12"/>
        <color rgb="FF0000FF"/>
        <rFont val="Calibri"/>
        <family val="2"/>
      </rPr>
      <t>= SNP2SegType(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r>
      <rPr>
        <sz val="12"/>
        <color theme="1"/>
        <rFont val="Calibri"/>
        <family val="2"/>
      </rPr>
      <t xml:space="preserve">
</t>
    </r>
    <phoneticPr fontId="1"/>
  </si>
  <si>
    <r>
      <rPr>
        <sz val="12"/>
        <color rgb="FF0000FF"/>
        <rFont val="Calibri"/>
        <family val="2"/>
      </rPr>
      <t>= SSR2BC1GT(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</si>
  <si>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sz val="12"/>
        <color rgb="FF0000FF"/>
        <rFont val="Calibri"/>
        <family val="2"/>
      </rPr>
      <t>= SNP2BC1GT(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</si>
  <si>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b/>
        <sz val="12"/>
        <color theme="1"/>
        <rFont val="Calibri"/>
        <family val="2"/>
      </rPr>
      <t>offspring</t>
    </r>
    <r>
      <rPr>
        <sz val="12"/>
        <color theme="1"/>
        <rFont val="Calibri"/>
        <family val="2"/>
      </rPr>
      <t>: SNP genotype for the offspring</t>
    </r>
    <phoneticPr fontId="1"/>
  </si>
  <si>
    <r>
      <rPr>
        <sz val="12"/>
        <color rgb="FF0000FF"/>
        <rFont val="Calibri"/>
        <family val="2"/>
      </rPr>
      <t>= SSR2F2GT(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</si>
  <si>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sz val="12"/>
        <color rgb="FF0000FF"/>
        <rFont val="Calibri"/>
        <family val="2"/>
      </rPr>
      <t>= SNP2F2GT(</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 xml:space="preserve">, </t>
    </r>
    <r>
      <rPr>
        <b/>
        <sz val="12"/>
        <color rgb="FF0000FF"/>
        <rFont val="Calibri"/>
        <family val="2"/>
      </rPr>
      <t>offspring</t>
    </r>
    <r>
      <rPr>
        <sz val="12"/>
        <color rgb="FF0000FF"/>
        <rFont val="Calibri"/>
        <family val="2"/>
      </rPr>
      <t>)</t>
    </r>
    <r>
      <rPr>
        <sz val="12"/>
        <color theme="1"/>
        <rFont val="Calibri"/>
        <family val="2"/>
      </rPr>
      <t xml:space="preserve">
</t>
    </r>
    <phoneticPr fontId="1"/>
  </si>
  <si>
    <r>
      <rPr>
        <sz val="12"/>
        <color rgb="FF0000FF"/>
        <rFont val="Calibri"/>
        <family val="2"/>
      </rPr>
      <t>= MWillSegregate(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r>
      <rPr>
        <sz val="12"/>
        <color theme="1"/>
        <rFont val="Calibri"/>
        <family val="2"/>
      </rPr>
      <t xml:space="preserve">
</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</si>
  <si>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M genotypes for the parents</t>
    </r>
    <phoneticPr fontId="1"/>
  </si>
  <si>
    <r>
      <t>= MSegregateType(</t>
    </r>
    <r>
      <rPr>
        <b/>
        <sz val="12"/>
        <color rgb="FF0000FF"/>
        <rFont val="Calibri"/>
        <family val="2"/>
      </rPr>
      <t>Parent1</t>
    </r>
    <r>
      <rPr>
        <sz val="12"/>
        <color rgb="FF0000FF"/>
        <rFont val="Calibri"/>
        <family val="2"/>
      </rPr>
      <t xml:space="preserve">, </t>
    </r>
    <r>
      <rPr>
        <b/>
        <sz val="12"/>
        <color rgb="FF0000FF"/>
        <rFont val="Calibri"/>
        <family val="2"/>
      </rPr>
      <t>parent2</t>
    </r>
    <r>
      <rPr>
        <sz val="12"/>
        <color rgb="FF0000FF"/>
        <rFont val="Calibri"/>
        <family val="2"/>
      </rPr>
      <t>)</t>
    </r>
    <phoneticPr fontId="1"/>
  </si>
  <si>
    <r>
      <rPr>
        <b/>
        <sz val="12"/>
        <color theme="1"/>
        <rFont val="Calibri"/>
        <family val="2"/>
      </rPr>
      <t>Parent1</t>
    </r>
    <r>
      <rPr>
        <sz val="12"/>
        <color theme="1"/>
        <rFont val="Calibri"/>
        <family val="2"/>
      </rPr>
      <t xml:space="preserve">, </t>
    </r>
    <r>
      <rPr>
        <b/>
        <sz val="12"/>
        <color theme="1"/>
        <rFont val="Calibri"/>
        <family val="2"/>
      </rPr>
      <t>Parent2</t>
    </r>
    <r>
      <rPr>
        <sz val="12"/>
        <color theme="1"/>
        <rFont val="Calibri"/>
        <family val="2"/>
      </rPr>
      <t>: M genotypes for the parents</t>
    </r>
    <phoneticPr fontId="1"/>
  </si>
  <si>
    <r>
      <t xml:space="preserve">Estimate the segregation type according to the </t>
    </r>
    <r>
      <rPr>
        <sz val="12"/>
        <color rgb="FFFF0000"/>
        <rFont val="Calibri"/>
        <family val="2"/>
      </rPr>
      <t>CP</t>
    </r>
    <r>
      <rPr>
        <sz val="12"/>
        <color theme="1"/>
        <rFont val="Calibri"/>
        <family val="2"/>
      </rPr>
      <t xml:space="preserve"> mode from the genotypes of parents.</t>
    </r>
    <phoneticPr fontId="1"/>
  </si>
  <si>
    <r>
      <t xml:space="preserve">Convert the offspring's genotype according to the segregation type for the </t>
    </r>
    <r>
      <rPr>
        <sz val="12"/>
        <color rgb="FFFF0000"/>
        <rFont val="Calibri"/>
        <family val="2"/>
      </rPr>
      <t>CP</t>
    </r>
    <r>
      <rPr>
        <sz val="12"/>
        <color theme="1"/>
        <rFont val="Calibri"/>
        <family val="2"/>
      </rPr>
      <t xml:space="preserve"> mode from the genotypes of parents, and offspring.</t>
    </r>
    <phoneticPr fontId="1"/>
  </si>
  <si>
    <r>
      <rPr>
        <sz val="12"/>
        <color rgb="FF0000FF"/>
        <rFont val="Calibri"/>
        <family val="2"/>
      </rPr>
      <t>SSR2CPType(Parent1, parent2)</t>
    </r>
    <r>
      <rPr>
        <sz val="12"/>
        <color theme="1"/>
        <rFont val="Calibri"/>
        <family val="2"/>
      </rPr>
      <t xml:space="preserve">
</t>
    </r>
    <phoneticPr fontId="1"/>
  </si>
  <si>
    <r>
      <rPr>
        <sz val="12"/>
        <color rgb="FF0000FF"/>
        <rFont val="Calibri"/>
        <family val="2"/>
      </rPr>
      <t>SNP2CPType(Parent1, parent2)</t>
    </r>
    <r>
      <rPr>
        <sz val="12"/>
        <color theme="1"/>
        <rFont val="Calibri"/>
        <family val="2"/>
      </rPr>
      <t xml:space="preserve">
</t>
    </r>
    <phoneticPr fontId="1"/>
  </si>
  <si>
    <r>
      <t xml:space="preserve">Convert the offspring's genotype according to the </t>
    </r>
    <r>
      <rPr>
        <sz val="12"/>
        <color rgb="FFFF0000"/>
        <rFont val="Calibri"/>
        <family val="2"/>
      </rPr>
      <t>BC2</t>
    </r>
    <r>
      <rPr>
        <sz val="12"/>
        <color theme="1"/>
        <rFont val="Calibri"/>
        <family val="2"/>
      </rPr>
      <t xml:space="preserve"> mode from the genotypes of parents, and offspring.</t>
    </r>
    <phoneticPr fontId="1"/>
  </si>
  <si>
    <r>
      <t xml:space="preserve">Convert the offspring's genotype according to the </t>
    </r>
    <r>
      <rPr>
        <sz val="12"/>
        <color rgb="FFFF0000"/>
        <rFont val="Calibri"/>
        <family val="2"/>
      </rPr>
      <t>F2</t>
    </r>
    <r>
      <rPr>
        <sz val="12"/>
        <color theme="1"/>
        <rFont val="Calibri"/>
        <family val="2"/>
      </rPr>
      <t xml:space="preserve"> mode from the genotypes of parents, and offspring.</t>
    </r>
    <phoneticPr fontId="1"/>
  </si>
  <si>
    <r>
      <t>=RightAllele(</t>
    </r>
    <r>
      <rPr>
        <b/>
        <sz val="12"/>
        <color rgb="FF0000FF"/>
        <rFont val="Calibri"/>
        <family val="2"/>
      </rPr>
      <t>SSR</t>
    </r>
    <r>
      <rPr>
        <sz val="12"/>
        <color rgb="FF0000FF"/>
        <rFont val="Calibri"/>
        <family val="2"/>
      </rPr>
      <t>)</t>
    </r>
    <phoneticPr fontId="1"/>
  </si>
  <si>
    <r>
      <t>=SNPRightAllele(</t>
    </r>
    <r>
      <rPr>
        <b/>
        <sz val="12"/>
        <color rgb="FF0000FF"/>
        <rFont val="Calibri"/>
        <family val="2"/>
      </rPr>
      <t>SNP</t>
    </r>
    <r>
      <rPr>
        <sz val="12"/>
        <color rgb="FF0000FF"/>
        <rFont val="Calibri"/>
        <family val="2"/>
      </rPr>
      <t>)</t>
    </r>
    <phoneticPr fontId="1"/>
  </si>
  <si>
    <r>
      <rPr>
        <b/>
        <sz val="12"/>
        <color theme="1"/>
        <rFont val="Calibri"/>
        <family val="2"/>
      </rPr>
      <t>SSR</t>
    </r>
    <r>
      <rPr>
        <sz val="12"/>
        <color theme="1"/>
        <rFont val="Calibri"/>
        <family val="2"/>
      </rPr>
      <t xml:space="preserve"> genotype</t>
    </r>
    <phoneticPr fontId="1"/>
  </si>
  <si>
    <r>
      <rPr>
        <b/>
        <sz val="12"/>
        <color theme="1"/>
        <rFont val="Calibri"/>
        <family val="2"/>
      </rPr>
      <t>SNP</t>
    </r>
    <r>
      <rPr>
        <sz val="12"/>
        <color theme="1"/>
        <rFont val="Calibri"/>
        <family val="2"/>
      </rPr>
      <t xml:space="preserve"> genotype</t>
    </r>
    <phoneticPr fontId="1"/>
  </si>
  <si>
    <r>
      <t>=LeftAllele(</t>
    </r>
    <r>
      <rPr>
        <b/>
        <sz val="12"/>
        <color rgb="FF0000FF"/>
        <rFont val="Calibri"/>
        <family val="2"/>
      </rPr>
      <t>SSR</t>
    </r>
    <r>
      <rPr>
        <sz val="12"/>
        <color rgb="FF0000FF"/>
        <rFont val="Calibri"/>
        <family val="2"/>
      </rPr>
      <t>)</t>
    </r>
    <phoneticPr fontId="1"/>
  </si>
  <si>
    <r>
      <t>=SNPLeftAllele(</t>
    </r>
    <r>
      <rPr>
        <b/>
        <sz val="12"/>
        <color rgb="FF0000FF"/>
        <rFont val="Calibri"/>
        <family val="2"/>
      </rPr>
      <t>SNP</t>
    </r>
    <r>
      <rPr>
        <sz val="12"/>
        <color rgb="FF0000FF"/>
        <rFont val="Calibri"/>
        <family val="2"/>
      </rPr>
      <t>)</t>
    </r>
    <phoneticPr fontId="1"/>
  </si>
  <si>
    <r>
      <rPr>
        <b/>
        <sz val="12"/>
        <color theme="1"/>
        <rFont val="Calibri"/>
        <family val="2"/>
      </rPr>
      <t>SSR</t>
    </r>
    <r>
      <rPr>
        <sz val="12"/>
        <color theme="1"/>
        <rFont val="Calibri"/>
        <family val="2"/>
      </rPr>
      <t xml:space="preserve"> genotype</t>
    </r>
    <phoneticPr fontId="1"/>
  </si>
  <si>
    <r>
      <t>=IsHOMOZygous(</t>
    </r>
    <r>
      <rPr>
        <b/>
        <sz val="12"/>
        <color rgb="FF0000FF"/>
        <rFont val="Calibri"/>
        <family val="2"/>
      </rPr>
      <t>SSR</t>
    </r>
    <r>
      <rPr>
        <sz val="12"/>
        <color rgb="FF0000FF"/>
        <rFont val="Calibri"/>
        <family val="2"/>
      </rPr>
      <t>)</t>
    </r>
    <phoneticPr fontId="1"/>
  </si>
  <si>
    <r>
      <t>=SNPIsHOMOZygous(</t>
    </r>
    <r>
      <rPr>
        <b/>
        <sz val="12"/>
        <color rgb="FF0000FF"/>
        <rFont val="Calibri"/>
        <family val="2"/>
      </rPr>
      <t>SNP</t>
    </r>
    <r>
      <rPr>
        <sz val="12"/>
        <color rgb="FF0000FF"/>
        <rFont val="Calibri"/>
        <family val="2"/>
      </rPr>
      <t>)</t>
    </r>
    <phoneticPr fontId="1"/>
  </si>
  <si>
    <r>
      <rPr>
        <b/>
        <sz val="12"/>
        <color theme="1"/>
        <rFont val="Calibri"/>
        <family val="2"/>
      </rPr>
      <t>SNP</t>
    </r>
    <r>
      <rPr>
        <sz val="12"/>
        <color theme="1"/>
        <rFont val="Calibri"/>
        <family val="2"/>
      </rPr>
      <t xml:space="preserve"> genotype</t>
    </r>
    <phoneticPr fontId="1"/>
  </si>
  <si>
    <r>
      <t>=IsSameSSR(</t>
    </r>
    <r>
      <rPr>
        <b/>
        <sz val="12"/>
        <color rgb="FF0000FF"/>
        <rFont val="Calibri"/>
        <family val="2"/>
      </rPr>
      <t>SSR1</t>
    </r>
    <r>
      <rPr>
        <sz val="12"/>
        <color rgb="FF0000FF"/>
        <rFont val="Calibri"/>
        <family val="2"/>
      </rPr>
      <t xml:space="preserve">, </t>
    </r>
    <r>
      <rPr>
        <b/>
        <sz val="12"/>
        <color rgb="FF0000FF"/>
        <rFont val="Calibri"/>
        <family val="2"/>
      </rPr>
      <t>SSR2</t>
    </r>
    <r>
      <rPr>
        <sz val="12"/>
        <color rgb="FF0000FF"/>
        <rFont val="Calibri"/>
        <family val="2"/>
      </rPr>
      <t xml:space="preserve">, </t>
    </r>
    <r>
      <rPr>
        <b/>
        <sz val="12"/>
        <color rgb="FF0000FF"/>
        <rFont val="Calibri"/>
        <family val="2"/>
      </rPr>
      <t>Diff)</t>
    </r>
    <phoneticPr fontId="1"/>
  </si>
  <si>
    <r>
      <t>=SNPMatch(</t>
    </r>
    <r>
      <rPr>
        <b/>
        <sz val="12"/>
        <color rgb="FF0000FF"/>
        <rFont val="Calibri"/>
        <family val="2"/>
      </rPr>
      <t>SNP1</t>
    </r>
    <r>
      <rPr>
        <sz val="12"/>
        <color rgb="FF0000FF"/>
        <rFont val="Calibri"/>
        <family val="2"/>
      </rPr>
      <t xml:space="preserve">, </t>
    </r>
    <r>
      <rPr>
        <b/>
        <sz val="12"/>
        <color rgb="FF0000FF"/>
        <rFont val="Calibri"/>
        <family val="2"/>
      </rPr>
      <t>SNP2</t>
    </r>
    <r>
      <rPr>
        <sz val="12"/>
        <color rgb="FF0000FF"/>
        <rFont val="Calibri"/>
        <family val="2"/>
      </rPr>
      <t>)</t>
    </r>
    <phoneticPr fontId="1"/>
  </si>
  <si>
    <r>
      <rPr>
        <b/>
        <sz val="12"/>
        <color theme="1"/>
        <rFont val="Calibri"/>
        <family val="2"/>
      </rPr>
      <t>SSR1</t>
    </r>
    <r>
      <rPr>
        <sz val="12"/>
        <color theme="1"/>
        <rFont val="Calibri"/>
        <family val="2"/>
      </rPr>
      <t xml:space="preserve">, </t>
    </r>
    <r>
      <rPr>
        <b/>
        <sz val="12"/>
        <color theme="1"/>
        <rFont val="Calibri"/>
        <family val="2"/>
      </rPr>
      <t>SSR2</t>
    </r>
    <r>
      <rPr>
        <sz val="12"/>
        <color theme="1"/>
        <rFont val="Calibri"/>
        <family val="2"/>
      </rPr>
      <t xml:space="preserve"> genotypes to be compared</t>
    </r>
    <phoneticPr fontId="1"/>
  </si>
  <si>
    <r>
      <rPr>
        <b/>
        <sz val="12"/>
        <color theme="1"/>
        <rFont val="Calibri"/>
        <family val="2"/>
      </rPr>
      <t>SNP1</t>
    </r>
    <r>
      <rPr>
        <sz val="12"/>
        <color theme="1"/>
        <rFont val="Calibri"/>
        <family val="2"/>
      </rPr>
      <t xml:space="preserve">, </t>
    </r>
    <r>
      <rPr>
        <b/>
        <sz val="12"/>
        <color theme="1"/>
        <rFont val="Calibri"/>
        <family val="2"/>
      </rPr>
      <t>SNP2</t>
    </r>
    <r>
      <rPr>
        <sz val="12"/>
        <color theme="1"/>
        <rFont val="Calibri"/>
        <family val="2"/>
      </rPr>
      <t xml:space="preserve"> genotypes to be compared</t>
    </r>
    <phoneticPr fontId="1"/>
  </si>
  <si>
    <r>
      <t>=IsIncluded(</t>
    </r>
    <r>
      <rPr>
        <b/>
        <sz val="12"/>
        <color rgb="FF0000FF"/>
        <rFont val="Calibri"/>
        <family val="2"/>
      </rPr>
      <t>SSR</t>
    </r>
    <r>
      <rPr>
        <sz val="12"/>
        <color rgb="FF0000FF"/>
        <rFont val="Calibri"/>
        <family val="2"/>
      </rPr>
      <t xml:space="preserve">, </t>
    </r>
    <r>
      <rPr>
        <b/>
        <sz val="12"/>
        <color rgb="FF0000FF"/>
        <rFont val="Calibri"/>
        <family val="2"/>
      </rPr>
      <t>Allele</t>
    </r>
    <r>
      <rPr>
        <sz val="12"/>
        <color rgb="FF0000FF"/>
        <rFont val="Calibri"/>
        <family val="2"/>
      </rPr>
      <t>)</t>
    </r>
    <phoneticPr fontId="1"/>
  </si>
  <si>
    <r>
      <t>=SNPIsIncluded(</t>
    </r>
    <r>
      <rPr>
        <b/>
        <sz val="12"/>
        <color rgb="FF0000FF"/>
        <rFont val="Calibri"/>
        <family val="2"/>
      </rPr>
      <t>SNP</t>
    </r>
    <r>
      <rPr>
        <sz val="12"/>
        <color rgb="FF0000FF"/>
        <rFont val="Calibri"/>
        <family val="2"/>
      </rPr>
      <t xml:space="preserve">, </t>
    </r>
    <r>
      <rPr>
        <b/>
        <sz val="12"/>
        <color rgb="FF0000FF"/>
        <rFont val="Calibri"/>
        <family val="2"/>
      </rPr>
      <t>Allele</t>
    </r>
    <r>
      <rPr>
        <sz val="12"/>
        <color rgb="FF0000FF"/>
        <rFont val="Calibri"/>
        <family val="2"/>
      </rPr>
      <t>)</t>
    </r>
    <phoneticPr fontId="1"/>
  </si>
  <si>
    <r>
      <rPr>
        <b/>
        <sz val="12"/>
        <color theme="1"/>
        <rFont val="Calibri"/>
        <family val="2"/>
      </rPr>
      <t>SSR</t>
    </r>
    <r>
      <rPr>
        <sz val="12"/>
        <color theme="1"/>
        <rFont val="Calibri"/>
        <family val="2"/>
      </rPr>
      <t xml:space="preserve"> genotype to be evaluated</t>
    </r>
    <phoneticPr fontId="1"/>
  </si>
  <si>
    <r>
      <rPr>
        <b/>
        <sz val="12"/>
        <color theme="1"/>
        <rFont val="Calibri"/>
        <family val="2"/>
      </rPr>
      <t>SNP</t>
    </r>
    <r>
      <rPr>
        <sz val="12"/>
        <color theme="1"/>
        <rFont val="Calibri"/>
        <family val="2"/>
      </rPr>
      <t xml:space="preserve"> genotype to be evaluated</t>
    </r>
    <phoneticPr fontId="1"/>
  </si>
  <si>
    <r>
      <rPr>
        <b/>
        <sz val="12"/>
        <color theme="1"/>
        <rFont val="Calibri"/>
        <family val="2"/>
      </rPr>
      <t>Allele</t>
    </r>
    <r>
      <rPr>
        <sz val="12"/>
        <color theme="1"/>
        <rFont val="Calibri"/>
        <family val="2"/>
      </rPr>
      <t xml:space="preserve"> to be examined</t>
    </r>
    <phoneticPr fontId="1"/>
  </si>
  <si>
    <r>
      <rPr>
        <b/>
        <sz val="12"/>
        <color theme="1"/>
        <rFont val="Calibri"/>
        <family val="2"/>
      </rPr>
      <t>Allele</t>
    </r>
    <r>
      <rPr>
        <sz val="12"/>
        <color theme="1"/>
        <rFont val="Calibri"/>
        <family val="2"/>
      </rPr>
      <t xml:space="preserve"> to be examined</t>
    </r>
    <phoneticPr fontId="1"/>
  </si>
  <si>
    <r>
      <t>=SSRPloidy(</t>
    </r>
    <r>
      <rPr>
        <b/>
        <sz val="12"/>
        <color rgb="FF0000FF"/>
        <rFont val="Calibri"/>
        <family val="2"/>
      </rPr>
      <t>SSR</t>
    </r>
    <r>
      <rPr>
        <sz val="12"/>
        <color rgb="FF0000FF"/>
        <rFont val="Calibri"/>
        <family val="2"/>
      </rPr>
      <t>)</t>
    </r>
    <phoneticPr fontId="1"/>
  </si>
  <si>
    <r>
      <t>=SSRAllele(</t>
    </r>
    <r>
      <rPr>
        <b/>
        <sz val="12"/>
        <color rgb="FF0000FF"/>
        <rFont val="Calibri"/>
        <family val="2"/>
      </rPr>
      <t>SSR</t>
    </r>
    <r>
      <rPr>
        <sz val="12"/>
        <color rgb="FF0000FF"/>
        <rFont val="Calibri"/>
        <family val="2"/>
      </rPr>
      <t>)</t>
    </r>
    <phoneticPr fontId="1"/>
  </si>
  <si>
    <r>
      <t>=SNPAllele(</t>
    </r>
    <r>
      <rPr>
        <b/>
        <sz val="12"/>
        <color rgb="FF0000FF"/>
        <rFont val="Calibri"/>
        <family val="2"/>
      </rPr>
      <t>SNP</t>
    </r>
    <r>
      <rPr>
        <sz val="12"/>
        <color rgb="FF0000FF"/>
        <rFont val="Calibri"/>
        <family val="2"/>
      </rPr>
      <t>)</t>
    </r>
    <phoneticPr fontId="1"/>
  </si>
  <si>
    <r>
      <rPr>
        <b/>
        <sz val="12"/>
        <color theme="1"/>
        <rFont val="Calibri"/>
        <family val="2"/>
      </rPr>
      <t>SNP</t>
    </r>
    <r>
      <rPr>
        <sz val="12"/>
        <color theme="1"/>
        <rFont val="Calibri"/>
        <family val="2"/>
      </rPr>
      <t xml:space="preserve"> genotype</t>
    </r>
    <phoneticPr fontId="1"/>
  </si>
  <si>
    <r>
      <t>=SSRSharedAllele(</t>
    </r>
    <r>
      <rPr>
        <b/>
        <sz val="12"/>
        <color rgb="FF0000FF"/>
        <rFont val="Calibri"/>
        <family val="2"/>
      </rPr>
      <t>SSR1</t>
    </r>
    <r>
      <rPr>
        <sz val="12"/>
        <color rgb="FF0000FF"/>
        <rFont val="Calibri"/>
        <family val="2"/>
      </rPr>
      <t xml:space="preserve">, </t>
    </r>
    <r>
      <rPr>
        <b/>
        <sz val="12"/>
        <color rgb="FF0000FF"/>
        <rFont val="Calibri"/>
        <family val="2"/>
      </rPr>
      <t>SSR2</t>
    </r>
    <r>
      <rPr>
        <sz val="12"/>
        <color rgb="FF0000FF"/>
        <rFont val="Calibri"/>
        <family val="2"/>
      </rPr>
      <t>)</t>
    </r>
    <phoneticPr fontId="1"/>
  </si>
  <si>
    <r>
      <t>=SSRSharedAllele(</t>
    </r>
    <r>
      <rPr>
        <b/>
        <sz val="12"/>
        <color rgb="FF0000FF"/>
        <rFont val="Calibri"/>
        <family val="2"/>
      </rPr>
      <t>SNP1</t>
    </r>
    <r>
      <rPr>
        <sz val="12"/>
        <color rgb="FF0000FF"/>
        <rFont val="Calibri"/>
        <family val="2"/>
      </rPr>
      <t xml:space="preserve">, </t>
    </r>
    <r>
      <rPr>
        <b/>
        <sz val="12"/>
        <color rgb="FF0000FF"/>
        <rFont val="Calibri"/>
        <family val="2"/>
      </rPr>
      <t>SNP2</t>
    </r>
    <r>
      <rPr>
        <sz val="12"/>
        <color rgb="FF0000FF"/>
        <rFont val="Calibri"/>
        <family val="2"/>
      </rPr>
      <t>)</t>
    </r>
    <phoneticPr fontId="1"/>
  </si>
  <si>
    <r>
      <rPr>
        <b/>
        <sz val="12"/>
        <color theme="1"/>
        <rFont val="Calibri"/>
        <family val="2"/>
      </rPr>
      <t>SSR1</t>
    </r>
    <r>
      <rPr>
        <sz val="12"/>
        <color theme="1"/>
        <rFont val="Calibri"/>
        <family val="2"/>
      </rPr>
      <t xml:space="preserve">, </t>
    </r>
    <r>
      <rPr>
        <b/>
        <sz val="12"/>
        <color theme="1"/>
        <rFont val="Calibri"/>
        <family val="2"/>
      </rPr>
      <t>SSR2</t>
    </r>
    <r>
      <rPr>
        <sz val="12"/>
        <color theme="1"/>
        <rFont val="Calibri"/>
        <family val="2"/>
      </rPr>
      <t xml:space="preserve"> genotypes to be evaluated</t>
    </r>
    <phoneticPr fontId="1"/>
  </si>
  <si>
    <r>
      <rPr>
        <b/>
        <sz val="12"/>
        <color theme="1"/>
        <rFont val="Calibri"/>
        <family val="2"/>
      </rPr>
      <t>SNP1</t>
    </r>
    <r>
      <rPr>
        <sz val="12"/>
        <color theme="1"/>
        <rFont val="Calibri"/>
        <family val="2"/>
      </rPr>
      <t xml:space="preserve">, </t>
    </r>
    <r>
      <rPr>
        <b/>
        <sz val="12"/>
        <color theme="1"/>
        <rFont val="Calibri"/>
        <family val="2"/>
      </rPr>
      <t>SNP2</t>
    </r>
    <r>
      <rPr>
        <sz val="12"/>
        <color theme="1"/>
        <rFont val="Calibri"/>
        <family val="2"/>
      </rPr>
      <t xml:space="preserve"> genotypes to be evaluated</t>
    </r>
    <phoneticPr fontId="1"/>
  </si>
  <si>
    <r>
      <t>=NormSSR(</t>
    </r>
    <r>
      <rPr>
        <b/>
        <sz val="12"/>
        <color rgb="FF0000FF"/>
        <rFont val="Calibri"/>
        <family val="2"/>
      </rPr>
      <t>SSR</t>
    </r>
    <r>
      <rPr>
        <sz val="12"/>
        <color rgb="FF0000FF"/>
        <rFont val="Calibri"/>
        <family val="2"/>
      </rPr>
      <t>)</t>
    </r>
    <phoneticPr fontId="1"/>
  </si>
  <si>
    <r>
      <rPr>
        <b/>
        <sz val="12"/>
        <color theme="1"/>
        <rFont val="Calibri"/>
        <family val="2"/>
      </rPr>
      <t>SSR</t>
    </r>
    <r>
      <rPr>
        <sz val="12"/>
        <color theme="1"/>
        <rFont val="Calibri"/>
        <family val="2"/>
      </rPr>
      <t xml:space="preserve"> genotype or allele</t>
    </r>
    <phoneticPr fontId="1"/>
  </si>
  <si>
    <r>
      <t>=NormSNP(</t>
    </r>
    <r>
      <rPr>
        <b/>
        <sz val="12"/>
        <color rgb="FF0000FF"/>
        <rFont val="Calibri"/>
        <family val="2"/>
      </rPr>
      <t>SNP</t>
    </r>
    <r>
      <rPr>
        <sz val="12"/>
        <color rgb="FF0000FF"/>
        <rFont val="Calibri"/>
        <family val="2"/>
      </rPr>
      <t>)</t>
    </r>
    <phoneticPr fontId="1"/>
  </si>
  <si>
    <r>
      <rPr>
        <b/>
        <sz val="12"/>
        <color theme="1"/>
        <rFont val="Calibri"/>
        <family val="2"/>
      </rPr>
      <t>SNP</t>
    </r>
    <r>
      <rPr>
        <sz val="12"/>
        <color theme="1"/>
        <rFont val="Calibri"/>
        <family val="2"/>
      </rPr>
      <t xml:space="preserve"> genotype or allele</t>
    </r>
    <phoneticPr fontId="1"/>
  </si>
  <si>
    <r>
      <t>=NormM(</t>
    </r>
    <r>
      <rPr>
        <b/>
        <sz val="12"/>
        <color rgb="FF0000FF"/>
        <rFont val="Calibri"/>
        <family val="2"/>
      </rPr>
      <t>M</t>
    </r>
    <r>
      <rPr>
        <sz val="12"/>
        <color rgb="FF0000FF"/>
        <rFont val="Calibri"/>
        <family val="2"/>
      </rPr>
      <t>)</t>
    </r>
    <phoneticPr fontId="1"/>
  </si>
  <si>
    <r>
      <rPr>
        <b/>
        <sz val="12"/>
        <color theme="1"/>
        <rFont val="Calibri"/>
        <family val="2"/>
      </rPr>
      <t>M</t>
    </r>
    <r>
      <rPr>
        <sz val="12"/>
        <color theme="1"/>
        <rFont val="Calibri"/>
        <family val="2"/>
      </rPr>
      <t xml:space="preserve"> genotype or string</t>
    </r>
    <phoneticPr fontId="1"/>
  </si>
  <si>
    <r>
      <t>=SSRtoRelSize(</t>
    </r>
    <r>
      <rPr>
        <b/>
        <sz val="12"/>
        <color rgb="FF0000FF"/>
        <rFont val="Calibri"/>
        <family val="2"/>
      </rPr>
      <t>Case</t>
    </r>
    <r>
      <rPr>
        <sz val="12"/>
        <color rgb="FF0000FF"/>
        <rFont val="Calibri"/>
        <family val="2"/>
      </rPr>
      <t xml:space="preserve">, </t>
    </r>
    <r>
      <rPr>
        <b/>
        <sz val="12"/>
        <color rgb="FF0000FF"/>
        <rFont val="Calibri"/>
        <family val="2"/>
      </rPr>
      <t>Ref</t>
    </r>
    <r>
      <rPr>
        <sz val="12"/>
        <color rgb="FF0000FF"/>
        <rFont val="Calibri"/>
        <family val="2"/>
      </rPr>
      <t>)</t>
    </r>
    <phoneticPr fontId="1"/>
  </si>
  <si>
    <r>
      <rPr>
        <b/>
        <sz val="12"/>
        <color theme="1"/>
        <rFont val="Calibri"/>
        <family val="2"/>
      </rPr>
      <t>Case</t>
    </r>
    <r>
      <rPr>
        <sz val="12"/>
        <color theme="1"/>
        <rFont val="Calibri"/>
        <family val="2"/>
      </rPr>
      <t>: SSR genotype for the evaluation</t>
    </r>
    <phoneticPr fontId="1"/>
  </si>
  <si>
    <r>
      <rPr>
        <b/>
        <sz val="12"/>
        <color theme="1"/>
        <rFont val="Calibri"/>
        <family val="2"/>
      </rPr>
      <t>Ref</t>
    </r>
    <r>
      <rPr>
        <sz val="12"/>
        <color theme="1"/>
        <rFont val="Calibri"/>
        <family val="2"/>
      </rPr>
      <t>: reference SSR genotype</t>
    </r>
    <phoneticPr fontId="1"/>
  </si>
  <si>
    <r>
      <t>=SNPwithSEP(</t>
    </r>
    <r>
      <rPr>
        <b/>
        <sz val="12"/>
        <color rgb="FF0000FF"/>
        <rFont val="Calibri"/>
        <family val="2"/>
      </rPr>
      <t>SNP</t>
    </r>
    <r>
      <rPr>
        <sz val="12"/>
        <color rgb="FF0000FF"/>
        <rFont val="Calibri"/>
        <family val="2"/>
      </rPr>
      <t xml:space="preserve">, </t>
    </r>
    <r>
      <rPr>
        <b/>
        <sz val="12"/>
        <color rgb="FF0000FF"/>
        <rFont val="Calibri"/>
        <family val="2"/>
      </rPr>
      <t>Sep</t>
    </r>
    <r>
      <rPr>
        <sz val="12"/>
        <color rgb="FF0000FF"/>
        <rFont val="Calibri"/>
        <family val="2"/>
      </rPr>
      <t>)</t>
    </r>
    <phoneticPr fontId="1"/>
  </si>
  <si>
    <r>
      <rPr>
        <b/>
        <sz val="12"/>
        <color theme="1"/>
        <rFont val="Calibri"/>
        <family val="2"/>
      </rPr>
      <t>SNP</t>
    </r>
    <r>
      <rPr>
        <sz val="12"/>
        <color theme="1"/>
        <rFont val="Calibri"/>
        <family val="2"/>
      </rPr>
      <t xml:space="preserve"> genotype without separator</t>
    </r>
    <phoneticPr fontId="1"/>
  </si>
  <si>
    <r>
      <rPr>
        <b/>
        <sz val="12"/>
        <color theme="1"/>
        <rFont val="Calibri"/>
        <family val="2"/>
      </rPr>
      <t>Sep</t>
    </r>
    <r>
      <rPr>
        <sz val="12"/>
        <color theme="1"/>
        <rFont val="Calibri"/>
        <family val="2"/>
      </rPr>
      <t>: a character for the separator</t>
    </r>
    <phoneticPr fontId="1"/>
  </si>
  <si>
    <r>
      <t>=M2SNP(</t>
    </r>
    <r>
      <rPr>
        <b/>
        <sz val="12"/>
        <color rgb="FF0000FF"/>
        <rFont val="Calibri"/>
        <family val="2"/>
      </rPr>
      <t>M</t>
    </r>
    <r>
      <rPr>
        <sz val="12"/>
        <color rgb="FF0000FF"/>
        <rFont val="Calibri"/>
        <family val="2"/>
      </rPr>
      <t>)</t>
    </r>
    <phoneticPr fontId="1"/>
  </si>
  <si>
    <r>
      <rPr>
        <b/>
        <sz val="12"/>
        <color theme="1"/>
        <rFont val="Calibri"/>
        <family val="2"/>
      </rPr>
      <t>M</t>
    </r>
    <r>
      <rPr>
        <sz val="12"/>
        <color theme="1"/>
        <rFont val="Calibri"/>
        <family val="2"/>
      </rPr>
      <t xml:space="preserve"> genotype</t>
    </r>
    <phoneticPr fontId="1"/>
  </si>
  <si>
    <r>
      <t>=SSRDiff(</t>
    </r>
    <r>
      <rPr>
        <b/>
        <sz val="12"/>
        <color rgb="FF0000FF"/>
        <rFont val="Calibri"/>
        <family val="2"/>
      </rPr>
      <t>SSR</t>
    </r>
    <r>
      <rPr>
        <sz val="12"/>
        <color rgb="FF0000FF"/>
        <rFont val="Calibri"/>
        <family val="2"/>
      </rPr>
      <t>)</t>
    </r>
    <phoneticPr fontId="1"/>
  </si>
  <si>
    <r>
      <rPr>
        <b/>
        <sz val="12"/>
        <color theme="1"/>
        <rFont val="Calibri"/>
        <family val="2"/>
      </rPr>
      <t>SSR</t>
    </r>
    <r>
      <rPr>
        <sz val="12"/>
        <color theme="1"/>
        <rFont val="Calibri"/>
        <family val="2"/>
      </rPr>
      <t xml:space="preserve"> genotype</t>
    </r>
    <phoneticPr fontId="1"/>
  </si>
  <si>
    <r>
      <t>=interpretSNP(</t>
    </r>
    <r>
      <rPr>
        <b/>
        <sz val="12"/>
        <color rgb="FF0000FF"/>
        <rFont val="Calibri"/>
        <family val="2"/>
      </rPr>
      <t>REF</t>
    </r>
    <r>
      <rPr>
        <sz val="12"/>
        <color rgb="FF0000FF"/>
        <rFont val="Calibri"/>
        <family val="2"/>
      </rPr>
      <t xml:space="preserve">, </t>
    </r>
    <r>
      <rPr>
        <b/>
        <sz val="12"/>
        <color rgb="FF0000FF"/>
        <rFont val="Calibri"/>
        <family val="2"/>
      </rPr>
      <t>STRAND</t>
    </r>
    <r>
      <rPr>
        <sz val="12"/>
        <color rgb="FF0000FF"/>
        <rFont val="Calibri"/>
        <family val="2"/>
      </rPr>
      <t xml:space="preserve">, </t>
    </r>
    <r>
      <rPr>
        <b/>
        <sz val="12"/>
        <color rgb="FF0000FF"/>
        <rFont val="Calibri"/>
        <family val="2"/>
      </rPr>
      <t>CODE</t>
    </r>
    <r>
      <rPr>
        <sz val="12"/>
        <color rgb="FF0000FF"/>
        <rFont val="Calibri"/>
        <family val="2"/>
      </rPr>
      <t>)</t>
    </r>
    <phoneticPr fontId="1"/>
  </si>
  <si>
    <r>
      <rPr>
        <b/>
        <sz val="12"/>
        <color theme="1"/>
        <rFont val="Calibri"/>
        <family val="2"/>
      </rPr>
      <t>REF</t>
    </r>
    <r>
      <rPr>
        <sz val="12"/>
        <color theme="1"/>
        <rFont val="Calibri"/>
        <family val="2"/>
      </rPr>
      <t>: reference SNP genotype</t>
    </r>
    <phoneticPr fontId="1"/>
  </si>
  <si>
    <r>
      <rPr>
        <b/>
        <sz val="12"/>
        <color theme="1"/>
        <rFont val="Calibri"/>
        <family val="2"/>
      </rPr>
      <t>STRAND</t>
    </r>
    <r>
      <rPr>
        <sz val="12"/>
        <color theme="1"/>
        <rFont val="Calibri"/>
        <family val="2"/>
      </rPr>
      <t>: phase code of the genotype ("TOP" or "BOT")</t>
    </r>
    <phoneticPr fontId="1"/>
  </si>
  <si>
    <r>
      <rPr>
        <b/>
        <sz val="12"/>
        <color theme="1"/>
        <rFont val="Calibri"/>
        <family val="2"/>
      </rPr>
      <t>CODE</t>
    </r>
    <r>
      <rPr>
        <sz val="12"/>
        <color theme="1"/>
        <rFont val="Calibri"/>
        <family val="2"/>
      </rPr>
      <t>: Illumina's genotype code</t>
    </r>
    <phoneticPr fontId="1"/>
  </si>
  <si>
    <r>
      <t>=HMP2SNP(</t>
    </r>
    <r>
      <rPr>
        <b/>
        <sz val="12"/>
        <color rgb="FF0000FF"/>
        <rFont val="Calibri"/>
        <family val="2"/>
      </rPr>
      <t>HMP</t>
    </r>
    <r>
      <rPr>
        <sz val="12"/>
        <color rgb="FF0000FF"/>
        <rFont val="Calibri"/>
        <family val="2"/>
      </rPr>
      <t>)</t>
    </r>
    <phoneticPr fontId="1"/>
  </si>
  <si>
    <r>
      <rPr>
        <b/>
        <sz val="12"/>
        <color theme="1"/>
        <rFont val="Calibri"/>
        <family val="2"/>
      </rPr>
      <t>HMP</t>
    </r>
    <r>
      <rPr>
        <sz val="12"/>
        <color theme="1"/>
        <rFont val="Calibri"/>
        <family val="2"/>
      </rPr>
      <t>: HapMap's single letter genotype</t>
    </r>
    <phoneticPr fontId="1"/>
  </si>
  <si>
    <t>Summary of GUGS functions</t>
    <phoneticPr fontId="1"/>
  </si>
  <si>
    <r>
      <rPr>
        <u/>
        <sz val="11"/>
        <color rgb="FFFF0000"/>
        <rFont val="Arial"/>
        <family val="2"/>
      </rPr>
      <t xml:space="preserve">Number of unique alleles in a designated dataset
</t>
    </r>
    <r>
      <rPr>
        <sz val="11"/>
        <color theme="1"/>
        <rFont val="Arial"/>
        <family val="2"/>
      </rPr>
      <t xml:space="preserve">These functions return the number of unique alleles in a designated region.
</t>
    </r>
    <phoneticPr fontId="1"/>
  </si>
  <si>
    <r>
      <rPr>
        <u/>
        <sz val="11"/>
        <color rgb="FFFF0000"/>
        <rFont val="Arial"/>
        <family val="2"/>
      </rPr>
      <t>Number of unique genotypes in a designated dataset</t>
    </r>
    <r>
      <rPr>
        <u/>
        <sz val="11"/>
        <color rgb="FF0000FF"/>
        <rFont val="Arial"/>
        <family val="2"/>
      </rPr>
      <t xml:space="preserve">
</t>
    </r>
    <r>
      <rPr>
        <sz val="11"/>
        <color theme="1"/>
        <rFont val="Arial"/>
        <family val="2"/>
      </rPr>
      <t xml:space="preserve">These functions return the number of unique genotypes in a designated region.
</t>
    </r>
    <phoneticPr fontId="1"/>
  </si>
  <si>
    <r>
      <rPr>
        <u/>
        <sz val="11"/>
        <color rgb="FFFF0000"/>
        <rFont val="Arial"/>
        <family val="2"/>
      </rPr>
      <t xml:space="preserve">The ith unique genotype in a designated dataset
</t>
    </r>
    <r>
      <rPr>
        <sz val="11"/>
        <color theme="1"/>
        <rFont val="Arial"/>
        <family val="2"/>
      </rPr>
      <t xml:space="preserve">These functions return a text value of the ith unique genotype in a region. The index corresponds to the ordered position of the unique genotype in the ordered set of genotypes.
</t>
    </r>
    <phoneticPr fontId="1"/>
  </si>
  <si>
    <r>
      <rPr>
        <u/>
        <sz val="11"/>
        <color rgb="FFFF0000"/>
        <rFont val="Arial"/>
        <family val="2"/>
      </rPr>
      <t xml:space="preserve">Ratio of matched genotypes by pairwise comparison between the two datasets
</t>
    </r>
    <r>
      <rPr>
        <sz val="11"/>
        <color theme="1"/>
        <rFont val="Arial"/>
        <family val="2"/>
      </rPr>
      <t xml:space="preserve">These functions compare the genotypes in two designated regions pairwisely and then return the ratio of the matched genotypes in the region. ‘Zero’ will be returned when the sizes of the designated regions are not identical.
</t>
    </r>
    <phoneticPr fontId="1"/>
  </si>
  <si>
    <r>
      <rPr>
        <u/>
        <sz val="11"/>
        <color rgb="FFFF0000"/>
        <rFont val="Arial"/>
        <family val="2"/>
      </rPr>
      <t>Ratio of matched alleles by pairwise comparison between the two datasets</t>
    </r>
    <r>
      <rPr>
        <u/>
        <sz val="11"/>
        <color rgb="FF0000FF"/>
        <rFont val="Arial"/>
        <family val="2"/>
      </rPr>
      <t xml:space="preserve">
</t>
    </r>
    <r>
      <rPr>
        <sz val="11"/>
        <color theme="1"/>
        <rFont val="Arial"/>
        <family val="2"/>
      </rPr>
      <t xml:space="preserve">These functions compare each allele in two designated regions pairwisely and then return a value for the ratio of the matched alleles in the region. ‘Zero’ will be returned when the sizes of the designated regions are not identical.
</t>
    </r>
    <phoneticPr fontId="1"/>
  </si>
  <si>
    <r>
      <rPr>
        <u/>
        <sz val="11"/>
        <color rgb="FFFF0000"/>
        <rFont val="Arial"/>
        <family val="2"/>
      </rPr>
      <t xml:space="preserve">Frequency of a particular allele in a designated dataset
</t>
    </r>
    <r>
      <rPr>
        <sz val="11"/>
        <color theme="1"/>
        <rFont val="Arial"/>
        <family val="2"/>
      </rPr>
      <t xml:space="preserve">These functions return the frequency of a particular allele from a set of genotype data in a designated region. ‘Zero’ will be returned when the assigned allele is not observed in the region.
</t>
    </r>
    <phoneticPr fontId="1"/>
  </si>
  <si>
    <r>
      <rPr>
        <u/>
        <sz val="11"/>
        <color rgb="FFFF0000"/>
        <rFont val="Arial"/>
        <family val="2"/>
      </rPr>
      <t>Frequency of a particular genotype in a designated dataset</t>
    </r>
    <r>
      <rPr>
        <sz val="11"/>
        <color theme="1"/>
        <rFont val="Arial"/>
        <family val="2"/>
      </rPr>
      <t xml:space="preserve">
These functions return the frequency of a particular genotype from a set of genotype data in a designated region. ‘Zero’ will be returned when the assigned allele is not observed in the region.
</t>
    </r>
    <phoneticPr fontId="1"/>
  </si>
  <si>
    <r>
      <rPr>
        <u/>
        <sz val="11"/>
        <color rgb="FFFF0000"/>
        <rFont val="Arial"/>
        <family val="2"/>
      </rPr>
      <t xml:space="preserve">The </t>
    </r>
    <r>
      <rPr>
        <i/>
        <u/>
        <sz val="11"/>
        <color rgb="FFFF0000"/>
        <rFont val="Arial"/>
        <family val="2"/>
      </rPr>
      <t>i</t>
    </r>
    <r>
      <rPr>
        <u/>
        <sz val="11"/>
        <color rgb="FFFF0000"/>
        <rFont val="Arial"/>
        <family val="2"/>
      </rPr>
      <t xml:space="preserve">th unique allele in a designated dataset
</t>
    </r>
    <r>
      <rPr>
        <sz val="11"/>
        <color theme="1"/>
        <rFont val="Arial"/>
        <family val="2"/>
      </rPr>
      <t xml:space="preserve">These functions return a text value of the ith unique allele in a region. The index corresponds to the position of the unique allele in an ordered set.
</t>
    </r>
    <phoneticPr fontId="1"/>
  </si>
  <si>
    <t>4) Dataset analysis</t>
    <phoneticPr fontId="1"/>
  </si>
  <si>
    <t>Quick summary of the GUGS functions</t>
    <phoneticPr fontId="1"/>
  </si>
  <si>
    <t>License:</t>
    <phoneticPr fontId="1"/>
  </si>
  <si>
    <t>Dr. Tokurou Shimizu</t>
    <phoneticPr fontId="1"/>
  </si>
  <si>
    <t xml:space="preserve">GUGS is distributed under a GNU General Public License version 3 (GPL3). </t>
    <phoneticPr fontId="1"/>
  </si>
  <si>
    <t>Refer the following URLs to confirm about the GPL3 license.</t>
    <phoneticPr fontId="1"/>
  </si>
  <si>
    <t>Institute of Fruit Tree Science, NARO Japan</t>
    <phoneticPr fontId="1"/>
  </si>
  <si>
    <t>Correspondence:</t>
    <phoneticPr fontId="1"/>
  </si>
  <si>
    <t>https://www.gnu.org/licenses/gpl-3.0.en.html</t>
    <phoneticPr fontId="1"/>
  </si>
  <si>
    <t>https://www.gnu.org/licenses/gpl-3.0.ja.html</t>
  </si>
  <si>
    <t>Cite the URL https://github.com/tokurou/GUGS when publishing your study to indicate the use of GUGS.</t>
    <phoneticPr fontId="1"/>
  </si>
  <si>
    <t>This term may be updated when the paper was published.</t>
    <phoneticPr fontId="1"/>
  </si>
  <si>
    <t>*) Two alphabet letters separated by slash will be treated as SNP genotype.</t>
    <phoneticPr fontId="1"/>
  </si>
  <si>
    <t>A single integer value is recognized to be an allele of SSR genotype.</t>
    <phoneticPr fontId="1"/>
  </si>
  <si>
    <t>Two alphabetic letters combined with or without a separator.</t>
    <phoneticPr fontId="1"/>
  </si>
  <si>
    <t>An alphabet letter is recognized to be an allele of SNP genotype.</t>
    <phoneticPr fontId="1"/>
  </si>
  <si>
    <t>Nucleotide sequence of DNA or RNA, or amino acid</t>
    <phoneticPr fontId="1"/>
  </si>
  <si>
    <t>tokurou.shimizu@gmail.com</t>
    <phoneticPr fontId="1"/>
  </si>
  <si>
    <t>tshimizu@affrc.go.jp</t>
    <phoneticPr fontId="1"/>
  </si>
  <si>
    <t>Date:</t>
    <phoneticPr fontId="1"/>
  </si>
  <si>
    <t>Version:</t>
    <phoneticPr fontId="1"/>
  </si>
  <si>
    <t>Documented at:</t>
    <phoneticPr fontId="1"/>
  </si>
  <si>
    <t>Allowed data types</t>
    <phoneticPr fontId="1"/>
  </si>
  <si>
    <t>Functions in this category allow to normalize genotype data, convert the absolute size to the relative size of an SSR genotype, insert a separator into an SNP genotype, convert a single-letter genotype into the pseudo-SNP format and extract the difference between two alleles of SSR genotype. It also allows converting Illumina’s single-letter genotype format into an SNP genotype, and a converting single-letter HapMap code into a real SNP genotype.</t>
    <phoneticPr fontId="1"/>
  </si>
  <si>
    <t>These functions convert SSR, SNP, or M genotypes.</t>
    <phoneticPr fontId="1"/>
  </si>
  <si>
    <t>Functions in this category allow to extract allele of an SSR or SNP genotype, examine homozygosity, determine the identity between two genotypes of SSR or SNP format, examine allele inclusion in the given genotype, evaluate the ploidy of an SSR genotype, separate all alleles of SSR or SNP genotypes and extract the shared allele between two SSR or SNP genotypes.</t>
    <phoneticPr fontId="1"/>
  </si>
  <si>
    <t>Right-side allele of genotype</t>
    <phoneticPr fontId="1"/>
  </si>
  <si>
    <t>Lleft-side allele of genotype</t>
    <phoneticPr fontId="1"/>
  </si>
  <si>
    <t>These functions return the right-side allele of a designated SSR or SNP genotype.</t>
    <phoneticPr fontId="1"/>
  </si>
  <si>
    <t xml:space="preserve">          alleles.</t>
    <phoneticPr fontId="1"/>
  </si>
  <si>
    <r>
      <rPr>
        <b/>
        <sz val="12"/>
        <color theme="1"/>
        <rFont val="Calibri"/>
        <family val="2"/>
      </rPr>
      <t>Diff</t>
    </r>
    <r>
      <rPr>
        <sz val="12"/>
        <color theme="1"/>
        <rFont val="Calibri"/>
        <family val="2"/>
      </rPr>
      <t>: allowed maximum differences between two</t>
    </r>
    <phoneticPr fontId="1"/>
  </si>
  <si>
    <t>The given genotype data will be normalized before the identity check. In the case of SSR genotype data, allele sizes up to the ‘Diff’ disagreement are allowed; however, these designated SSR genotypes should be kept for their heterozygosity or homozygosity even if the assigned ‘Diff’ value allowed coinciding their apparent genotypes to each other.</t>
    <phoneticPr fontId="1"/>
  </si>
  <si>
    <t>2) The size differences are in the range of the allowed 'Diff' range, but homo/hetero combination does not match between them.</t>
    <phoneticPr fontId="1"/>
  </si>
  <si>
    <t>Examine ploidy from an SSR genotype</t>
    <phoneticPr fontId="1"/>
  </si>
  <si>
    <t>Functions in this category involve to estimate a segregation mode of offspring from the genotype data of parents and convert the genotype of offspring for evaluation with linkage analysis software such as MapMaker (Lander et al., 1987), JoinMap (Stam, 1993), or their equivalent software.</t>
    <phoneticPr fontId="1"/>
  </si>
  <si>
    <t>Estimate a segregation mode for CP mode</t>
    <phoneticPr fontId="1"/>
  </si>
  <si>
    <t>Estimate a segregation mode for BC1 or F2 mode</t>
    <phoneticPr fontId="1"/>
  </si>
  <si>
    <t>Estimate a segregation of an M-formatted genotype</t>
    <phoneticPr fontId="1"/>
  </si>
  <si>
    <t>Estimate a segregation mode of two parental genotypes according to BC1 or F2</t>
    <phoneticPr fontId="1"/>
  </si>
  <si>
    <t>Procedure to convert genotype for the CP mode of JoinMap</t>
    <phoneticPr fontId="1"/>
  </si>
  <si>
    <t>Procedure to convert genotype for the BC2 or F2 mode of JoinMap</t>
    <phoneticPr fontId="1"/>
  </si>
  <si>
    <t>Procedure to estimate segregation from parental genotypes for M formatted genotype</t>
    <phoneticPr fontId="1"/>
  </si>
  <si>
    <t>Convert a genotype for BC1 mode</t>
    <phoneticPr fontId="1"/>
  </si>
  <si>
    <t>Convert a genotype for F2 mode</t>
    <phoneticPr fontId="1"/>
  </si>
  <si>
    <t>Convert a genotype for CP mode</t>
    <phoneticPr fontId="1"/>
  </si>
  <si>
    <t>Functions in this category allow to estimate unique alleles or genotypes in the dataset, extract an allele or genotype at a designated rank in the dataset, and count the ratio of the matched allele or genotype in the dataset.</t>
    <phoneticPr fontId="1"/>
  </si>
  <si>
    <t>Functions in this category allow estimating allele frequencies or diversity of population data, observed or expected heterozygosity, polymorphic information content (PIC), match probability, the power of discrimination, genetic diversity, and the probability of showing an identical genotype for different individuals in a population dataset according to the theorem of Ukai.</t>
    <phoneticPr fontId="1"/>
  </si>
  <si>
    <t>Functions in this category are valid to estimate parentage of offspring within a population and determine the probability to obtain an individual from a cross of designated parents in a population.</t>
    <phoneticPr fontId="1"/>
  </si>
  <si>
    <t>Functions in this category allow for converting, counting, formatting and searching for nucleotide or amino acid sequence motif to support DNA marker design.</t>
    <phoneticPr fontId="1"/>
  </si>
  <si>
    <r>
      <rPr>
        <u/>
        <sz val="11"/>
        <color rgb="FFFF0000"/>
        <rFont val="Arial"/>
        <family val="2"/>
      </rPr>
      <t>Right-side allele of genotype</t>
    </r>
    <r>
      <rPr>
        <sz val="11"/>
        <color rgb="FFFF0000"/>
        <rFont val="Arial"/>
        <family val="2"/>
      </rPr>
      <t xml:space="preserve">
</t>
    </r>
    <r>
      <rPr>
        <sz val="11"/>
        <color theme="1"/>
        <rFont val="Arial"/>
        <family val="2"/>
      </rPr>
      <t xml:space="preserve">These functions return the right-side allele of a designated SSR or SNP genotype. These functions do not sort the alleles before evaluation.
</t>
    </r>
    <phoneticPr fontId="1"/>
  </si>
  <si>
    <r>
      <rPr>
        <u/>
        <sz val="11"/>
        <color rgb="FFFF0000"/>
        <rFont val="Arial"/>
        <family val="2"/>
      </rPr>
      <t>Left-side allele of genotype</t>
    </r>
    <r>
      <rPr>
        <sz val="11"/>
        <color rgb="FFFF0000"/>
        <rFont val="Arial"/>
        <family val="2"/>
      </rPr>
      <t xml:space="preserve">
</t>
    </r>
    <r>
      <rPr>
        <sz val="11"/>
        <color theme="1"/>
        <rFont val="Arial"/>
        <family val="2"/>
      </rPr>
      <t xml:space="preserve">These functions return the left-side allele of a designated SSR or SNP genotype. These functions do not sort the alleles before evaluation.
</t>
    </r>
    <phoneticPr fontId="1"/>
  </si>
  <si>
    <r>
      <rPr>
        <sz val="11"/>
        <color rgb="FF0000FF"/>
        <rFont val="Arial"/>
        <family val="2"/>
      </rPr>
      <t>IsSameSSR(SSR1, SSR2, Diff)
&gt; Boolean</t>
    </r>
    <r>
      <rPr>
        <sz val="11"/>
        <color theme="1"/>
        <rFont val="Arial"/>
        <family val="2"/>
      </rPr>
      <t xml:space="preserve">
SSR genotype allowed up to Diff differences for individual allele, but heterozygosity/homozygosity should be identical between SSR1 and SSR2.</t>
    </r>
    <phoneticPr fontId="1"/>
  </si>
  <si>
    <r>
      <rPr>
        <u/>
        <sz val="11"/>
        <color rgb="FFFF0000"/>
        <rFont val="Arial"/>
        <family val="2"/>
      </rPr>
      <t>Examine ploidy from an SSR genotype</t>
    </r>
    <r>
      <rPr>
        <sz val="11"/>
        <color rgb="FFFF0000"/>
        <rFont val="Arial"/>
        <family val="2"/>
      </rPr>
      <t xml:space="preserve">
</t>
    </r>
    <r>
      <rPr>
        <sz val="11"/>
        <rFont val="Arial"/>
        <family val="2"/>
      </rPr>
      <t xml:space="preserve">This function estimates the ploidy of an SSR genotype from the number of separators in the genotype. The slash is used as the separator.
</t>
    </r>
    <phoneticPr fontId="1"/>
  </si>
  <si>
    <r>
      <rPr>
        <u/>
        <sz val="11"/>
        <color rgb="FFFF0000"/>
        <rFont val="Arial"/>
        <family val="2"/>
      </rPr>
      <t>Estimate a segregation mode for CP mode</t>
    </r>
    <r>
      <rPr>
        <sz val="11"/>
        <color rgb="FFFF0000"/>
        <rFont val="Arial"/>
        <family val="2"/>
      </rPr>
      <t xml:space="preserve">
</t>
    </r>
    <r>
      <rPr>
        <sz val="11"/>
        <color theme="1"/>
        <rFont val="Arial"/>
        <family val="2"/>
      </rPr>
      <t xml:space="preserve">These functions estimate the segregation type of offspring from the genotypes of parents according to the CP mode of JoinMap.
</t>
    </r>
    <phoneticPr fontId="1"/>
  </si>
  <si>
    <r>
      <rPr>
        <u/>
        <sz val="11"/>
        <color rgb="FFFF0000"/>
        <rFont val="Arial"/>
        <family val="2"/>
      </rPr>
      <t>Convert a genotype for CP mode</t>
    </r>
    <r>
      <rPr>
        <sz val="11"/>
        <color rgb="FFFF0000"/>
        <rFont val="Arial"/>
        <family val="2"/>
      </rPr>
      <t xml:space="preserve">
</t>
    </r>
    <r>
      <rPr>
        <sz val="11"/>
        <color theme="1"/>
        <rFont val="Arial"/>
        <family val="2"/>
      </rPr>
      <t xml:space="preserve">These functions convert the raw genotype of offspring according to the segregation type for the CP mode of JoinMap.
</t>
    </r>
    <phoneticPr fontId="1"/>
  </si>
  <si>
    <r>
      <rPr>
        <u/>
        <sz val="11"/>
        <color rgb="FFFF0000"/>
        <rFont val="Arial"/>
        <family val="2"/>
      </rPr>
      <t>Estimate a segregation mode for BC1 or F2 mode</t>
    </r>
    <r>
      <rPr>
        <sz val="11"/>
        <color theme="1"/>
        <rFont val="Arial"/>
        <family val="2"/>
      </rPr>
      <t xml:space="preserve">
These functions estimate the segregation mode of offspring from the genotypes of two parental genotypes for the BC1 or F2 mode of JoinMap.
</t>
    </r>
    <phoneticPr fontId="1"/>
  </si>
  <si>
    <r>
      <rPr>
        <u/>
        <sz val="11"/>
        <color rgb="FFFF0000"/>
        <rFont val="Arial"/>
        <family val="2"/>
      </rPr>
      <t xml:space="preserve">Convert a genotype for BC1 mode
</t>
    </r>
    <r>
      <rPr>
        <sz val="11"/>
        <color theme="1"/>
        <rFont val="Arial"/>
        <family val="2"/>
      </rPr>
      <t xml:space="preserve">These functions convert the raw genotype of offspring for the BC1 mode of JoinMap.
</t>
    </r>
    <phoneticPr fontId="1"/>
  </si>
  <si>
    <r>
      <rPr>
        <u/>
        <sz val="11"/>
        <color rgb="FFFF0000"/>
        <rFont val="Arial"/>
        <family val="2"/>
      </rPr>
      <t xml:space="preserve">Convert a genotype for F2 mode
</t>
    </r>
    <r>
      <rPr>
        <sz val="11"/>
        <color theme="1"/>
        <rFont val="Arial"/>
        <family val="2"/>
      </rPr>
      <t xml:space="preserve">These functions convert the raw genotype of offspring for the F2 mode of JoinMap.
</t>
    </r>
    <phoneticPr fontId="1"/>
  </si>
  <si>
    <r>
      <rPr>
        <u/>
        <sz val="11"/>
        <color rgb="FFFF0000"/>
        <rFont val="Arial"/>
        <family val="2"/>
      </rPr>
      <t>Estimate a segregation of an M-formatted genotype</t>
    </r>
    <r>
      <rPr>
        <sz val="11"/>
        <color theme="1"/>
        <rFont val="Arial"/>
        <family val="2"/>
      </rPr>
      <t xml:space="preserve">
This function estimates the segregation of two, M-formatted parental genotypes among their offspring.
</t>
    </r>
    <phoneticPr fontId="1"/>
  </si>
  <si>
    <r>
      <rPr>
        <u/>
        <sz val="11"/>
        <color rgb="FFFF0000"/>
        <rFont val="Arial"/>
        <family val="2"/>
      </rPr>
      <t>Estimate a segregation mode of two parental genotypes according to BC1 or F2</t>
    </r>
    <r>
      <rPr>
        <sz val="11"/>
        <color theme="1"/>
        <rFont val="Arial"/>
        <family val="2"/>
      </rPr>
      <t xml:space="preserve">
This function converts the raw genotype of an M-formatted offspring's genotype to a BC1- or F2-style genotype.
</t>
    </r>
    <phoneticPr fontId="1"/>
  </si>
  <si>
    <t>4) Dataset analysis</t>
    <phoneticPr fontId="1"/>
  </si>
  <si>
    <t>= markmotif("TACCGTCCAAGATTCCCGAATTCCATATTATGGCCTAACACACATTGGCGAAGATTTCC","ATT")
&gt; TACCGTCCAAG[ATT]CCCGA[ATT]CCAT[ATT]ATGGCCTAACACAC[ATT]GGCGAAG[ATT]TCC
= markmotif("CAAGCTACAGTGTAATTTACGAGCCCAATTTTGCTACTGGTCACCCTCTGACTCAACAAT","AAT")
&gt; CAAGCTACAGTGT[AAT]TTACGAGCCC[AAT]TTTGCTACTGGTCACCCTCTGACTCAAC[AAT]
= markmotif("TACCGTCCAAGATTCCCGAATTCCATATTATGGCCTAACACACATTGGCGAAGATTTCC","GAATTC")
&gt;TACCGTCCAAGATTCCC[GAATTC]CATATTATGGCCTAACACACATTGGCGAAGATTTCC</t>
    <phoneticPr fontId="1"/>
  </si>
  <si>
    <t>= findmotif("TACCGTCCAAGATTCCCGAATTCCATATTATGGCCTAACACACATTGGCGAAGATTTCC","AT")
&gt; 12, 20, 25, 27, 30, 44, 54
= findmotif("CAAGCTACAGTGTAATTTACGAGCCCAATTTTGCTACTGGTCACCCTCTGACTCAACAAT","AAT")
&gt; 14, 27, 58
= findmotif("TACCGTCCAAGATTCCCGAATTCCATATTATGGCCTAACACACATTGGCGAAGATTTCC","GAATTC")
&gt; 18</t>
    <phoneticPr fontId="1"/>
  </si>
  <si>
    <t>= firstmotif("TACCGTCCAAGATTCCCGAATTCCATATTATGGCCTAACACACATTGGCGAAGATTTCC","GAATTC",1)
&gt; 18
= firstmotif("CAAGCTACAGTGTAATTTACGAGCCCAATTTTGCTACTGGTCACCCTCTGACTCAACAAT","AT",20)
&gt; 28</t>
    <phoneticPr fontId="1"/>
  </si>
  <si>
    <t>= motifcount("TACCGTCCAAGATTCCCGAATTCCATATTATGGCCTAACACACATTGGCGAAGATTTCC","GAATTC",1)
&gt; 1
= motifcount("TACCGTCCAAGATTCCCGAATTCCATATTATGGCCTAACACACATTGGCGAAGATTTCC","AT",1)
&gt; 7</t>
    <phoneticPr fontId="1"/>
  </si>
  <si>
    <t>= GCratio("CAAGCTACAGTGTAATTTACGAGCCCAATTTTGCTACTGGTCACCCTCTGACTCAACAAT")
&gt; 0.433333333333333
= GCratio("TACCGTCCAAGATTCCCGGGATGGCATATTATGGCCTAACACACATTGGCGAAGATTTCC")
&gt; 0.483333333333333</t>
    <phoneticPr fontId="1"/>
  </si>
  <si>
    <t>= clip3("CAAGCTACAGTGTAATTTACGAGCCCAATTTTGCTACTGGTCACCCTCTGACTCAACAAT", 10)
&gt; ACTCAACAAT
= clip3("CAAGCTACAGTGTAATTTACGAGCCCAATTTTGCTACTGGTCACCCTCTGACTCAACAAT")
&gt; T</t>
    <phoneticPr fontId="1"/>
  </si>
  <si>
    <t>= clip5("CAAGCTACAGTGTAATTTACGAGCCCAATTTTGCTACTGGTCACCCTCTGACTCAACAAT", 10)
&gt; CAAGCTACAG
= clip5("CAAGCTACAGTGTAATTTACGAGCCCAATTTTGCTACTGGTCACCCTCTGACTCAACAAT")
&gt; C</t>
    <phoneticPr fontId="1"/>
  </si>
  <si>
    <t>v.</t>
    <phoneticPr fontId="1"/>
  </si>
  <si>
    <t>w.</t>
    <phoneticPr fontId="1"/>
  </si>
  <si>
    <t>x.</t>
    <phoneticPr fontId="1"/>
  </si>
  <si>
    <t>Match the query sequence to the reference sequence</t>
    <phoneticPr fontId="1"/>
  </si>
  <si>
    <t xml:space="preserve">   TACCGTCCAA</t>
    <phoneticPr fontId="1"/>
  </si>
  <si>
    <t>TACCGTCCAAGATTGGGATTAACCATAAAATGGCCTAACACACATTGGCGAAGATTTCC</t>
    <phoneticPr fontId="1"/>
  </si>
  <si>
    <r>
      <rPr>
        <u/>
        <sz val="11"/>
        <color rgb="FFFF0000"/>
        <rFont val="Arial"/>
        <family val="2"/>
      </rPr>
      <t>Match the query sequence to the reference sequence</t>
    </r>
    <r>
      <rPr>
        <sz val="11"/>
        <color theme="1"/>
        <rFont val="Arial"/>
        <family val="2"/>
      </rPr>
      <t xml:space="preserve">
This function compares the query sequence to the reference sequence from 5'-end then shows the matched character.
This function is available for any types of sequence.</t>
    </r>
    <phoneticPr fontId="1"/>
  </si>
  <si>
    <r>
      <rPr>
        <u/>
        <sz val="11"/>
        <color rgb="FFFF0000"/>
        <rFont val="Arial"/>
        <family val="2"/>
      </rPr>
      <t>Ratio of the matched query sequence to the reference sequence</t>
    </r>
    <r>
      <rPr>
        <sz val="11"/>
        <color theme="1"/>
        <rFont val="Arial"/>
        <family val="2"/>
      </rPr>
      <t xml:space="preserve">
This function compares the query sequence to the reference sequence from 5'-end then returns the ratio of the matched character.
This function is available for any types of sequence.
</t>
    </r>
    <phoneticPr fontId="1"/>
  </si>
  <si>
    <t>= matchseq("ATGCAAA", "ATCCTAA")
&gt; R:ATGCAAA
  Q:AT.C.AA</t>
    <phoneticPr fontId="1"/>
  </si>
  <si>
    <t>= matchscore("ATGCAAA", "ATCCTAA")
&gt; 0.714286
'= matchscore("ATGCAAA", "ATGCAAA")
&gt; 1.00000</t>
    <phoneticPr fontId="1"/>
  </si>
  <si>
    <t xml:space="preserve">This function remove the extra sequence outside of bracket, then return the sequence within a bracket. </t>
    <phoneticPr fontId="1"/>
  </si>
  <si>
    <r>
      <rPr>
        <u/>
        <sz val="11"/>
        <color rgb="FFFF0000"/>
        <rFont val="Arial"/>
        <family val="2"/>
      </rPr>
      <t>Prune the unnecessary sequence and select the sequence inside the bracket</t>
    </r>
    <r>
      <rPr>
        <sz val="11"/>
        <color theme="1"/>
        <rFont val="Arial"/>
        <family val="2"/>
      </rPr>
      <t xml:space="preserve">
This function remove the extra sequence outside of bracket, then return the sequence within a bracket. 
User can identify the one to be remained when multiple brackets present in the sequence.
This function is available for any types of sequence.
</t>
    </r>
    <phoneticPr fontId="1"/>
  </si>
  <si>
    <t>CAAGCTACAGTGTAATTTACGAGCCCA[A/C]TTTTGCTACTGGTCACCCTCTGACTCAACAAT</t>
    <phoneticPr fontId="1"/>
  </si>
  <si>
    <t>= prune("CAAGCTACAGTGTAATTTACGAGCCCA[A/C]TTTTGCTACTGGTCACCCTCTGACTCAACAAT",1)
&gt; A/C
= prune("CAAG[C/A]TACAGT[G/A]TAATTT[C/A]CGAGCCCA[T/A]TTTTG[C/T]TACTGGTCACCCTCTGACTCAACAAT",2)
&gt; G/A</t>
    <phoneticPr fontId="1"/>
  </si>
  <si>
    <r>
      <rPr>
        <u/>
        <sz val="11"/>
        <color rgb="FFFF0000"/>
        <rFont val="Arial"/>
        <family val="2"/>
      </rPr>
      <t>Format the sequence by inserting line feed at every Nth interval</t>
    </r>
    <r>
      <rPr>
        <sz val="11"/>
        <color theme="1"/>
        <rFont val="Arial"/>
        <family val="2"/>
      </rPr>
      <t xml:space="preserve">
This function inserts line feed at every Nth position in the sequence. This function is available for DNA/RNA/amino acid sequence.
</t>
    </r>
    <phoneticPr fontId="1"/>
  </si>
  <si>
    <t>This function inserts line feed at every Nth position in the sequence.</t>
  </si>
  <si>
    <r>
      <t>= prune(</t>
    </r>
    <r>
      <rPr>
        <b/>
        <sz val="12"/>
        <color rgb="FF0000FF"/>
        <rFont val="Calibri"/>
        <family val="2"/>
      </rPr>
      <t>SEQ</t>
    </r>
    <r>
      <rPr>
        <sz val="12"/>
        <color rgb="FF0000FF"/>
        <rFont val="Calibri"/>
        <family val="2"/>
      </rPr>
      <t xml:space="preserve"> (,</t>
    </r>
    <r>
      <rPr>
        <b/>
        <sz val="12"/>
        <color rgb="FF0000FF"/>
        <rFont val="Calibri"/>
        <family val="2"/>
      </rPr>
      <t>order</t>
    </r>
    <r>
      <rPr>
        <sz val="12"/>
        <color rgb="FF0000FF"/>
        <rFont val="Calibri"/>
        <family val="2"/>
      </rPr>
      <t>))</t>
    </r>
    <phoneticPr fontId="1"/>
  </si>
  <si>
    <r>
      <rPr>
        <b/>
        <sz val="12"/>
        <color theme="1"/>
        <rFont val="Calibri"/>
        <family val="2"/>
      </rPr>
      <t>order</t>
    </r>
    <r>
      <rPr>
        <sz val="12"/>
        <color theme="1"/>
        <rFont val="Calibri"/>
        <family val="2"/>
      </rPr>
      <t xml:space="preserve"> (optional): the optision of a bracket to be extracted.</t>
    </r>
    <phoneticPr fontId="1"/>
  </si>
  <si>
    <t>GUGS: General Utilities for Genotyping Study, a work book</t>
    <phoneticPr fontId="1"/>
  </si>
  <si>
    <t>Copyright (c) 2013, 2014, 2015, 2016, 2017, Tokurou Shimizu, All right reserved.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</si>
</sst>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000"/>
    <numFmt numFmtId="177" formatCode="0.0E+00"/>
    <numFmt numFmtId="178" formatCode="0.0000"/>
    <numFmt numFmtId="179" formatCode="0.000000000"/>
    <numFmt numFmtId="180" formatCode="[$-409]dd\-mmm\-yy;@"/>
  </numFmts>
  <fonts count="41"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b/>
      <sz val="14"/>
      <color rgb="FFFF0000"/>
      <name val="Arial"/>
      <family val="2"/>
    </font>
    <font>
      <sz val="14"/>
      <color rgb="FFFF0000"/>
      <name val="Arial"/>
      <family val="2"/>
    </font>
    <font>
      <sz val="11"/>
      <color theme="1"/>
      <name val="Arial"/>
      <family val="2"/>
    </font>
    <font>
      <u/>
      <sz val="11"/>
      <color theme="10"/>
      <name val="Arial"/>
      <family val="2"/>
    </font>
    <font>
      <sz val="11"/>
      <color rgb="FF0000FF"/>
      <name val="ＭＳ Ｐゴシック"/>
      <family val="2"/>
      <charset val="128"/>
      <scheme val="minor"/>
    </font>
    <font>
      <sz val="14"/>
      <color theme="1"/>
      <name val="Calibri"/>
      <family val="2"/>
    </font>
    <font>
      <sz val="11"/>
      <color theme="1"/>
      <name val="ＭＳ Ｐゴシック"/>
      <family val="3"/>
      <charset val="128"/>
      <scheme val="minor"/>
    </font>
    <font>
      <sz val="12"/>
      <color theme="1"/>
      <name val="Times New Roman"/>
      <family val="1"/>
    </font>
    <font>
      <sz val="12"/>
      <color theme="1"/>
      <name val="Calibri"/>
      <family val="2"/>
    </font>
    <font>
      <sz val="12"/>
      <color rgb="FF0000FF"/>
      <name val="Calibri"/>
      <family val="2"/>
    </font>
    <font>
      <sz val="11"/>
      <color rgb="FFFF0000"/>
      <name val="Arial"/>
      <family val="2"/>
    </font>
    <font>
      <sz val="11"/>
      <color rgb="FF0000FF"/>
      <name val="Arial"/>
      <family val="2"/>
    </font>
    <font>
      <sz val="11"/>
      <name val="Arial"/>
      <family val="2"/>
    </font>
    <font>
      <sz val="11"/>
      <color theme="1"/>
      <name val="Times New Roman"/>
      <family val="1"/>
    </font>
    <font>
      <u/>
      <sz val="11"/>
      <color rgb="FFFF0000"/>
      <name val="Arial"/>
      <family val="2"/>
    </font>
    <font>
      <u/>
      <sz val="11"/>
      <color rgb="FF0000FF"/>
      <name val="Arial"/>
      <family val="2"/>
    </font>
    <font>
      <i/>
      <u/>
      <sz val="11"/>
      <color rgb="FFFF0000"/>
      <name val="Arial"/>
      <family val="2"/>
    </font>
    <font>
      <sz val="14"/>
      <color theme="1"/>
      <name val="Arial"/>
      <family val="2"/>
    </font>
    <font>
      <i/>
      <sz val="11"/>
      <color theme="1"/>
      <name val="Arial"/>
      <family val="2"/>
    </font>
    <font>
      <b/>
      <sz val="11"/>
      <color theme="1"/>
      <name val="Times New Roman"/>
      <family val="1"/>
    </font>
    <font>
      <sz val="11"/>
      <color rgb="FF0000FF"/>
      <name val="Courier New"/>
      <family val="3"/>
    </font>
    <font>
      <b/>
      <sz val="12"/>
      <color theme="0"/>
      <name val="Calibri"/>
      <family val="2"/>
    </font>
    <font>
      <sz val="12"/>
      <color theme="0"/>
      <name val="Calibri"/>
      <family val="2"/>
    </font>
    <font>
      <sz val="12"/>
      <name val="Calibri"/>
      <family val="2"/>
    </font>
    <font>
      <b/>
      <sz val="12"/>
      <color rgb="FF0000FF"/>
      <name val="Calibri"/>
      <family val="2"/>
    </font>
    <font>
      <b/>
      <sz val="12"/>
      <color theme="1"/>
      <name val="Calibri"/>
      <family val="2"/>
    </font>
    <font>
      <sz val="12"/>
      <color rgb="FF000000"/>
      <name val="Calibri"/>
      <family val="2"/>
    </font>
    <font>
      <sz val="12"/>
      <color rgb="FFFF0000"/>
      <name val="Calibri"/>
      <family val="2"/>
    </font>
    <font>
      <i/>
      <sz val="12"/>
      <color theme="1"/>
      <name val="Calibri"/>
      <family val="2"/>
    </font>
    <font>
      <i/>
      <sz val="12"/>
      <color rgb="FFFF0000"/>
      <name val="Calibri"/>
      <family val="2"/>
    </font>
    <font>
      <i/>
      <sz val="12"/>
      <color rgb="FF000000"/>
      <name val="Calibri"/>
      <family val="2"/>
    </font>
    <font>
      <i/>
      <vertAlign val="subscript"/>
      <sz val="12"/>
      <color rgb="FF000000"/>
      <name val="Calibri"/>
      <family val="2"/>
    </font>
    <font>
      <u/>
      <sz val="12"/>
      <color theme="10"/>
      <name val="Calibri"/>
      <family val="2"/>
    </font>
    <font>
      <b/>
      <sz val="12"/>
      <color rgb="FFFF0000"/>
      <name val="Calibri"/>
      <family val="2"/>
    </font>
    <font>
      <sz val="12"/>
      <color theme="1"/>
      <name val="Arial"/>
      <family val="2"/>
    </font>
    <font>
      <sz val="12"/>
      <color rgb="FFFF0000"/>
      <name val="Arial"/>
      <family val="2"/>
    </font>
    <font>
      <sz val="12"/>
      <color rgb="FF0000FF"/>
      <name val="Arial"/>
      <family val="2"/>
    </font>
    <font>
      <sz val="16"/>
      <color theme="1"/>
      <name val="Calibri"/>
      <family val="2"/>
    </font>
  </fonts>
  <fills count="13">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2"/>
        <bgColor indexed="64"/>
      </patternFill>
    </fill>
    <fill>
      <patternFill patternType="solid">
        <fgColor rgb="FFE5FFE5"/>
        <bgColor indexed="64"/>
      </patternFill>
    </fill>
    <fill>
      <patternFill patternType="solid">
        <fgColor rgb="FFCCFFFF"/>
        <bgColor indexed="64"/>
      </patternFill>
    </fill>
    <fill>
      <patternFill patternType="solid">
        <fgColor rgb="FFF8F8F8"/>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249977111117893"/>
        <bgColor indexed="64"/>
      </patternFill>
    </fill>
  </fills>
  <borders count="12">
    <border>
      <left/>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88">
    <xf numFmtId="0" fontId="0" fillId="0" borderId="0" xfId="0">
      <alignment vertical="center"/>
    </xf>
    <xf numFmtId="0" fontId="3" fillId="0" borderId="0" xfId="0" applyFont="1" applyAlignment="1">
      <alignment horizontal="center"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5" fillId="0" borderId="0" xfId="0" applyFont="1" applyAlignment="1">
      <alignment horizontal="right" vertical="center"/>
    </xf>
    <xf numFmtId="0" fontId="5" fillId="0" borderId="0" xfId="0" applyFont="1" applyAlignment="1">
      <alignment horizontal="left" vertical="center"/>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0" fontId="9" fillId="0" borderId="1" xfId="0" applyFont="1" applyBorder="1" applyAlignment="1">
      <alignment vertical="top" wrapText="1"/>
    </xf>
    <xf numFmtId="0" fontId="7" fillId="0" borderId="0" xfId="0" applyFont="1" applyFill="1" applyAlignment="1">
      <alignment vertical="top"/>
    </xf>
    <xf numFmtId="0" fontId="10" fillId="0" borderId="0" xfId="0" applyFont="1" applyAlignment="1">
      <alignment vertical="top" wrapText="1"/>
    </xf>
    <xf numFmtId="0" fontId="11" fillId="0" borderId="1" xfId="0" applyFont="1" applyBorder="1">
      <alignment vertical="center"/>
    </xf>
    <xf numFmtId="0" fontId="11" fillId="0" borderId="0" xfId="0" applyFont="1">
      <alignment vertical="center"/>
    </xf>
    <xf numFmtId="0" fontId="12" fillId="0" borderId="0" xfId="0" applyFont="1">
      <alignment vertical="center"/>
    </xf>
    <xf numFmtId="0" fontId="11" fillId="0" borderId="0" xfId="0" applyFont="1" applyAlignment="1">
      <alignment horizontal="right" vertical="center"/>
    </xf>
    <xf numFmtId="0" fontId="11" fillId="0" borderId="0" xfId="0" applyFont="1" applyAlignment="1">
      <alignment horizontal="center" vertical="center"/>
    </xf>
    <xf numFmtId="0" fontId="5" fillId="0" borderId="1" xfId="0" applyFont="1" applyBorder="1" applyAlignment="1">
      <alignment vertical="top" wrapText="1"/>
    </xf>
    <xf numFmtId="0" fontId="5" fillId="0" borderId="0" xfId="0" applyFont="1" applyAlignment="1">
      <alignment horizontal="right" vertical="top"/>
    </xf>
    <xf numFmtId="0" fontId="14" fillId="0" borderId="0" xfId="0" applyFont="1" applyFill="1" applyAlignment="1">
      <alignment horizontal="right" vertical="top"/>
    </xf>
    <xf numFmtId="0" fontId="5" fillId="0" borderId="0" xfId="0" applyFont="1" applyFill="1" applyBorder="1" applyAlignment="1">
      <alignment horizontal="right" vertical="top"/>
    </xf>
    <xf numFmtId="0" fontId="5" fillId="2" borderId="1" xfId="0" applyFont="1" applyFill="1" applyBorder="1" applyAlignment="1">
      <alignment vertical="top" wrapText="1"/>
    </xf>
    <xf numFmtId="0" fontId="5" fillId="2" borderId="1" xfId="0" applyFont="1" applyFill="1" applyBorder="1" applyAlignment="1">
      <alignment horizontal="center" vertical="top"/>
    </xf>
    <xf numFmtId="0" fontId="5" fillId="0" borderId="1" xfId="0" applyFont="1" applyBorder="1" applyAlignment="1">
      <alignment vertical="top"/>
    </xf>
    <xf numFmtId="0" fontId="14" fillId="0" borderId="1" xfId="0" applyFont="1" applyBorder="1" applyAlignment="1">
      <alignment vertical="top" wrapText="1"/>
    </xf>
    <xf numFmtId="49" fontId="16" fillId="0" borderId="1" xfId="0" applyNumberFormat="1" applyFont="1" applyBorder="1" applyAlignment="1">
      <alignment vertical="top" wrapText="1"/>
    </xf>
    <xf numFmtId="49" fontId="14" fillId="0" borderId="1" xfId="0" applyNumberFormat="1" applyFont="1" applyBorder="1" applyAlignment="1">
      <alignment vertical="top" wrapText="1"/>
    </xf>
    <xf numFmtId="0" fontId="5" fillId="0" borderId="0" xfId="0" applyFont="1" applyFill="1" applyBorder="1" applyAlignment="1">
      <alignment horizontal="left" vertical="top" wrapText="1"/>
    </xf>
    <xf numFmtId="0" fontId="5" fillId="0" borderId="2" xfId="0" applyFont="1" applyBorder="1" applyAlignment="1">
      <alignment vertical="top" wrapText="1"/>
    </xf>
    <xf numFmtId="0" fontId="20" fillId="0" borderId="0" xfId="0" applyFont="1" applyAlignment="1">
      <alignment vertical="top" wrapText="1"/>
    </xf>
    <xf numFmtId="0" fontId="5" fillId="0" borderId="0" xfId="0" applyFont="1" applyAlignment="1">
      <alignment vertical="top"/>
    </xf>
    <xf numFmtId="0" fontId="11" fillId="0" borderId="0" xfId="0" applyFont="1" applyBorder="1">
      <alignment vertical="center"/>
    </xf>
    <xf numFmtId="0" fontId="0" fillId="0" borderId="0" xfId="0" applyFont="1" applyAlignment="1">
      <alignment vertical="top"/>
    </xf>
    <xf numFmtId="0" fontId="0" fillId="0" borderId="1" xfId="0" applyFont="1" applyBorder="1" applyAlignment="1">
      <alignment vertical="top" wrapText="1"/>
    </xf>
    <xf numFmtId="0" fontId="0" fillId="0" borderId="1" xfId="0" applyFont="1" applyBorder="1" applyAlignment="1">
      <alignment vertical="top"/>
    </xf>
    <xf numFmtId="0" fontId="16" fillId="0" borderId="0" xfId="0" applyFont="1" applyAlignment="1">
      <alignment vertical="top" wrapText="1"/>
    </xf>
    <xf numFmtId="0" fontId="5" fillId="2" borderId="1" xfId="0" applyFont="1" applyFill="1" applyBorder="1" applyAlignment="1">
      <alignment horizontal="center" vertical="top" wrapText="1"/>
    </xf>
    <xf numFmtId="0" fontId="0" fillId="0" borderId="0" xfId="0" applyFont="1" applyFill="1" applyBorder="1" applyAlignment="1">
      <alignment vertical="top"/>
    </xf>
    <xf numFmtId="0" fontId="0" fillId="0" borderId="0" xfId="0" applyFont="1" applyFill="1" applyBorder="1" applyAlignment="1">
      <alignment vertical="top" wrapText="1"/>
    </xf>
    <xf numFmtId="0" fontId="0" fillId="0" borderId="0" xfId="0" applyFont="1" applyFill="1" applyBorder="1" applyAlignment="1">
      <alignment horizontal="center" vertical="top"/>
    </xf>
    <xf numFmtId="0" fontId="16" fillId="0" borderId="0" xfId="0" applyFont="1" applyFill="1" applyBorder="1" applyAlignment="1">
      <alignment horizontal="center" vertical="top" wrapText="1"/>
    </xf>
    <xf numFmtId="0" fontId="16" fillId="0" borderId="1" xfId="0" applyFont="1" applyBorder="1" applyAlignment="1">
      <alignment vertical="top" wrapText="1"/>
    </xf>
    <xf numFmtId="0" fontId="0" fillId="0" borderId="0" xfId="0" applyFont="1" applyAlignment="1">
      <alignment vertical="top" wrapText="1"/>
    </xf>
    <xf numFmtId="0" fontId="5" fillId="2" borderId="1" xfId="0" applyFont="1" applyFill="1" applyBorder="1" applyAlignment="1">
      <alignment vertical="top"/>
    </xf>
    <xf numFmtId="0" fontId="5" fillId="0" borderId="0" xfId="0" applyFont="1" applyBorder="1" applyAlignment="1">
      <alignment vertical="center"/>
    </xf>
    <xf numFmtId="0" fontId="11" fillId="0" borderId="0" xfId="0" applyFont="1" applyAlignment="1">
      <alignment horizontal="left" vertical="center"/>
    </xf>
    <xf numFmtId="0" fontId="11" fillId="2" borderId="1" xfId="0" applyFont="1" applyFill="1" applyBorder="1" applyAlignment="1">
      <alignment vertical="top"/>
    </xf>
    <xf numFmtId="0" fontId="11" fillId="2" borderId="1" xfId="0" applyFont="1" applyFill="1" applyBorder="1">
      <alignment vertical="center"/>
    </xf>
    <xf numFmtId="0" fontId="11" fillId="2" borderId="1" xfId="0" applyFont="1" applyFill="1" applyBorder="1" applyAlignment="1">
      <alignment horizontal="center" vertical="center"/>
    </xf>
    <xf numFmtId="0" fontId="11" fillId="0" borderId="0" xfId="0" applyFont="1" applyFill="1" applyBorder="1" applyAlignment="1">
      <alignment vertical="top"/>
    </xf>
    <xf numFmtId="0" fontId="11" fillId="0" borderId="0" xfId="0" applyFont="1" applyFill="1" applyBorder="1">
      <alignment vertical="center"/>
    </xf>
    <xf numFmtId="0" fontId="11" fillId="0" borderId="0" xfId="0" applyFont="1" applyFill="1" applyBorder="1" applyAlignment="1">
      <alignment horizontal="center" vertical="center"/>
    </xf>
    <xf numFmtId="0" fontId="11" fillId="0" borderId="0" xfId="0" applyFont="1" applyFill="1">
      <alignment vertical="center"/>
    </xf>
    <xf numFmtId="0" fontId="11" fillId="0" borderId="0" xfId="0" applyFont="1" applyAlignment="1">
      <alignment vertical="top" wrapText="1"/>
    </xf>
    <xf numFmtId="0" fontId="24" fillId="12" borderId="0" xfId="0" applyFont="1" applyFill="1">
      <alignment vertical="center"/>
    </xf>
    <xf numFmtId="0" fontId="25" fillId="12" borderId="0" xfId="0" applyFont="1" applyFill="1">
      <alignment vertical="center"/>
    </xf>
    <xf numFmtId="0" fontId="11" fillId="4" borderId="1" xfId="0" applyFont="1" applyFill="1" applyBorder="1" applyAlignment="1">
      <alignment horizontal="center" vertical="center"/>
    </xf>
    <xf numFmtId="0" fontId="11" fillId="0" borderId="3" xfId="0" applyFont="1" applyBorder="1">
      <alignment vertical="center"/>
    </xf>
    <xf numFmtId="0" fontId="11" fillId="0" borderId="3" xfId="0" applyFont="1" applyBorder="1" applyAlignment="1">
      <alignment horizontal="center" vertical="center"/>
    </xf>
    <xf numFmtId="0" fontId="26" fillId="0" borderId="0" xfId="0" applyFont="1" applyAlignment="1">
      <alignment horizontal="center"/>
    </xf>
    <xf numFmtId="0" fontId="11" fillId="0" borderId="0" xfId="0" applyFont="1" applyBorder="1" applyAlignment="1">
      <alignment horizontal="center" vertical="center"/>
    </xf>
    <xf numFmtId="0" fontId="11" fillId="0" borderId="2" xfId="0" applyFont="1" applyBorder="1">
      <alignment vertical="center"/>
    </xf>
    <xf numFmtId="0" fontId="11" fillId="0" borderId="2" xfId="0" applyFont="1" applyBorder="1" applyAlignment="1">
      <alignment horizontal="center" vertical="center"/>
    </xf>
    <xf numFmtId="0" fontId="26" fillId="0" borderId="2" xfId="0" applyFont="1" applyBorder="1" applyAlignment="1">
      <alignment horizontal="center"/>
    </xf>
    <xf numFmtId="0" fontId="26" fillId="0" borderId="0" xfId="0" applyFont="1" applyBorder="1" applyAlignment="1">
      <alignment horizontal="center"/>
    </xf>
    <xf numFmtId="0" fontId="11" fillId="11" borderId="0" xfId="0" applyFont="1" applyFill="1" applyAlignment="1">
      <alignment horizontal="right" vertical="center"/>
    </xf>
    <xf numFmtId="0" fontId="11" fillId="11" borderId="0" xfId="0" applyFont="1" applyFill="1">
      <alignment vertical="center"/>
    </xf>
    <xf numFmtId="0" fontId="11" fillId="11" borderId="0" xfId="0" applyFont="1" applyFill="1" applyAlignment="1">
      <alignment horizontal="center" vertical="center"/>
    </xf>
    <xf numFmtId="0" fontId="11" fillId="0" borderId="6" xfId="0" applyFont="1" applyBorder="1">
      <alignment vertical="center"/>
    </xf>
    <xf numFmtId="0" fontId="12" fillId="0" borderId="3" xfId="0" quotePrefix="1" applyFont="1" applyBorder="1">
      <alignment vertical="center"/>
    </xf>
    <xf numFmtId="0" fontId="11" fillId="0" borderId="7" xfId="0" applyFont="1" applyBorder="1">
      <alignment vertical="center"/>
    </xf>
    <xf numFmtId="0" fontId="11" fillId="0" borderId="8" xfId="0" applyFont="1" applyBorder="1">
      <alignment vertical="center"/>
    </xf>
    <xf numFmtId="0" fontId="11" fillId="0" borderId="9" xfId="0" applyFont="1" applyBorder="1">
      <alignment vertical="center"/>
    </xf>
    <xf numFmtId="0" fontId="11" fillId="0" borderId="10" xfId="0" applyFont="1" applyBorder="1">
      <alignment vertical="center"/>
    </xf>
    <xf numFmtId="0" fontId="11" fillId="0" borderId="11" xfId="0" applyFont="1" applyBorder="1">
      <alignment vertical="center"/>
    </xf>
    <xf numFmtId="0" fontId="27" fillId="0" borderId="0" xfId="0" applyFont="1">
      <alignment vertical="center"/>
    </xf>
    <xf numFmtId="0" fontId="11" fillId="3" borderId="1" xfId="0" applyFont="1" applyFill="1" applyBorder="1" applyAlignment="1">
      <alignment horizontal="right" vertical="center"/>
    </xf>
    <xf numFmtId="0" fontId="11" fillId="3" borderId="1" xfId="0" applyFont="1" applyFill="1" applyBorder="1" applyAlignment="1">
      <alignment horizontal="center" vertical="center"/>
    </xf>
    <xf numFmtId="0" fontId="11" fillId="0" borderId="0" xfId="0" quotePrefix="1" applyFont="1">
      <alignment vertical="center"/>
    </xf>
    <xf numFmtId="0" fontId="11" fillId="0" borderId="1" xfId="0" applyFont="1" applyBorder="1" applyAlignment="1">
      <alignment horizontal="center" vertical="center"/>
    </xf>
    <xf numFmtId="0" fontId="11" fillId="3" borderId="0" xfId="0" applyFont="1" applyFill="1" applyAlignment="1">
      <alignment horizontal="center" vertical="center"/>
    </xf>
    <xf numFmtId="0" fontId="11" fillId="3" borderId="3"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2" xfId="0" applyFont="1" applyFill="1" applyBorder="1" applyAlignment="1">
      <alignment horizontal="center" vertical="center"/>
    </xf>
    <xf numFmtId="0" fontId="11" fillId="0" borderId="0" xfId="0" applyFont="1" applyFill="1" applyAlignment="1">
      <alignment horizontal="center" vertical="center"/>
    </xf>
    <xf numFmtId="0" fontId="29" fillId="0" borderId="0" xfId="0" applyFont="1">
      <alignment vertical="center"/>
    </xf>
    <xf numFmtId="176" fontId="11" fillId="3" borderId="1" xfId="0" applyNumberFormat="1" applyFont="1" applyFill="1" applyBorder="1" applyAlignment="1">
      <alignment horizontal="center" vertical="center"/>
    </xf>
    <xf numFmtId="0" fontId="11" fillId="0" borderId="0" xfId="0" applyNumberFormat="1" applyFont="1" applyAlignment="1">
      <alignment horizontal="center" vertical="center"/>
    </xf>
    <xf numFmtId="0" fontId="11" fillId="0" borderId="2" xfId="0" applyNumberFormat="1" applyFont="1" applyBorder="1" applyAlignment="1">
      <alignment horizontal="center" vertical="center"/>
    </xf>
    <xf numFmtId="0" fontId="29" fillId="0" borderId="0" xfId="0" applyFont="1" applyAlignment="1">
      <alignment horizontal="left" vertical="center"/>
    </xf>
    <xf numFmtId="0" fontId="29" fillId="0" borderId="0" xfId="0" quotePrefix="1" applyFont="1">
      <alignment vertical="center"/>
    </xf>
    <xf numFmtId="176" fontId="11" fillId="0" borderId="0" xfId="0" applyNumberFormat="1" applyFont="1" applyAlignment="1">
      <alignment horizontal="center" vertical="center"/>
    </xf>
    <xf numFmtId="176" fontId="11" fillId="0" borderId="2" xfId="0" applyNumberFormat="1" applyFont="1" applyBorder="1" applyAlignment="1">
      <alignment horizontal="center" vertical="center"/>
    </xf>
    <xf numFmtId="176" fontId="11" fillId="0" borderId="0" xfId="0" applyNumberFormat="1" applyFont="1" applyBorder="1" applyAlignment="1">
      <alignment horizontal="center" vertical="center"/>
    </xf>
    <xf numFmtId="0" fontId="11" fillId="0" borderId="2" xfId="0" applyFont="1" applyFill="1" applyBorder="1" applyAlignment="1">
      <alignment horizontal="center" vertical="center"/>
    </xf>
    <xf numFmtId="0" fontId="11" fillId="0" borderId="0" xfId="0" applyNumberFormat="1" applyFont="1" applyBorder="1" applyAlignment="1">
      <alignment horizontal="center" vertical="center"/>
    </xf>
    <xf numFmtId="0" fontId="31" fillId="0" borderId="1" xfId="0" applyNumberFormat="1" applyFont="1" applyBorder="1" applyAlignment="1">
      <alignment horizontal="center" vertical="center"/>
    </xf>
    <xf numFmtId="176" fontId="11" fillId="0" borderId="1" xfId="0" applyNumberFormat="1" applyFont="1" applyBorder="1" applyAlignment="1">
      <alignment horizontal="center" vertical="center"/>
    </xf>
    <xf numFmtId="0" fontId="31" fillId="0" borderId="1" xfId="0" applyFont="1" applyBorder="1" applyAlignment="1">
      <alignment horizontal="center" vertical="center"/>
    </xf>
    <xf numFmtId="0" fontId="11" fillId="0" borderId="1" xfId="0" applyNumberFormat="1" applyFont="1" applyBorder="1" applyAlignment="1">
      <alignment horizontal="center" vertical="center"/>
    </xf>
    <xf numFmtId="0" fontId="11" fillId="0" borderId="0" xfId="0" applyFont="1" applyFill="1" applyAlignment="1">
      <alignment horizontal="right" vertical="center"/>
    </xf>
    <xf numFmtId="0" fontId="11" fillId="0" borderId="1" xfId="0" applyNumberFormat="1" applyFont="1" applyBorder="1" applyAlignment="1">
      <alignment horizontal="right" vertical="center"/>
    </xf>
    <xf numFmtId="0" fontId="11" fillId="0" borderId="1" xfId="0" applyFont="1" applyFill="1" applyBorder="1" applyAlignment="1">
      <alignment horizontal="center" vertical="center"/>
    </xf>
    <xf numFmtId="0" fontId="11" fillId="0" borderId="1" xfId="0" applyFont="1" applyBorder="1" applyAlignment="1">
      <alignment horizontal="right" vertical="center"/>
    </xf>
    <xf numFmtId="0" fontId="30" fillId="0" borderId="4" xfId="0" applyFont="1" applyBorder="1" applyAlignment="1">
      <alignment horizontal="right" vertical="center"/>
    </xf>
    <xf numFmtId="11" fontId="11" fillId="0" borderId="5" xfId="0" applyNumberFormat="1" applyFont="1" applyBorder="1">
      <alignment vertical="center"/>
    </xf>
    <xf numFmtId="177" fontId="11" fillId="0" borderId="0" xfId="0" applyNumberFormat="1" applyFont="1" applyBorder="1">
      <alignment vertical="center"/>
    </xf>
    <xf numFmtId="177" fontId="11" fillId="0" borderId="2" xfId="0" applyNumberFormat="1" applyFont="1" applyBorder="1">
      <alignment vertical="center"/>
    </xf>
    <xf numFmtId="0" fontId="11" fillId="0" borderId="3" xfId="0" applyFont="1" applyFill="1" applyBorder="1" applyAlignment="1">
      <alignment vertical="top"/>
    </xf>
    <xf numFmtId="0" fontId="11" fillId="0" borderId="3" xfId="0" applyFont="1" applyFill="1" applyBorder="1" applyAlignment="1">
      <alignment vertical="top" wrapText="1"/>
    </xf>
    <xf numFmtId="0" fontId="11" fillId="0" borderId="0" xfId="0" applyFont="1" applyFill="1" applyBorder="1" applyAlignment="1">
      <alignment vertical="top" wrapText="1"/>
    </xf>
    <xf numFmtId="0" fontId="11" fillId="6" borderId="1" xfId="0" applyFont="1" applyFill="1" applyBorder="1" applyAlignment="1">
      <alignment horizontal="center" vertical="center"/>
    </xf>
    <xf numFmtId="0" fontId="30" fillId="3" borderId="1" xfId="0" quotePrefix="1" applyFont="1" applyFill="1" applyBorder="1" applyAlignment="1">
      <alignment horizontal="left" vertical="center"/>
    </xf>
    <xf numFmtId="0" fontId="11" fillId="3" borderId="0" xfId="0" applyFont="1" applyFill="1">
      <alignment vertical="center"/>
    </xf>
    <xf numFmtId="0" fontId="11" fillId="3" borderId="2" xfId="0" applyFont="1" applyFill="1" applyBorder="1">
      <alignment vertical="center"/>
    </xf>
    <xf numFmtId="0" fontId="11" fillId="3" borderId="0" xfId="0" applyFont="1" applyFill="1" applyBorder="1">
      <alignment vertical="center"/>
    </xf>
    <xf numFmtId="0" fontId="11" fillId="0" borderId="3" xfId="0" quotePrefix="1" applyFont="1" applyBorder="1">
      <alignment vertical="center"/>
    </xf>
    <xf numFmtId="0" fontId="11" fillId="0" borderId="0" xfId="0" applyFont="1" applyFill="1" applyBorder="1" applyAlignment="1">
      <alignment horizontal="right" vertical="center"/>
    </xf>
    <xf numFmtId="0" fontId="11" fillId="0" borderId="2" xfId="0" applyFont="1" applyFill="1" applyBorder="1" applyAlignment="1">
      <alignment horizontal="right" vertical="center"/>
    </xf>
    <xf numFmtId="0" fontId="29" fillId="0" borderId="1" xfId="0" applyFont="1" applyBorder="1" applyAlignment="1">
      <alignment horizontal="right" vertical="center"/>
    </xf>
    <xf numFmtId="0" fontId="11" fillId="0" borderId="3" xfId="0" applyFont="1" applyBorder="1" applyAlignment="1">
      <alignment horizontal="right" vertical="center"/>
    </xf>
    <xf numFmtId="0" fontId="11" fillId="0" borderId="0" xfId="0" applyFont="1" applyBorder="1" applyAlignment="1">
      <alignment horizontal="right" vertical="center"/>
    </xf>
    <xf numFmtId="0" fontId="11" fillId="0" borderId="2" xfId="0" applyFont="1" applyBorder="1" applyAlignment="1">
      <alignment horizontal="right" vertical="center"/>
    </xf>
    <xf numFmtId="0" fontId="11" fillId="3" borderId="1" xfId="0" applyNumberFormat="1" applyFont="1" applyFill="1" applyBorder="1" applyAlignment="1">
      <alignment horizontal="center" vertical="center"/>
    </xf>
    <xf numFmtId="0" fontId="26" fillId="3" borderId="1" xfId="0" applyFont="1" applyFill="1" applyBorder="1" applyAlignment="1">
      <alignment horizontal="center"/>
    </xf>
    <xf numFmtId="0" fontId="30" fillId="0" borderId="1" xfId="0" quotePrefix="1" applyFont="1" applyBorder="1" applyAlignment="1">
      <alignment horizontal="right" vertical="center"/>
    </xf>
    <xf numFmtId="178" fontId="11" fillId="0" borderId="1" xfId="0" applyNumberFormat="1" applyFont="1" applyBorder="1" applyAlignment="1">
      <alignment horizontal="center" vertical="center"/>
    </xf>
    <xf numFmtId="178" fontId="26" fillId="0" borderId="1" xfId="0" applyNumberFormat="1" applyFont="1" applyBorder="1" applyAlignment="1">
      <alignment horizontal="center" vertical="center"/>
    </xf>
    <xf numFmtId="0" fontId="11" fillId="3" borderId="0" xfId="0" quotePrefix="1" applyFont="1" applyFill="1" applyAlignment="1">
      <alignment horizontal="right" vertical="center"/>
    </xf>
    <xf numFmtId="0" fontId="11" fillId="5" borderId="1" xfId="0" applyFont="1" applyFill="1" applyBorder="1" applyAlignment="1">
      <alignment horizontal="center" vertical="center"/>
    </xf>
    <xf numFmtId="0" fontId="11" fillId="5" borderId="0" xfId="0" applyFont="1" applyFill="1" applyAlignment="1">
      <alignment horizontal="center" vertical="center"/>
    </xf>
    <xf numFmtId="0" fontId="11" fillId="5" borderId="2" xfId="0" quotePrefix="1" applyFont="1" applyFill="1" applyBorder="1" applyAlignment="1">
      <alignment horizontal="center" vertical="center"/>
    </xf>
    <xf numFmtId="0" fontId="11" fillId="5" borderId="0" xfId="0" applyFont="1" applyFill="1" applyAlignment="1">
      <alignment horizontal="left" vertical="center"/>
    </xf>
    <xf numFmtId="0" fontId="11" fillId="3" borderId="0" xfId="0" applyFont="1" applyFill="1" applyAlignment="1">
      <alignment horizontal="left" vertical="center"/>
    </xf>
    <xf numFmtId="0" fontId="11" fillId="5" borderId="2" xfId="0" quotePrefix="1" applyFont="1" applyFill="1" applyBorder="1" applyAlignment="1">
      <alignment horizontal="left" vertical="center"/>
    </xf>
    <xf numFmtId="0" fontId="11" fillId="3" borderId="2" xfId="0" applyFont="1" applyFill="1" applyBorder="1" applyAlignment="1">
      <alignment horizontal="left" vertical="center"/>
    </xf>
    <xf numFmtId="0" fontId="11" fillId="3" borderId="2" xfId="0" quotePrefix="1" applyFont="1" applyFill="1" applyBorder="1" applyAlignment="1">
      <alignment horizontal="right" vertical="center"/>
    </xf>
    <xf numFmtId="0" fontId="11" fillId="5" borderId="0" xfId="0" applyFont="1" applyFill="1" applyBorder="1" applyAlignment="1">
      <alignment horizontal="left" vertical="center"/>
    </xf>
    <xf numFmtId="0" fontId="11" fillId="3" borderId="2" xfId="0" quotePrefix="1" applyFont="1" applyFill="1" applyBorder="1" applyAlignment="1">
      <alignment horizontal="left" vertical="center"/>
    </xf>
    <xf numFmtId="0" fontId="11" fillId="5" borderId="0" xfId="0" quotePrefix="1" applyFont="1" applyFill="1" applyAlignment="1">
      <alignment horizontal="center" vertical="center"/>
    </xf>
    <xf numFmtId="0" fontId="30" fillId="0" borderId="0" xfId="0" applyFont="1" applyAlignment="1">
      <alignment horizontal="right" vertical="center"/>
    </xf>
    <xf numFmtId="0" fontId="30" fillId="0" borderId="0" xfId="0" applyFont="1">
      <alignment vertical="center"/>
    </xf>
    <xf numFmtId="0" fontId="11" fillId="3" borderId="2" xfId="0" applyFont="1" applyFill="1" applyBorder="1" applyAlignment="1">
      <alignment horizontal="left" vertical="center" wrapText="1"/>
    </xf>
    <xf numFmtId="0" fontId="11" fillId="0" borderId="0" xfId="0" applyFont="1" applyAlignment="1">
      <alignment vertical="center"/>
    </xf>
    <xf numFmtId="0" fontId="11" fillId="2" borderId="1" xfId="0" applyFont="1" applyFill="1" applyBorder="1" applyAlignment="1">
      <alignment vertical="center"/>
    </xf>
    <xf numFmtId="0" fontId="11" fillId="0" borderId="0" xfId="0" applyFont="1" applyAlignment="1">
      <alignment vertical="top"/>
    </xf>
    <xf numFmtId="0" fontId="11" fillId="0" borderId="6" xfId="0" applyFont="1" applyBorder="1" applyAlignment="1">
      <alignment vertical="center"/>
    </xf>
    <xf numFmtId="0" fontId="11" fillId="0" borderId="3" xfId="0" applyFont="1" applyBorder="1" applyAlignment="1">
      <alignment vertical="center"/>
    </xf>
    <xf numFmtId="0" fontId="11" fillId="0" borderId="3" xfId="0" quotePrefix="1" applyFont="1" applyBorder="1" applyAlignment="1">
      <alignment vertical="top"/>
    </xf>
    <xf numFmtId="0" fontId="11" fillId="0" borderId="7" xfId="0" applyFont="1" applyBorder="1" applyAlignment="1">
      <alignment vertical="center"/>
    </xf>
    <xf numFmtId="0" fontId="11" fillId="0" borderId="8" xfId="0" applyFont="1" applyBorder="1" applyAlignment="1">
      <alignment vertical="center"/>
    </xf>
    <xf numFmtId="0" fontId="11" fillId="0" borderId="0" xfId="0" applyFont="1" applyBorder="1" applyAlignment="1">
      <alignment vertical="center"/>
    </xf>
    <xf numFmtId="0" fontId="11" fillId="0" borderId="9" xfId="0" applyFont="1" applyBorder="1" applyAlignment="1">
      <alignment vertical="center"/>
    </xf>
    <xf numFmtId="0" fontId="11" fillId="0" borderId="10" xfId="0" applyFont="1" applyBorder="1" applyAlignment="1">
      <alignment vertical="center"/>
    </xf>
    <xf numFmtId="0" fontId="11" fillId="0" borderId="2" xfId="0" applyFont="1" applyBorder="1" applyAlignment="1">
      <alignment vertical="center"/>
    </xf>
    <xf numFmtId="0" fontId="11" fillId="0" borderId="11" xfId="0" applyFont="1" applyBorder="1" applyAlignment="1">
      <alignment vertical="center"/>
    </xf>
    <xf numFmtId="0" fontId="11" fillId="0" borderId="0" xfId="0" applyFont="1" applyBorder="1" applyAlignment="1">
      <alignment vertical="top"/>
    </xf>
    <xf numFmtId="0" fontId="11" fillId="0" borderId="9" xfId="0" applyFont="1" applyBorder="1" applyAlignment="1">
      <alignment horizontal="center" vertical="center"/>
    </xf>
    <xf numFmtId="0" fontId="12" fillId="0" borderId="0" xfId="0" applyFont="1" applyBorder="1" applyAlignment="1">
      <alignment vertical="top"/>
    </xf>
    <xf numFmtId="0" fontId="11" fillId="0" borderId="2" xfId="0" quotePrefix="1" applyFont="1" applyBorder="1" applyAlignment="1">
      <alignment vertical="center"/>
    </xf>
    <xf numFmtId="0" fontId="12" fillId="0" borderId="3" xfId="0" quotePrefix="1" applyFont="1" applyBorder="1" applyAlignment="1">
      <alignment vertical="top"/>
    </xf>
    <xf numFmtId="0" fontId="11" fillId="4" borderId="0" xfId="0" applyFont="1" applyFill="1" applyAlignment="1">
      <alignment horizontal="left" vertical="center"/>
    </xf>
    <xf numFmtId="0" fontId="11" fillId="4" borderId="0" xfId="0" applyFont="1" applyFill="1" applyAlignment="1">
      <alignment vertical="center"/>
    </xf>
    <xf numFmtId="0" fontId="11" fillId="4" borderId="0" xfId="0" applyFont="1" applyFill="1" applyBorder="1" applyAlignment="1">
      <alignment vertical="center"/>
    </xf>
    <xf numFmtId="0" fontId="11" fillId="4" borderId="0" xfId="0" applyFont="1" applyFill="1" applyBorder="1" applyAlignment="1">
      <alignment horizontal="center" vertical="center"/>
    </xf>
    <xf numFmtId="0" fontId="11" fillId="4" borderId="0" xfId="0" applyFont="1" applyFill="1" applyAlignment="1">
      <alignment horizontal="center" vertical="center"/>
    </xf>
    <xf numFmtId="0" fontId="11" fillId="7" borderId="1" xfId="0" applyFont="1" applyFill="1" applyBorder="1" applyAlignment="1">
      <alignment horizontal="left" vertical="center"/>
    </xf>
    <xf numFmtId="0" fontId="11" fillId="7" borderId="3" xfId="0" applyFont="1" applyFill="1" applyBorder="1" applyAlignment="1">
      <alignment horizontal="center" vertical="center"/>
    </xf>
    <xf numFmtId="0" fontId="11" fillId="7" borderId="0" xfId="0" applyFont="1" applyFill="1" applyBorder="1" applyAlignment="1">
      <alignment horizontal="center" vertical="center"/>
    </xf>
    <xf numFmtId="0" fontId="30" fillId="0" borderId="0" xfId="0" applyFont="1" applyAlignment="1">
      <alignment horizontal="center" vertical="center"/>
    </xf>
    <xf numFmtId="0" fontId="30" fillId="3" borderId="0" xfId="0" applyFont="1" applyFill="1" applyBorder="1" applyAlignment="1">
      <alignment horizontal="center" vertical="center"/>
    </xf>
    <xf numFmtId="0" fontId="30" fillId="7" borderId="0"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1" xfId="0" applyFont="1" applyFill="1" applyBorder="1" applyAlignment="1">
      <alignment horizontal="center" vertical="center"/>
    </xf>
    <xf numFmtId="0" fontId="11" fillId="0" borderId="1" xfId="0" applyFont="1" applyBorder="1" applyAlignment="1">
      <alignment vertical="center"/>
    </xf>
    <xf numFmtId="0" fontId="11" fillId="7" borderId="0" xfId="0" applyFont="1" applyFill="1" applyAlignment="1">
      <alignment horizontal="center" vertical="center"/>
    </xf>
    <xf numFmtId="0" fontId="11" fillId="11" borderId="0" xfId="0" applyFont="1" applyFill="1" applyAlignment="1">
      <alignment vertical="center"/>
    </xf>
    <xf numFmtId="0" fontId="11" fillId="3" borderId="1" xfId="0" applyFont="1" applyFill="1" applyBorder="1" applyAlignment="1">
      <alignment vertical="center"/>
    </xf>
    <xf numFmtId="0" fontId="11" fillId="3" borderId="0" xfId="0" applyFont="1" applyFill="1" applyAlignment="1">
      <alignment vertical="center"/>
    </xf>
    <xf numFmtId="0" fontId="11" fillId="3" borderId="0" xfId="0" applyFont="1" applyFill="1" applyBorder="1" applyAlignment="1">
      <alignment vertical="center"/>
    </xf>
    <xf numFmtId="0" fontId="11" fillId="3" borderId="2" xfId="0" applyFont="1" applyFill="1" applyBorder="1" applyAlignment="1">
      <alignment vertical="center"/>
    </xf>
    <xf numFmtId="0" fontId="11" fillId="3" borderId="0" xfId="0" applyFont="1" applyFill="1" applyAlignment="1">
      <alignment horizontal="right" vertical="center"/>
    </xf>
    <xf numFmtId="0" fontId="11" fillId="0" borderId="0" xfId="0" applyFont="1" applyBorder="1" applyAlignment="1">
      <alignment vertical="top" wrapText="1"/>
    </xf>
    <xf numFmtId="0" fontId="12" fillId="0" borderId="0" xfId="0" applyFont="1" applyBorder="1" applyAlignment="1">
      <alignment vertical="top" wrapText="1"/>
    </xf>
    <xf numFmtId="0" fontId="11" fillId="3" borderId="0" xfId="0" quotePrefix="1" applyFont="1" applyFill="1" applyAlignment="1">
      <alignment horizontal="left" vertical="center"/>
    </xf>
    <xf numFmtId="0" fontId="11" fillId="0" borderId="3" xfId="0" applyFont="1" applyFill="1" applyBorder="1">
      <alignment vertical="center"/>
    </xf>
    <xf numFmtId="0" fontId="12" fillId="0" borderId="3" xfId="0" quotePrefix="1" applyFont="1" applyFill="1" applyBorder="1">
      <alignment vertical="center"/>
    </xf>
    <xf numFmtId="0" fontId="11" fillId="0" borderId="3" xfId="0" applyFont="1" applyFill="1" applyBorder="1" applyAlignment="1">
      <alignment horizontal="center" vertical="center"/>
    </xf>
    <xf numFmtId="0" fontId="11" fillId="0" borderId="2" xfId="0" applyFont="1" applyFill="1" applyBorder="1">
      <alignment vertical="center"/>
    </xf>
    <xf numFmtId="0" fontId="11" fillId="3" borderId="1" xfId="0" quotePrefix="1" applyFont="1" applyFill="1" applyBorder="1" applyAlignment="1">
      <alignment horizontal="left" vertical="center"/>
    </xf>
    <xf numFmtId="0" fontId="11" fillId="3" borderId="0" xfId="0" quotePrefix="1" applyFont="1" applyFill="1" applyAlignment="1">
      <alignment horizontal="center" vertical="center"/>
    </xf>
    <xf numFmtId="0" fontId="11" fillId="3" borderId="3" xfId="0" quotePrefix="1" applyFont="1" applyFill="1" applyBorder="1" applyAlignment="1">
      <alignment horizontal="center" vertical="center"/>
    </xf>
    <xf numFmtId="0" fontId="11" fillId="3" borderId="0" xfId="0" quotePrefix="1" applyFont="1" applyFill="1" applyBorder="1" applyAlignment="1">
      <alignment horizontal="center" vertical="center"/>
    </xf>
    <xf numFmtId="0" fontId="11" fillId="3" borderId="2" xfId="0" quotePrefix="1" applyFont="1" applyFill="1" applyBorder="1" applyAlignment="1">
      <alignment horizontal="center" vertical="center"/>
    </xf>
    <xf numFmtId="0" fontId="11" fillId="5" borderId="2" xfId="0" applyFont="1" applyFill="1" applyBorder="1" applyAlignment="1">
      <alignment horizontal="center" vertical="center"/>
    </xf>
    <xf numFmtId="0" fontId="11" fillId="0" borderId="0" xfId="0" quotePrefix="1" applyFont="1" applyAlignment="1">
      <alignment horizontal="left" vertical="center"/>
    </xf>
    <xf numFmtId="0" fontId="11" fillId="9" borderId="1" xfId="0" applyFont="1" applyFill="1" applyBorder="1" applyAlignment="1">
      <alignment horizontal="center" vertical="center"/>
    </xf>
    <xf numFmtId="0" fontId="11" fillId="0" borderId="0" xfId="0" applyFont="1" applyFill="1" applyBorder="1" applyAlignment="1">
      <alignment horizontal="left" vertical="center"/>
    </xf>
    <xf numFmtId="0" fontId="11" fillId="0" borderId="3" xfId="0" quotePrefix="1" applyFont="1" applyBorder="1" applyAlignment="1">
      <alignment horizontal="center" vertical="center"/>
    </xf>
    <xf numFmtId="0" fontId="11" fillId="0" borderId="0" xfId="0" quotePrefix="1" applyFont="1" applyBorder="1" applyAlignment="1">
      <alignment horizontal="center" vertical="center"/>
    </xf>
    <xf numFmtId="0" fontId="11" fillId="0" borderId="2" xfId="0" quotePrefix="1" applyFont="1" applyBorder="1" applyAlignment="1">
      <alignment horizontal="center" vertical="center"/>
    </xf>
    <xf numFmtId="0" fontId="11" fillId="0" borderId="0" xfId="0" quotePrefix="1" applyFont="1" applyFill="1" applyBorder="1" applyAlignment="1">
      <alignment horizontal="center" vertical="center"/>
    </xf>
    <xf numFmtId="0" fontId="35" fillId="0" borderId="0" xfId="1" applyFont="1">
      <alignment vertical="center"/>
    </xf>
    <xf numFmtId="0" fontId="36" fillId="0" borderId="0" xfId="0" applyFont="1" applyAlignment="1">
      <alignment horizontal="center" vertical="center"/>
    </xf>
    <xf numFmtId="0" fontId="27" fillId="0" borderId="0" xfId="0" applyFont="1" applyAlignment="1">
      <alignment horizontal="center" vertical="center"/>
    </xf>
    <xf numFmtId="0" fontId="11" fillId="4" borderId="3" xfId="0" applyFont="1" applyFill="1" applyBorder="1">
      <alignment vertical="center"/>
    </xf>
    <xf numFmtId="0" fontId="11" fillId="4" borderId="3" xfId="0" applyFont="1" applyFill="1" applyBorder="1" applyAlignment="1">
      <alignment horizontal="center" vertical="center" wrapText="1"/>
    </xf>
    <xf numFmtId="0" fontId="11" fillId="8" borderId="2" xfId="0" applyFont="1" applyFill="1" applyBorder="1">
      <alignment vertical="center"/>
    </xf>
    <xf numFmtId="0" fontId="11" fillId="8" borderId="2" xfId="0" applyFont="1" applyFill="1" applyBorder="1" applyAlignment="1">
      <alignment horizontal="center" vertical="center" wrapText="1"/>
    </xf>
    <xf numFmtId="0" fontId="11" fillId="9" borderId="0" xfId="0" applyFont="1" applyFill="1">
      <alignment vertical="center"/>
    </xf>
    <xf numFmtId="0" fontId="11" fillId="9" borderId="0" xfId="0" applyFont="1" applyFill="1" applyAlignment="1">
      <alignment horizontal="center" vertical="center"/>
    </xf>
    <xf numFmtId="0" fontId="11" fillId="9" borderId="3" xfId="0" applyFont="1" applyFill="1" applyBorder="1" applyAlignment="1">
      <alignment horizontal="center" vertical="center"/>
    </xf>
    <xf numFmtId="0" fontId="11" fillId="10" borderId="0" xfId="0" applyFont="1" applyFill="1" applyAlignment="1">
      <alignment horizontal="center" vertical="center"/>
    </xf>
    <xf numFmtId="0" fontId="30" fillId="9" borderId="0" xfId="0" applyFont="1" applyFill="1" applyAlignment="1">
      <alignment horizontal="center" vertical="center"/>
    </xf>
    <xf numFmtId="0" fontId="11" fillId="9" borderId="2" xfId="0" applyFont="1" applyFill="1" applyBorder="1">
      <alignment vertical="center"/>
    </xf>
    <xf numFmtId="0" fontId="11" fillId="9" borderId="2" xfId="0" applyFont="1" applyFill="1" applyBorder="1" applyAlignment="1">
      <alignment horizontal="center" vertical="center"/>
    </xf>
    <xf numFmtId="0" fontId="26" fillId="0" borderId="0" xfId="0" applyFont="1">
      <alignment vertical="center"/>
    </xf>
    <xf numFmtId="0" fontId="5" fillId="0" borderId="0" xfId="0" applyFont="1" applyAlignment="1">
      <alignment horizontal="center" vertical="center"/>
    </xf>
    <xf numFmtId="0" fontId="5" fillId="5" borderId="1" xfId="0" applyFont="1" applyFill="1" applyBorder="1">
      <alignment vertical="center"/>
    </xf>
    <xf numFmtId="0" fontId="5" fillId="5" borderId="1" xfId="0" applyFont="1" applyFill="1" applyBorder="1" applyAlignment="1">
      <alignment horizontal="center" vertical="center"/>
    </xf>
    <xf numFmtId="0" fontId="5" fillId="4" borderId="0" xfId="0" applyFont="1" applyFill="1">
      <alignment vertical="center"/>
    </xf>
    <xf numFmtId="0" fontId="5" fillId="4" borderId="0" xfId="0" applyFont="1" applyFill="1" applyAlignment="1">
      <alignment horizontal="center" vertical="center"/>
    </xf>
    <xf numFmtId="0" fontId="5" fillId="0" borderId="0" xfId="0" quotePrefix="1" applyFont="1">
      <alignment vertical="center"/>
    </xf>
    <xf numFmtId="0" fontId="5" fillId="0" borderId="0" xfId="0" applyFont="1" applyFill="1" applyBorder="1">
      <alignment vertical="center"/>
    </xf>
    <xf numFmtId="0" fontId="5" fillId="0" borderId="0" xfId="0" applyFont="1" applyFill="1" applyBorder="1" applyAlignment="1">
      <alignment horizontal="center" vertical="center"/>
    </xf>
    <xf numFmtId="0" fontId="5" fillId="0" borderId="0" xfId="0" applyFont="1" applyBorder="1">
      <alignment vertical="center"/>
    </xf>
    <xf numFmtId="49" fontId="5" fillId="0" borderId="0" xfId="0" applyNumberFormat="1" applyFont="1">
      <alignment vertical="center"/>
    </xf>
    <xf numFmtId="0" fontId="5" fillId="0" borderId="2" xfId="0" applyFont="1" applyBorder="1">
      <alignment vertical="center"/>
    </xf>
    <xf numFmtId="49" fontId="5" fillId="0" borderId="2" xfId="0" applyNumberFormat="1" applyFont="1" applyBorder="1">
      <alignment vertical="center"/>
    </xf>
    <xf numFmtId="0" fontId="5" fillId="0" borderId="2" xfId="0" applyFont="1" applyBorder="1" applyAlignment="1">
      <alignment horizontal="center" vertical="center"/>
    </xf>
    <xf numFmtId="0" fontId="37" fillId="0" borderId="0" xfId="0" applyFont="1" applyAlignment="1">
      <alignment horizontal="right" vertical="center"/>
    </xf>
    <xf numFmtId="0" fontId="38" fillId="0" borderId="0" xfId="0" applyFont="1">
      <alignment vertical="center"/>
    </xf>
    <xf numFmtId="0" fontId="20" fillId="0" borderId="0" xfId="0" applyFont="1">
      <alignment vertical="center"/>
    </xf>
    <xf numFmtId="0" fontId="5" fillId="3" borderId="1" xfId="0" applyFont="1" applyFill="1" applyBorder="1">
      <alignment vertical="center"/>
    </xf>
    <xf numFmtId="0" fontId="5" fillId="3" borderId="1" xfId="0" applyFont="1" applyFill="1" applyBorder="1" applyAlignment="1">
      <alignment horizontal="center" vertical="center"/>
    </xf>
    <xf numFmtId="0" fontId="5" fillId="0" borderId="0" xfId="0" applyFont="1" applyBorder="1" applyAlignment="1">
      <alignment horizontal="center" vertical="center"/>
    </xf>
    <xf numFmtId="0" fontId="5" fillId="0" borderId="0" xfId="0" applyFont="1" applyFill="1" applyBorder="1" applyAlignment="1">
      <alignment horizontal="left" vertical="center"/>
    </xf>
    <xf numFmtId="0" fontId="5" fillId="0" borderId="0" xfId="0" quotePrefix="1" applyFont="1" applyFill="1" applyBorder="1" applyAlignment="1">
      <alignment horizontal="left" vertical="center"/>
    </xf>
    <xf numFmtId="0" fontId="37" fillId="0" borderId="1" xfId="0" applyFont="1" applyBorder="1">
      <alignment vertical="center"/>
    </xf>
    <xf numFmtId="0" fontId="39" fillId="0" borderId="0" xfId="0" applyFont="1">
      <alignment vertical="center"/>
    </xf>
    <xf numFmtId="0" fontId="37" fillId="0" borderId="0" xfId="0" applyFont="1" applyBorder="1">
      <alignment vertical="center"/>
    </xf>
    <xf numFmtId="0" fontId="37" fillId="0" borderId="0" xfId="0" applyFont="1">
      <alignment vertical="center"/>
    </xf>
    <xf numFmtId="0" fontId="37" fillId="0" borderId="0" xfId="0" applyFont="1" applyAlignment="1">
      <alignment horizontal="center" vertical="center"/>
    </xf>
    <xf numFmtId="0" fontId="39" fillId="0" borderId="0" xfId="0" applyFont="1" applyBorder="1">
      <alignment vertical="center"/>
    </xf>
    <xf numFmtId="0" fontId="39" fillId="0" borderId="0" xfId="0" quotePrefix="1" applyFont="1" applyBorder="1">
      <alignment vertical="center"/>
    </xf>
    <xf numFmtId="0" fontId="39" fillId="0" borderId="2" xfId="0" applyFont="1" applyBorder="1">
      <alignment vertical="center"/>
    </xf>
    <xf numFmtId="0" fontId="39" fillId="0" borderId="2" xfId="0" quotePrefix="1" applyFont="1" applyBorder="1">
      <alignment vertical="center"/>
    </xf>
    <xf numFmtId="49" fontId="5" fillId="0" borderId="0" xfId="0" applyNumberFormat="1" applyFont="1" applyBorder="1">
      <alignment vertical="center"/>
    </xf>
    <xf numFmtId="0" fontId="5" fillId="0" borderId="0" xfId="0" quotePrefix="1" applyFont="1" applyBorder="1">
      <alignment vertical="center"/>
    </xf>
    <xf numFmtId="14" fontId="37" fillId="0" borderId="0" xfId="0" applyNumberFormat="1" applyFont="1" applyAlignment="1">
      <alignment vertical="center"/>
    </xf>
    <xf numFmtId="180" fontId="5" fillId="0" borderId="0" xfId="0" applyNumberFormat="1" applyFont="1" applyAlignment="1">
      <alignment horizontal="left" vertical="center"/>
    </xf>
    <xf numFmtId="0" fontId="5" fillId="0" borderId="0" xfId="0" applyFont="1" applyAlignment="1">
      <alignment vertical="center" wrapText="1"/>
    </xf>
    <xf numFmtId="0" fontId="8" fillId="0" borderId="0" xfId="0" applyFont="1" applyAlignment="1">
      <alignment horizontal="left" vertical="center"/>
    </xf>
    <xf numFmtId="0" fontId="40"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horizontal="center" vertical="center"/>
    </xf>
    <xf numFmtId="0" fontId="5" fillId="0" borderId="0" xfId="0" quotePrefix="1" applyFont="1" applyAlignment="1">
      <alignment horizontal="right" vertical="center"/>
    </xf>
    <xf numFmtId="0" fontId="5" fillId="0" borderId="0" xfId="0" quotePrefix="1" applyFont="1" applyBorder="1" applyAlignment="1">
      <alignment horizontal="right" vertical="center"/>
    </xf>
    <xf numFmtId="0" fontId="5" fillId="0" borderId="0" xfId="0" applyFont="1" applyBorder="1" applyAlignment="1">
      <alignment horizontal="right" vertical="center"/>
    </xf>
    <xf numFmtId="0" fontId="5" fillId="0" borderId="2" xfId="0" applyFont="1" applyBorder="1" applyAlignment="1">
      <alignment horizontal="right" vertical="center"/>
    </xf>
    <xf numFmtId="0" fontId="5" fillId="0" borderId="0" xfId="0" quotePrefix="1" applyFont="1"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37" fillId="0" borderId="0" xfId="0" applyFont="1" applyAlignment="1">
      <alignment horizontal="left" vertical="center" wrapText="1"/>
    </xf>
    <xf numFmtId="0" fontId="5" fillId="0" borderId="0" xfId="0" applyFont="1" applyBorder="1" applyAlignment="1">
      <alignment horizontal="left" vertical="center"/>
    </xf>
    <xf numFmtId="0" fontId="5" fillId="0" borderId="2" xfId="0" applyFont="1" applyBorder="1" applyAlignment="1">
      <alignment horizontal="left" vertical="center"/>
    </xf>
    <xf numFmtId="0" fontId="5" fillId="3" borderId="1" xfId="0" applyFont="1" applyFill="1" applyBorder="1" applyAlignment="1">
      <alignment horizontal="left" vertical="center"/>
    </xf>
    <xf numFmtId="0" fontId="23" fillId="0" borderId="1" xfId="0" quotePrefix="1" applyFont="1" applyBorder="1" applyAlignment="1">
      <alignment horizontal="left" vertical="top" wrapText="1"/>
    </xf>
    <xf numFmtId="0" fontId="5" fillId="0" borderId="3" xfId="0" applyFont="1" applyBorder="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5" fillId="0" borderId="3" xfId="0" applyFont="1" applyFill="1" applyBorder="1" applyAlignment="1">
      <alignment horizontal="left" vertical="top" wrapText="1"/>
    </xf>
    <xf numFmtId="0" fontId="5" fillId="0" borderId="2" xfId="0" applyFont="1" applyFill="1" applyBorder="1" applyAlignment="1">
      <alignment horizontal="left" vertical="top" wrapText="1"/>
    </xf>
    <xf numFmtId="0" fontId="23" fillId="0" borderId="1" xfId="0" applyFont="1" applyBorder="1" applyAlignment="1">
      <alignment horizontal="left" vertical="top" wrapText="1"/>
    </xf>
    <xf numFmtId="0" fontId="5" fillId="0" borderId="0" xfId="0" applyFont="1" applyFill="1" applyBorder="1" applyAlignment="1">
      <alignment horizontal="left" vertical="top" wrapText="1"/>
    </xf>
    <xf numFmtId="0" fontId="14" fillId="0" borderId="2" xfId="0" applyFont="1" applyBorder="1" applyAlignment="1">
      <alignment horizontal="left" vertical="top" wrapText="1"/>
    </xf>
    <xf numFmtId="0" fontId="11" fillId="0" borderId="0" xfId="0" applyFont="1" applyAlignment="1">
      <alignment horizontal="left" vertical="top" wrapText="1"/>
    </xf>
    <xf numFmtId="0" fontId="11" fillId="0" borderId="0" xfId="0" applyFont="1" applyBorder="1" applyAlignment="1">
      <alignment horizontal="center" vertical="center"/>
    </xf>
    <xf numFmtId="0" fontId="11" fillId="0" borderId="3" xfId="0" applyFont="1" applyBorder="1" applyAlignment="1">
      <alignment horizontal="center" vertical="center"/>
    </xf>
    <xf numFmtId="0" fontId="11" fillId="0" borderId="0" xfId="0" applyFont="1" applyAlignment="1">
      <alignment horizontal="left" vertical="center" wrapText="1"/>
    </xf>
    <xf numFmtId="0" fontId="30" fillId="0" borderId="1" xfId="0" quotePrefix="1" applyFont="1" applyBorder="1" applyAlignment="1">
      <alignment horizontal="center" vertical="center"/>
    </xf>
    <xf numFmtId="0" fontId="30" fillId="0" borderId="1" xfId="0" applyFont="1" applyBorder="1" applyAlignment="1">
      <alignment horizontal="center" vertical="center"/>
    </xf>
    <xf numFmtId="0" fontId="11" fillId="3" borderId="2" xfId="0" applyFont="1" applyFill="1" applyBorder="1" applyAlignment="1">
      <alignment horizontal="left" vertical="center" wrapText="1"/>
    </xf>
    <xf numFmtId="0" fontId="11" fillId="0" borderId="0" xfId="0" applyFont="1" applyFill="1" applyBorder="1" applyAlignment="1">
      <alignment horizontal="left" vertical="top" wrapText="1"/>
    </xf>
    <xf numFmtId="0" fontId="11" fillId="5" borderId="0" xfId="0" applyFont="1" applyFill="1" applyAlignment="1">
      <alignment horizontal="left" vertical="top" wrapText="1"/>
    </xf>
    <xf numFmtId="0" fontId="11" fillId="3" borderId="2" xfId="0" applyFont="1" applyFill="1" applyBorder="1" applyAlignment="1">
      <alignment horizontal="left" vertical="top" wrapText="1"/>
    </xf>
    <xf numFmtId="179" fontId="11" fillId="3" borderId="2" xfId="0" applyNumberFormat="1" applyFont="1" applyFill="1" applyBorder="1" applyAlignment="1">
      <alignment horizontal="left" vertical="center" wrapText="1"/>
    </xf>
  </cellXfs>
  <cellStyles count="2">
    <cellStyle name="ハイパーリンク" xfId="1" builtinId="8"/>
    <cellStyle name="標準" xfId="0" builtinId="0"/>
  </cellStyles>
  <dxfs count="112">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
      <fill>
        <patternFill patternType="solid">
          <fgColor rgb="FFFFD320"/>
          <bgColor rgb="FFFFD320"/>
        </patternFill>
      </fill>
    </dxf>
  </dxfs>
  <tableStyles count="0" defaultTableStyle="TableStyleMedium2" defaultPivotStyle="PivotStyleLight16"/>
  <colors>
    <mruColors>
      <color rgb="FF0000FF"/>
      <color rgb="FFFFFFCC"/>
      <color rgb="FFFFCCCC"/>
      <color rgb="FFF8F8F8"/>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tshimizu@affrc.go.jp" TargetMode="External"/><Relationship Id="rId2" Type="http://schemas.openxmlformats.org/officeDocument/2006/relationships/hyperlink" Target="mailto:tokurou.shimizu@gmail.com" TargetMode="External"/><Relationship Id="rId1" Type="http://schemas.openxmlformats.org/officeDocument/2006/relationships/hyperlink" Target="https://www.gnu.org/licenses/gpl-3.0.en.html"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illumina.com/documents/products/technotes/technote_topbot.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2:AI219"/>
  <sheetViews>
    <sheetView workbookViewId="0"/>
  </sheetViews>
  <sheetFormatPr defaultRowHeight="14.25" x14ac:dyDescent="0.15"/>
  <cols>
    <col min="1" max="1" width="9" style="3" customWidth="1"/>
    <col min="2" max="2" width="14.125" style="3" customWidth="1"/>
    <col min="3" max="3" width="11.625" style="3" bestFit="1" customWidth="1"/>
    <col min="4" max="7" width="9" style="3"/>
    <col min="8" max="8" width="26.5" style="3" customWidth="1"/>
    <col min="9" max="13" width="6.25" style="3" customWidth="1"/>
    <col min="14" max="15" width="9" style="3"/>
    <col min="16" max="16" width="12.625" style="3" customWidth="1"/>
    <col min="17" max="18" width="9" style="3"/>
    <col min="19" max="19" width="51" style="3" customWidth="1"/>
    <col min="20" max="21" width="9" style="3"/>
    <col min="22" max="22" width="5.5" style="3" customWidth="1"/>
    <col min="23" max="23" width="9.25" style="3" bestFit="1" customWidth="1"/>
    <col min="24" max="28" width="9" style="3"/>
    <col min="29" max="34" width="9" style="218"/>
    <col min="35" max="16384" width="9" style="3"/>
  </cols>
  <sheetData>
    <row r="2" spans="2:14" ht="18" x14ac:dyDescent="0.15">
      <c r="B2" s="1"/>
      <c r="C2" s="2" t="s">
        <v>1614</v>
      </c>
    </row>
    <row r="3" spans="2:14" ht="15" x14ac:dyDescent="0.15">
      <c r="L3" s="231"/>
      <c r="M3" s="250"/>
      <c r="N3" s="250"/>
    </row>
    <row r="4" spans="2:14" ht="15" x14ac:dyDescent="0.15">
      <c r="B4" s="5" t="s">
        <v>1548</v>
      </c>
      <c r="C4" s="6" t="str">
        <f>GUGS()</f>
        <v>GUGS: ver. 1.00</v>
      </c>
      <c r="L4" s="231"/>
      <c r="M4" s="250"/>
      <c r="N4" s="250"/>
    </row>
    <row r="5" spans="2:14" ht="15" x14ac:dyDescent="0.15">
      <c r="B5" s="5" t="s">
        <v>1547</v>
      </c>
      <c r="C5" s="251">
        <v>43025</v>
      </c>
      <c r="L5" s="231"/>
      <c r="M5" s="250"/>
      <c r="N5" s="250"/>
    </row>
    <row r="6" spans="2:14" ht="15" x14ac:dyDescent="0.15">
      <c r="B6" s="5" t="s">
        <v>1549</v>
      </c>
      <c r="C6" s="251">
        <v>43025</v>
      </c>
      <c r="L6" s="231"/>
      <c r="M6" s="250"/>
      <c r="N6" s="250"/>
    </row>
    <row r="7" spans="2:14" ht="15" x14ac:dyDescent="0.15">
      <c r="C7" s="252"/>
      <c r="L7" s="231"/>
      <c r="M7" s="250"/>
      <c r="N7" s="250"/>
    </row>
    <row r="8" spans="2:14" ht="15" x14ac:dyDescent="0.15">
      <c r="B8" s="5" t="s">
        <v>1535</v>
      </c>
      <c r="C8" s="3" t="s">
        <v>1531</v>
      </c>
      <c r="L8" s="231"/>
      <c r="M8" s="250"/>
      <c r="N8" s="250"/>
    </row>
    <row r="9" spans="2:14" ht="15" x14ac:dyDescent="0.15">
      <c r="C9" s="3" t="s">
        <v>1534</v>
      </c>
      <c r="L9" s="231"/>
      <c r="M9" s="250"/>
      <c r="N9" s="250"/>
    </row>
    <row r="10" spans="2:14" ht="15" x14ac:dyDescent="0.15">
      <c r="C10" s="4" t="s">
        <v>1545</v>
      </c>
      <c r="M10" s="232"/>
    </row>
    <row r="11" spans="2:14" x14ac:dyDescent="0.15">
      <c r="C11" s="4" t="s">
        <v>1546</v>
      </c>
    </row>
    <row r="12" spans="2:14" ht="15" x14ac:dyDescent="0.15">
      <c r="C12" s="3" t="s">
        <v>0</v>
      </c>
      <c r="M12" s="232"/>
    </row>
    <row r="14" spans="2:14" ht="15" x14ac:dyDescent="0.15">
      <c r="B14" s="5" t="s">
        <v>1530</v>
      </c>
      <c r="C14" s="3" t="s">
        <v>1615</v>
      </c>
      <c r="M14" s="232"/>
    </row>
    <row r="15" spans="2:14" x14ac:dyDescent="0.15">
      <c r="C15" s="3" t="s">
        <v>1532</v>
      </c>
    </row>
    <row r="16" spans="2:14" x14ac:dyDescent="0.15">
      <c r="C16" s="3" t="s">
        <v>1533</v>
      </c>
    </row>
    <row r="17" spans="2:12" x14ac:dyDescent="0.15">
      <c r="C17" s="3" t="s">
        <v>15</v>
      </c>
    </row>
    <row r="18" spans="2:12" x14ac:dyDescent="0.15">
      <c r="C18" s="3" t="s">
        <v>16</v>
      </c>
      <c r="D18" s="4" t="s">
        <v>1536</v>
      </c>
    </row>
    <row r="19" spans="2:12" x14ac:dyDescent="0.15">
      <c r="D19" s="4" t="s">
        <v>1537</v>
      </c>
    </row>
    <row r="21" spans="2:12" x14ac:dyDescent="0.15">
      <c r="B21" s="5" t="s">
        <v>433</v>
      </c>
      <c r="C21" s="3" t="s">
        <v>1538</v>
      </c>
    </row>
    <row r="22" spans="2:12" x14ac:dyDescent="0.15">
      <c r="C22" s="3" t="s">
        <v>1539</v>
      </c>
    </row>
    <row r="23" spans="2:12" ht="14.25" customHeight="1" x14ac:dyDescent="0.15">
      <c r="D23" s="252"/>
      <c r="E23" s="252"/>
      <c r="F23" s="252"/>
      <c r="G23" s="252"/>
      <c r="H23" s="252"/>
      <c r="I23" s="252"/>
    </row>
    <row r="24" spans="2:12" x14ac:dyDescent="0.15">
      <c r="C24" s="252"/>
      <c r="D24" s="252"/>
      <c r="E24" s="252"/>
      <c r="F24" s="252"/>
      <c r="G24" s="252"/>
      <c r="H24" s="252"/>
      <c r="I24" s="252"/>
    </row>
    <row r="27" spans="2:12" ht="18" x14ac:dyDescent="0.15">
      <c r="B27" s="233" t="s">
        <v>434</v>
      </c>
    </row>
    <row r="29" spans="2:12" x14ac:dyDescent="0.15">
      <c r="B29" s="234" t="s">
        <v>140</v>
      </c>
      <c r="C29" s="235" t="s">
        <v>141</v>
      </c>
      <c r="D29" s="235" t="s">
        <v>142</v>
      </c>
      <c r="E29" s="267" t="s">
        <v>146</v>
      </c>
      <c r="F29" s="267"/>
      <c r="G29" s="267"/>
      <c r="H29" s="267"/>
      <c r="I29" s="267"/>
      <c r="J29" s="267"/>
      <c r="K29" s="267"/>
      <c r="L29" s="267"/>
    </row>
    <row r="30" spans="2:12" x14ac:dyDescent="0.15">
      <c r="B30" s="3" t="s">
        <v>638</v>
      </c>
      <c r="C30" s="218" t="s">
        <v>144</v>
      </c>
      <c r="D30" s="218" t="s">
        <v>144</v>
      </c>
      <c r="E30" s="263" t="s">
        <v>147</v>
      </c>
      <c r="F30" s="263"/>
      <c r="G30" s="263"/>
      <c r="H30" s="263"/>
      <c r="I30" s="263"/>
      <c r="J30" s="263"/>
      <c r="K30" s="263"/>
      <c r="L30" s="263"/>
    </row>
    <row r="31" spans="2:12" x14ac:dyDescent="0.15">
      <c r="B31" s="3" t="s">
        <v>145</v>
      </c>
      <c r="C31" s="218" t="s">
        <v>144</v>
      </c>
      <c r="D31" s="218" t="s">
        <v>144</v>
      </c>
      <c r="E31" s="263" t="s">
        <v>148</v>
      </c>
      <c r="F31" s="263"/>
      <c r="G31" s="263"/>
      <c r="H31" s="263"/>
      <c r="I31" s="263"/>
      <c r="J31" s="263"/>
      <c r="K31" s="263"/>
      <c r="L31" s="263"/>
    </row>
    <row r="32" spans="2:12" x14ac:dyDescent="0.15">
      <c r="B32" s="3" t="s">
        <v>639</v>
      </c>
      <c r="C32" s="218" t="s">
        <v>144</v>
      </c>
      <c r="D32" s="218" t="s">
        <v>144</v>
      </c>
      <c r="E32" s="263" t="s">
        <v>150</v>
      </c>
      <c r="F32" s="263"/>
      <c r="G32" s="263"/>
      <c r="H32" s="263"/>
      <c r="I32" s="263"/>
      <c r="J32" s="263"/>
      <c r="K32" s="263"/>
      <c r="L32" s="263"/>
    </row>
    <row r="33" spans="2:35" x14ac:dyDescent="0.15">
      <c r="B33" s="3" t="s">
        <v>151</v>
      </c>
      <c r="C33" s="218" t="s">
        <v>144</v>
      </c>
      <c r="D33" s="218" t="s">
        <v>144</v>
      </c>
      <c r="E33" s="263" t="s">
        <v>160</v>
      </c>
      <c r="F33" s="263"/>
      <c r="G33" s="263"/>
      <c r="H33" s="263"/>
      <c r="I33" s="263"/>
      <c r="J33" s="263"/>
      <c r="K33" s="263"/>
      <c r="L33" s="263"/>
    </row>
    <row r="34" spans="2:35" x14ac:dyDescent="0.15">
      <c r="B34" s="3" t="s">
        <v>161</v>
      </c>
      <c r="C34" s="218" t="s">
        <v>144</v>
      </c>
      <c r="D34" s="218" t="s">
        <v>153</v>
      </c>
      <c r="E34" s="263" t="s">
        <v>652</v>
      </c>
      <c r="F34" s="263"/>
      <c r="G34" s="263"/>
      <c r="H34" s="263"/>
      <c r="I34" s="263"/>
      <c r="J34" s="263"/>
      <c r="K34" s="263"/>
      <c r="L34" s="263"/>
    </row>
    <row r="35" spans="2:35" x14ac:dyDescent="0.15">
      <c r="B35" s="3" t="s">
        <v>152</v>
      </c>
      <c r="C35" s="218" t="s">
        <v>144</v>
      </c>
      <c r="D35" s="218" t="s">
        <v>144</v>
      </c>
      <c r="E35" s="262" t="s">
        <v>653</v>
      </c>
      <c r="F35" s="262"/>
      <c r="G35" s="262"/>
      <c r="H35" s="262"/>
      <c r="I35" s="262"/>
      <c r="J35" s="262"/>
      <c r="K35" s="262"/>
      <c r="L35" s="262"/>
    </row>
    <row r="36" spans="2:35" ht="35.25" customHeight="1" x14ac:dyDescent="0.15">
      <c r="B36" s="3" t="s">
        <v>654</v>
      </c>
      <c r="C36" s="218" t="s">
        <v>144</v>
      </c>
      <c r="D36" s="218" t="s">
        <v>153</v>
      </c>
      <c r="E36" s="262" t="s">
        <v>655</v>
      </c>
      <c r="F36" s="262"/>
      <c r="G36" s="262"/>
      <c r="H36" s="262"/>
      <c r="I36" s="262"/>
      <c r="J36" s="262"/>
      <c r="K36" s="262"/>
      <c r="L36" s="262"/>
    </row>
    <row r="37" spans="2:35" x14ac:dyDescent="0.15">
      <c r="B37" s="3" t="s">
        <v>154</v>
      </c>
      <c r="C37" s="218" t="s">
        <v>144</v>
      </c>
      <c r="D37" s="218" t="s">
        <v>144</v>
      </c>
      <c r="E37" s="263" t="s">
        <v>155</v>
      </c>
      <c r="F37" s="263"/>
      <c r="G37" s="263"/>
      <c r="H37" s="263"/>
      <c r="I37" s="263"/>
      <c r="J37" s="263"/>
      <c r="K37" s="263"/>
      <c r="L37" s="263"/>
    </row>
    <row r="38" spans="2:35" x14ac:dyDescent="0.15">
      <c r="B38" s="3" t="s">
        <v>156</v>
      </c>
      <c r="C38" s="218" t="s">
        <v>144</v>
      </c>
      <c r="D38" s="218" t="s">
        <v>144</v>
      </c>
      <c r="E38" s="262" t="s">
        <v>157</v>
      </c>
      <c r="F38" s="262"/>
      <c r="G38" s="262"/>
      <c r="H38" s="262"/>
      <c r="I38" s="262"/>
      <c r="J38" s="262"/>
      <c r="K38" s="262"/>
      <c r="L38" s="262"/>
    </row>
    <row r="39" spans="2:35" x14ac:dyDescent="0.15">
      <c r="B39" s="3" t="s">
        <v>158</v>
      </c>
      <c r="C39" s="218" t="s">
        <v>144</v>
      </c>
      <c r="D39" s="218" t="s">
        <v>144</v>
      </c>
      <c r="E39" s="263" t="s">
        <v>656</v>
      </c>
      <c r="F39" s="263"/>
      <c r="G39" s="263"/>
      <c r="H39" s="263"/>
      <c r="I39" s="263"/>
      <c r="J39" s="263"/>
      <c r="K39" s="263"/>
      <c r="L39" s="263"/>
    </row>
    <row r="40" spans="2:35" x14ac:dyDescent="0.15">
      <c r="B40" s="226" t="s">
        <v>159</v>
      </c>
      <c r="C40" s="236" t="s">
        <v>153</v>
      </c>
      <c r="D40" s="236" t="s">
        <v>144</v>
      </c>
      <c r="E40" s="265" t="s">
        <v>657</v>
      </c>
      <c r="F40" s="265"/>
      <c r="G40" s="265"/>
      <c r="H40" s="265"/>
      <c r="I40" s="265"/>
      <c r="J40" s="265"/>
      <c r="K40" s="265"/>
      <c r="L40" s="265"/>
    </row>
    <row r="41" spans="2:35" x14ac:dyDescent="0.15">
      <c r="B41" s="226" t="s">
        <v>1207</v>
      </c>
      <c r="C41" s="218" t="s">
        <v>144</v>
      </c>
      <c r="D41" s="236" t="s">
        <v>144</v>
      </c>
      <c r="E41" s="265" t="s">
        <v>1212</v>
      </c>
      <c r="F41" s="265"/>
      <c r="G41" s="265"/>
      <c r="H41" s="265"/>
      <c r="I41" s="265"/>
      <c r="J41" s="265"/>
      <c r="K41" s="265"/>
      <c r="L41" s="265"/>
    </row>
    <row r="42" spans="2:35" x14ac:dyDescent="0.15">
      <c r="B42" s="226" t="s">
        <v>62</v>
      </c>
      <c r="C42" s="218" t="s">
        <v>144</v>
      </c>
      <c r="D42" s="236" t="s">
        <v>144</v>
      </c>
      <c r="E42" s="265" t="s">
        <v>1211</v>
      </c>
      <c r="F42" s="265"/>
      <c r="G42" s="265"/>
      <c r="H42" s="265"/>
      <c r="I42" s="265"/>
      <c r="J42" s="265"/>
      <c r="K42" s="265"/>
      <c r="L42" s="265"/>
    </row>
    <row r="43" spans="2:35" x14ac:dyDescent="0.15">
      <c r="B43" s="226" t="s">
        <v>1202</v>
      </c>
      <c r="C43" s="218" t="s">
        <v>144</v>
      </c>
      <c r="D43" s="236" t="s">
        <v>144</v>
      </c>
      <c r="E43" s="265" t="s">
        <v>1210</v>
      </c>
      <c r="F43" s="265"/>
      <c r="G43" s="265"/>
      <c r="H43" s="265"/>
      <c r="I43" s="265"/>
      <c r="J43" s="265"/>
      <c r="K43" s="265"/>
      <c r="L43" s="265"/>
    </row>
    <row r="44" spans="2:35" x14ac:dyDescent="0.15">
      <c r="B44" s="228" t="s">
        <v>1208</v>
      </c>
      <c r="C44" s="230" t="s">
        <v>144</v>
      </c>
      <c r="D44" s="230" t="s">
        <v>144</v>
      </c>
      <c r="E44" s="266" t="s">
        <v>1209</v>
      </c>
      <c r="F44" s="266"/>
      <c r="G44" s="266"/>
      <c r="H44" s="266"/>
      <c r="I44" s="266"/>
      <c r="J44" s="266"/>
      <c r="K44" s="266"/>
      <c r="L44" s="266"/>
    </row>
    <row r="45" spans="2:35" x14ac:dyDescent="0.15">
      <c r="C45" s="237" t="s">
        <v>658</v>
      </c>
    </row>
    <row r="46" spans="2:35" x14ac:dyDescent="0.15">
      <c r="C46" s="238" t="s">
        <v>659</v>
      </c>
      <c r="AG46" s="3"/>
      <c r="AH46" s="3"/>
    </row>
    <row r="47" spans="2:35" x14ac:dyDescent="0.15">
      <c r="AG47" s="3"/>
      <c r="AH47" s="3"/>
      <c r="AI47" s="218"/>
    </row>
    <row r="48" spans="2:35" x14ac:dyDescent="0.15">
      <c r="AG48" s="3"/>
      <c r="AH48" s="3"/>
    </row>
    <row r="49" spans="2:34" ht="18" x14ac:dyDescent="0.15">
      <c r="B49" s="233" t="s">
        <v>1550</v>
      </c>
      <c r="AG49" s="3"/>
      <c r="AH49" s="3"/>
    </row>
    <row r="50" spans="2:34" ht="15" x14ac:dyDescent="0.15">
      <c r="B50" s="239" t="s">
        <v>5</v>
      </c>
      <c r="C50" s="239" t="s">
        <v>431</v>
      </c>
      <c r="D50" s="239"/>
      <c r="E50" s="239"/>
      <c r="F50" s="239"/>
      <c r="G50" s="239"/>
      <c r="H50" s="239"/>
      <c r="I50" s="239"/>
      <c r="J50" s="239"/>
      <c r="K50" s="239"/>
      <c r="AG50" s="3"/>
      <c r="AH50" s="3"/>
    </row>
    <row r="51" spans="2:34" ht="15" x14ac:dyDescent="0.15">
      <c r="B51" s="240" t="s">
        <v>2</v>
      </c>
      <c r="C51" s="241" t="s">
        <v>594</v>
      </c>
      <c r="D51" s="241"/>
      <c r="E51" s="241"/>
      <c r="F51" s="241"/>
      <c r="G51" s="241"/>
      <c r="H51" s="241"/>
      <c r="I51" s="241"/>
      <c r="J51" s="241"/>
      <c r="K51" s="241"/>
      <c r="AG51" s="3"/>
      <c r="AH51" s="3"/>
    </row>
    <row r="52" spans="2:34" ht="15" x14ac:dyDescent="0.15">
      <c r="C52" s="240" t="s">
        <v>640</v>
      </c>
      <c r="D52" s="240"/>
      <c r="E52" s="240"/>
      <c r="F52" s="240"/>
      <c r="G52" s="242"/>
      <c r="H52" s="242"/>
      <c r="I52" s="242"/>
      <c r="J52" s="242"/>
      <c r="AG52" s="3"/>
      <c r="AH52" s="3"/>
    </row>
    <row r="53" spans="2:34" ht="15" x14ac:dyDescent="0.15">
      <c r="B53" s="242"/>
      <c r="C53" s="242" t="s">
        <v>432</v>
      </c>
      <c r="D53" s="242" t="s">
        <v>6</v>
      </c>
      <c r="E53" s="242"/>
      <c r="F53" s="242"/>
      <c r="G53" s="242"/>
      <c r="H53" s="242"/>
      <c r="I53" s="242"/>
      <c r="J53" s="242"/>
      <c r="AG53" s="3"/>
      <c r="AH53" s="3"/>
    </row>
    <row r="54" spans="2:34" ht="15" x14ac:dyDescent="0.15">
      <c r="B54" s="242"/>
      <c r="C54" s="242"/>
      <c r="D54" s="242" t="s">
        <v>7</v>
      </c>
      <c r="E54" s="242"/>
      <c r="F54" s="242"/>
      <c r="G54" s="242"/>
      <c r="H54" s="242"/>
      <c r="I54" s="242"/>
      <c r="J54" s="242"/>
      <c r="AG54" s="3"/>
      <c r="AH54" s="3"/>
    </row>
    <row r="55" spans="2:34" ht="15" x14ac:dyDescent="0.15">
      <c r="B55" s="242"/>
      <c r="C55" s="242"/>
      <c r="D55" s="242" t="s">
        <v>8</v>
      </c>
      <c r="E55" s="242" t="s">
        <v>1540</v>
      </c>
      <c r="F55" s="242"/>
      <c r="G55" s="242"/>
      <c r="H55" s="242"/>
      <c r="I55" s="242"/>
      <c r="J55" s="242"/>
      <c r="AG55" s="3"/>
      <c r="AH55" s="3"/>
    </row>
    <row r="56" spans="2:34" ht="15" x14ac:dyDescent="0.15">
      <c r="B56" s="242"/>
      <c r="C56" s="242"/>
      <c r="D56" s="242"/>
      <c r="E56" s="242"/>
      <c r="F56" s="242"/>
      <c r="G56" s="242"/>
      <c r="H56" s="242"/>
      <c r="I56" s="242"/>
      <c r="J56" s="242"/>
      <c r="AG56" s="3"/>
      <c r="AH56" s="3"/>
    </row>
    <row r="57" spans="2:34" ht="15" x14ac:dyDescent="0.15">
      <c r="B57" s="240" t="s">
        <v>17</v>
      </c>
      <c r="C57" s="240" t="s">
        <v>1541</v>
      </c>
      <c r="D57" s="242"/>
      <c r="E57" s="242"/>
      <c r="F57" s="242"/>
      <c r="G57" s="242"/>
      <c r="H57" s="242"/>
      <c r="I57" s="242"/>
      <c r="J57" s="242"/>
      <c r="AG57" s="3"/>
      <c r="AH57" s="3"/>
    </row>
    <row r="58" spans="2:34" ht="15" x14ac:dyDescent="0.15">
      <c r="B58" s="242"/>
      <c r="C58" s="242"/>
      <c r="D58" s="242"/>
      <c r="E58" s="242"/>
      <c r="F58" s="242"/>
      <c r="G58" s="242"/>
      <c r="H58" s="242"/>
      <c r="I58" s="242"/>
      <c r="J58" s="242"/>
      <c r="AG58" s="3"/>
      <c r="AH58" s="3"/>
    </row>
    <row r="59" spans="2:34" ht="15" x14ac:dyDescent="0.15">
      <c r="B59" s="240" t="s">
        <v>3</v>
      </c>
      <c r="C59" s="242" t="s">
        <v>595</v>
      </c>
      <c r="D59" s="242"/>
      <c r="E59" s="242"/>
      <c r="F59" s="242"/>
      <c r="G59" s="242"/>
      <c r="H59" s="242"/>
      <c r="I59" s="242"/>
      <c r="J59" s="242"/>
      <c r="AG59" s="3"/>
      <c r="AH59" s="3"/>
    </row>
    <row r="60" spans="2:34" ht="15" x14ac:dyDescent="0.15">
      <c r="C60" s="240" t="s">
        <v>1542</v>
      </c>
      <c r="D60" s="242"/>
      <c r="E60" s="242"/>
      <c r="F60" s="242"/>
      <c r="G60" s="242"/>
      <c r="H60" s="242"/>
      <c r="I60" s="242"/>
      <c r="J60" s="242"/>
      <c r="AG60" s="3"/>
      <c r="AH60" s="3"/>
    </row>
    <row r="61" spans="2:34" ht="15" x14ac:dyDescent="0.15">
      <c r="B61" s="242"/>
      <c r="C61" s="242" t="s">
        <v>641</v>
      </c>
      <c r="D61" s="242"/>
      <c r="E61" s="242"/>
      <c r="F61" s="242"/>
      <c r="G61" s="242"/>
      <c r="H61" s="242"/>
      <c r="I61" s="242"/>
      <c r="J61" s="242"/>
      <c r="AG61" s="3"/>
      <c r="AH61" s="3"/>
    </row>
    <row r="62" spans="2:34" ht="33" customHeight="1" x14ac:dyDescent="0.15">
      <c r="B62" s="242"/>
      <c r="C62" s="264" t="s">
        <v>642</v>
      </c>
      <c r="D62" s="264"/>
      <c r="E62" s="264"/>
      <c r="F62" s="264"/>
      <c r="G62" s="264"/>
      <c r="H62" s="264"/>
      <c r="I62" s="264"/>
      <c r="J62" s="264"/>
      <c r="K62" s="264"/>
      <c r="AG62" s="3"/>
      <c r="AH62" s="3"/>
    </row>
    <row r="63" spans="2:34" ht="15" x14ac:dyDescent="0.15">
      <c r="B63" s="242"/>
      <c r="C63" s="242" t="s">
        <v>432</v>
      </c>
      <c r="D63" s="243" t="s">
        <v>9</v>
      </c>
      <c r="E63" s="242"/>
      <c r="F63" s="242"/>
      <c r="G63" s="242"/>
      <c r="H63" s="242"/>
      <c r="I63" s="242"/>
      <c r="J63" s="242"/>
      <c r="AG63" s="3"/>
      <c r="AH63" s="3"/>
    </row>
    <row r="64" spans="2:34" ht="15" x14ac:dyDescent="0.15">
      <c r="B64" s="242"/>
      <c r="C64" s="242"/>
      <c r="D64" s="243" t="s">
        <v>10</v>
      </c>
      <c r="E64" s="242"/>
      <c r="F64" s="242"/>
      <c r="G64" s="242"/>
      <c r="H64" s="242"/>
      <c r="I64" s="242"/>
      <c r="J64" s="242"/>
      <c r="AG64" s="3"/>
      <c r="AH64" s="3"/>
    </row>
    <row r="65" spans="2:34" ht="15" x14ac:dyDescent="0.15">
      <c r="B65" s="242"/>
      <c r="C65" s="242"/>
      <c r="D65" s="243"/>
      <c r="E65" s="242"/>
      <c r="F65" s="242"/>
      <c r="G65" s="242"/>
      <c r="H65" s="242"/>
      <c r="I65" s="242"/>
      <c r="J65" s="242"/>
      <c r="AG65" s="3"/>
      <c r="AH65" s="3"/>
    </row>
    <row r="66" spans="2:34" ht="15" x14ac:dyDescent="0.15">
      <c r="B66" s="240" t="s">
        <v>18</v>
      </c>
      <c r="C66" s="240" t="s">
        <v>1543</v>
      </c>
      <c r="D66" s="242"/>
      <c r="E66" s="242"/>
      <c r="F66" s="242"/>
      <c r="G66" s="242"/>
      <c r="H66" s="242"/>
      <c r="I66" s="242"/>
      <c r="J66" s="242"/>
      <c r="AG66" s="3"/>
      <c r="AH66" s="3"/>
    </row>
    <row r="67" spans="2:34" ht="15" x14ac:dyDescent="0.15">
      <c r="B67" s="242"/>
      <c r="C67" s="242"/>
      <c r="D67" s="242"/>
      <c r="E67" s="242"/>
      <c r="F67" s="242"/>
      <c r="G67" s="242"/>
      <c r="H67" s="242"/>
      <c r="I67" s="242"/>
      <c r="J67" s="242"/>
      <c r="AG67" s="3"/>
      <c r="AH67" s="3"/>
    </row>
    <row r="68" spans="2:34" ht="15" x14ac:dyDescent="0.15">
      <c r="B68" s="240" t="s">
        <v>26</v>
      </c>
      <c r="C68" s="240" t="s">
        <v>647</v>
      </c>
      <c r="D68" s="242"/>
      <c r="E68" s="242"/>
      <c r="F68" s="242"/>
      <c r="G68" s="242"/>
      <c r="H68" s="242"/>
      <c r="I68" s="242"/>
      <c r="J68" s="242"/>
    </row>
    <row r="69" spans="2:34" ht="15" x14ac:dyDescent="0.15">
      <c r="B69" s="242"/>
      <c r="C69" s="242" t="s">
        <v>345</v>
      </c>
      <c r="D69" s="242"/>
      <c r="E69" s="242"/>
      <c r="F69" s="242"/>
      <c r="G69" s="242"/>
      <c r="H69" s="242"/>
      <c r="I69" s="242"/>
      <c r="J69" s="242"/>
    </row>
    <row r="70" spans="2:34" ht="15" x14ac:dyDescent="0.15">
      <c r="B70" s="242"/>
      <c r="C70" s="243"/>
      <c r="D70" s="243" t="s">
        <v>38</v>
      </c>
      <c r="E70" s="242" t="s">
        <v>435</v>
      </c>
      <c r="F70" s="242"/>
      <c r="G70" s="242"/>
      <c r="H70" s="242"/>
      <c r="I70" s="242"/>
      <c r="J70" s="242"/>
    </row>
    <row r="71" spans="2:34" ht="15" x14ac:dyDescent="0.15">
      <c r="B71" s="242"/>
      <c r="C71" s="243"/>
      <c r="D71" s="243" t="s">
        <v>28</v>
      </c>
      <c r="E71" s="242" t="s">
        <v>442</v>
      </c>
      <c r="F71" s="242"/>
      <c r="G71" s="242"/>
      <c r="H71" s="242"/>
      <c r="I71" s="242"/>
      <c r="J71" s="242"/>
    </row>
    <row r="72" spans="2:34" ht="15" x14ac:dyDescent="0.15">
      <c r="B72" s="242"/>
      <c r="C72" s="243"/>
      <c r="D72" s="243" t="s">
        <v>29</v>
      </c>
      <c r="E72" s="242" t="s">
        <v>443</v>
      </c>
      <c r="F72" s="242"/>
      <c r="G72" s="242"/>
      <c r="H72" s="242"/>
      <c r="I72" s="242"/>
      <c r="J72" s="242"/>
    </row>
    <row r="73" spans="2:34" ht="15" x14ac:dyDescent="0.15">
      <c r="B73" s="242"/>
      <c r="C73" s="243"/>
      <c r="D73" s="243" t="s">
        <v>30</v>
      </c>
      <c r="E73" s="242" t="s">
        <v>444</v>
      </c>
      <c r="F73" s="242"/>
      <c r="G73" s="242"/>
      <c r="H73" s="242"/>
      <c r="I73" s="242"/>
      <c r="J73" s="242"/>
    </row>
    <row r="74" spans="2:34" ht="15" x14ac:dyDescent="0.15">
      <c r="B74" s="242"/>
      <c r="C74" s="243"/>
      <c r="D74" s="243" t="s">
        <v>31</v>
      </c>
      <c r="E74" s="242" t="s">
        <v>445</v>
      </c>
      <c r="F74" s="242"/>
      <c r="H74" s="242"/>
      <c r="I74" s="242"/>
      <c r="J74" s="242"/>
    </row>
    <row r="75" spans="2:34" ht="15" x14ac:dyDescent="0.15">
      <c r="B75" s="242"/>
      <c r="C75" s="243"/>
      <c r="D75" s="243" t="s">
        <v>32</v>
      </c>
      <c r="E75" s="242" t="s">
        <v>447</v>
      </c>
      <c r="F75" s="242"/>
      <c r="H75" s="242"/>
      <c r="I75" s="242"/>
      <c r="J75" s="242"/>
    </row>
    <row r="76" spans="2:34" ht="15" x14ac:dyDescent="0.15">
      <c r="B76" s="242"/>
      <c r="C76" s="243"/>
      <c r="D76" s="243" t="s">
        <v>33</v>
      </c>
      <c r="E76" s="242" t="s">
        <v>448</v>
      </c>
      <c r="F76" s="242"/>
      <c r="H76" s="242"/>
      <c r="I76" s="242"/>
      <c r="J76" s="242"/>
    </row>
    <row r="77" spans="2:34" ht="15" x14ac:dyDescent="0.15">
      <c r="B77" s="242"/>
      <c r="C77" s="243"/>
      <c r="D77" s="243" t="s">
        <v>34</v>
      </c>
      <c r="E77" s="242" t="s">
        <v>449</v>
      </c>
      <c r="F77" s="242"/>
      <c r="H77" s="242"/>
      <c r="I77" s="242"/>
      <c r="J77" s="242"/>
    </row>
    <row r="78" spans="2:34" ht="15" x14ac:dyDescent="0.15">
      <c r="B78" s="242"/>
      <c r="C78" s="243"/>
      <c r="D78" s="243" t="s">
        <v>35</v>
      </c>
      <c r="E78" s="242" t="s">
        <v>450</v>
      </c>
      <c r="F78" s="242"/>
      <c r="H78" s="242"/>
      <c r="I78" s="242"/>
      <c r="J78" s="242"/>
    </row>
    <row r="79" spans="2:34" ht="15" x14ac:dyDescent="0.15">
      <c r="B79" s="242"/>
      <c r="C79" s="243"/>
      <c r="D79" s="243" t="s">
        <v>36</v>
      </c>
      <c r="E79" s="242" t="s">
        <v>451</v>
      </c>
      <c r="F79" s="242"/>
      <c r="H79" s="242"/>
      <c r="I79" s="242"/>
      <c r="J79" s="242"/>
    </row>
    <row r="80" spans="2:34" ht="15" x14ac:dyDescent="0.15">
      <c r="B80" s="242"/>
      <c r="C80" s="242"/>
      <c r="D80" s="243" t="s">
        <v>37</v>
      </c>
      <c r="E80" s="242" t="s">
        <v>446</v>
      </c>
      <c r="F80" s="242"/>
      <c r="G80" s="242"/>
      <c r="H80" s="242"/>
      <c r="I80" s="242"/>
      <c r="J80" s="242"/>
    </row>
    <row r="82" spans="2:34" ht="15" x14ac:dyDescent="0.15">
      <c r="B82" s="240" t="s">
        <v>4</v>
      </c>
      <c r="C82" s="240" t="s">
        <v>643</v>
      </c>
      <c r="D82" s="242"/>
      <c r="E82" s="242"/>
      <c r="F82" s="242"/>
      <c r="G82" s="242"/>
      <c r="H82" s="242"/>
      <c r="I82" s="242"/>
      <c r="J82" s="242"/>
      <c r="AG82" s="3"/>
      <c r="AH82" s="3"/>
    </row>
    <row r="83" spans="2:34" ht="15" x14ac:dyDescent="0.15">
      <c r="B83" s="242"/>
      <c r="C83" s="242" t="s">
        <v>432</v>
      </c>
      <c r="D83" s="243" t="s">
        <v>11</v>
      </c>
      <c r="E83" s="242" t="s">
        <v>435</v>
      </c>
      <c r="F83" s="242"/>
      <c r="G83" s="242"/>
      <c r="H83" s="242"/>
      <c r="I83" s="242"/>
      <c r="J83" s="242"/>
      <c r="AG83" s="3"/>
      <c r="AH83" s="3"/>
    </row>
    <row r="84" spans="2:34" ht="15" x14ac:dyDescent="0.15">
      <c r="B84" s="242"/>
      <c r="C84" s="242"/>
      <c r="D84" s="243" t="s">
        <v>12</v>
      </c>
      <c r="E84" s="242" t="s">
        <v>436</v>
      </c>
      <c r="F84" s="242"/>
      <c r="G84" s="242"/>
      <c r="H84" s="242"/>
      <c r="I84" s="242"/>
      <c r="J84" s="242"/>
      <c r="AG84" s="3"/>
      <c r="AH84" s="3"/>
    </row>
    <row r="85" spans="2:34" ht="15" x14ac:dyDescent="0.15">
      <c r="B85" s="242"/>
      <c r="C85" s="242"/>
      <c r="D85" s="243" t="s">
        <v>13</v>
      </c>
      <c r="E85" s="242" t="s">
        <v>437</v>
      </c>
      <c r="F85" s="242"/>
      <c r="G85" s="242"/>
      <c r="H85" s="242"/>
      <c r="I85" s="242"/>
      <c r="J85" s="242"/>
      <c r="AG85" s="3"/>
      <c r="AH85" s="3"/>
    </row>
    <row r="86" spans="2:34" ht="15" x14ac:dyDescent="0.15">
      <c r="B86" s="242"/>
      <c r="C86" s="242"/>
      <c r="D86" s="242"/>
      <c r="E86" s="242"/>
      <c r="F86" s="242"/>
      <c r="G86" s="242"/>
      <c r="H86" s="242"/>
      <c r="I86" s="242"/>
      <c r="J86" s="242"/>
      <c r="AG86" s="3"/>
      <c r="AH86" s="3"/>
    </row>
    <row r="87" spans="2:34" ht="15" x14ac:dyDescent="0.15">
      <c r="B87" s="240" t="s">
        <v>644</v>
      </c>
      <c r="C87" s="240" t="s">
        <v>645</v>
      </c>
      <c r="D87" s="242"/>
      <c r="E87" s="242"/>
      <c r="F87" s="242"/>
      <c r="G87" s="242"/>
      <c r="H87" s="242"/>
      <c r="I87" s="242"/>
      <c r="J87" s="242"/>
      <c r="AG87" s="3"/>
      <c r="AH87" s="3"/>
    </row>
    <row r="88" spans="2:34" ht="15" x14ac:dyDescent="0.15">
      <c r="B88" s="242"/>
      <c r="C88" s="242" t="s">
        <v>432</v>
      </c>
      <c r="D88" s="243" t="s">
        <v>11</v>
      </c>
      <c r="E88" s="242" t="s">
        <v>438</v>
      </c>
      <c r="F88" s="242"/>
      <c r="G88" s="242"/>
      <c r="H88" s="242"/>
      <c r="I88" s="242"/>
      <c r="J88" s="242"/>
      <c r="AG88" s="3"/>
      <c r="AH88" s="3"/>
    </row>
    <row r="89" spans="2:34" ht="15" x14ac:dyDescent="0.15">
      <c r="B89" s="242"/>
      <c r="C89" s="242"/>
      <c r="D89" s="243" t="s">
        <v>12</v>
      </c>
      <c r="E89" s="242" t="s">
        <v>439</v>
      </c>
      <c r="F89" s="242"/>
      <c r="G89" s="242"/>
      <c r="H89" s="242"/>
      <c r="I89" s="242"/>
      <c r="J89" s="242"/>
    </row>
    <row r="90" spans="2:34" ht="15" x14ac:dyDescent="0.15">
      <c r="B90" s="242"/>
      <c r="C90" s="242"/>
      <c r="D90" s="243" t="s">
        <v>13</v>
      </c>
      <c r="E90" s="242" t="s">
        <v>440</v>
      </c>
      <c r="F90" s="242"/>
      <c r="G90" s="242"/>
      <c r="H90" s="242"/>
      <c r="I90" s="242"/>
      <c r="J90" s="242"/>
    </row>
    <row r="91" spans="2:34" ht="15" x14ac:dyDescent="0.15">
      <c r="B91" s="242"/>
      <c r="C91" s="242"/>
      <c r="D91" s="242"/>
      <c r="E91" s="242"/>
      <c r="F91" s="242"/>
      <c r="G91" s="242"/>
      <c r="H91" s="242"/>
      <c r="I91" s="242"/>
      <c r="J91" s="242"/>
    </row>
    <row r="92" spans="2:34" ht="15" x14ac:dyDescent="0.15">
      <c r="B92" s="240" t="s">
        <v>646</v>
      </c>
      <c r="C92" s="240" t="s">
        <v>651</v>
      </c>
      <c r="D92" s="242"/>
      <c r="E92" s="242"/>
      <c r="F92" s="242"/>
      <c r="G92" s="242"/>
      <c r="H92" s="242"/>
      <c r="I92" s="242"/>
      <c r="J92" s="242"/>
    </row>
    <row r="93" spans="2:34" ht="15" x14ac:dyDescent="0.15">
      <c r="B93" s="242"/>
      <c r="C93" s="242" t="s">
        <v>432</v>
      </c>
      <c r="D93" s="242" t="s">
        <v>441</v>
      </c>
      <c r="E93" s="242"/>
      <c r="F93" s="242"/>
      <c r="G93" s="242"/>
      <c r="H93" s="242"/>
      <c r="I93" s="242"/>
      <c r="J93" s="242"/>
    </row>
    <row r="94" spans="2:34" ht="15" x14ac:dyDescent="0.15">
      <c r="B94" s="242"/>
      <c r="C94" s="242"/>
      <c r="D94" s="242"/>
      <c r="E94" s="242"/>
      <c r="F94" s="242"/>
      <c r="G94" s="242"/>
      <c r="H94" s="242"/>
      <c r="I94" s="242"/>
      <c r="J94" s="242"/>
    </row>
    <row r="95" spans="2:34" ht="15" x14ac:dyDescent="0.15">
      <c r="B95" s="240" t="s">
        <v>20</v>
      </c>
      <c r="C95" s="240" t="s">
        <v>1206</v>
      </c>
      <c r="D95" s="242"/>
      <c r="E95" s="242"/>
      <c r="F95" s="242"/>
      <c r="G95" s="242"/>
      <c r="H95" s="242"/>
      <c r="I95" s="242"/>
      <c r="J95" s="242"/>
    </row>
    <row r="96" spans="2:34" ht="15" x14ac:dyDescent="0.15">
      <c r="B96" s="242"/>
      <c r="C96" s="242" t="s">
        <v>432</v>
      </c>
      <c r="D96" s="243" t="s">
        <v>21</v>
      </c>
      <c r="E96" s="242"/>
      <c r="F96" s="242"/>
      <c r="G96" s="242"/>
      <c r="H96" s="242"/>
      <c r="I96" s="242"/>
      <c r="J96" s="242"/>
    </row>
    <row r="97" spans="2:34" ht="15" x14ac:dyDescent="0.15">
      <c r="B97" s="242"/>
      <c r="C97" s="243"/>
      <c r="D97" s="243" t="s">
        <v>22</v>
      </c>
      <c r="E97" s="242"/>
      <c r="F97" s="242"/>
      <c r="G97" s="242"/>
      <c r="H97" s="242"/>
      <c r="I97" s="242"/>
      <c r="J97" s="242"/>
    </row>
    <row r="98" spans="2:34" ht="15" x14ac:dyDescent="0.15">
      <c r="B98" s="242"/>
      <c r="C98" s="243"/>
      <c r="D98" s="243" t="s">
        <v>23</v>
      </c>
      <c r="E98" s="242"/>
      <c r="F98" s="242"/>
      <c r="G98" s="242"/>
      <c r="H98" s="242"/>
      <c r="I98" s="242"/>
      <c r="J98" s="242"/>
    </row>
    <row r="99" spans="2:34" ht="15" x14ac:dyDescent="0.15">
      <c r="B99" s="242"/>
      <c r="C99" s="243"/>
      <c r="D99" s="243" t="s">
        <v>24</v>
      </c>
      <c r="E99" s="242"/>
      <c r="F99" s="242"/>
      <c r="G99" s="242"/>
      <c r="H99" s="242"/>
      <c r="I99" s="242"/>
      <c r="J99" s="242"/>
    </row>
    <row r="100" spans="2:34" ht="15" x14ac:dyDescent="0.15">
      <c r="B100" s="242"/>
      <c r="C100" s="243"/>
      <c r="D100" s="243" t="s">
        <v>25</v>
      </c>
      <c r="E100" s="242"/>
      <c r="F100" s="242"/>
      <c r="G100" s="242"/>
      <c r="H100" s="242"/>
      <c r="I100" s="242"/>
      <c r="J100" s="242"/>
    </row>
    <row r="101" spans="2:34" ht="15" x14ac:dyDescent="0.15">
      <c r="B101" s="242"/>
      <c r="C101" s="243"/>
      <c r="D101" s="243"/>
      <c r="E101" s="242"/>
      <c r="F101" s="242"/>
      <c r="G101" s="242"/>
      <c r="H101" s="242"/>
      <c r="I101" s="242"/>
      <c r="J101" s="242"/>
    </row>
    <row r="102" spans="2:34" ht="15" x14ac:dyDescent="0.15">
      <c r="B102" s="240" t="s">
        <v>648</v>
      </c>
      <c r="C102" s="240" t="s">
        <v>649</v>
      </c>
      <c r="D102" s="243"/>
      <c r="E102" s="242"/>
      <c r="F102" s="242"/>
      <c r="G102" s="242"/>
      <c r="H102" s="242"/>
      <c r="I102" s="242"/>
      <c r="J102" s="242"/>
    </row>
    <row r="103" spans="2:34" ht="15" x14ac:dyDescent="0.15">
      <c r="B103" s="242"/>
      <c r="C103" s="243"/>
      <c r="D103" s="243"/>
      <c r="E103" s="242"/>
      <c r="F103" s="242"/>
      <c r="G103" s="242"/>
      <c r="H103" s="242"/>
      <c r="I103" s="242"/>
      <c r="J103" s="242"/>
    </row>
    <row r="104" spans="2:34" s="226" customFormat="1" ht="15" x14ac:dyDescent="0.15">
      <c r="B104" s="244" t="s">
        <v>39</v>
      </c>
      <c r="C104" s="245" t="s">
        <v>650</v>
      </c>
      <c r="D104" s="241"/>
      <c r="AC104" s="236"/>
      <c r="AD104" s="236"/>
      <c r="AE104" s="236"/>
      <c r="AF104" s="236"/>
      <c r="AG104" s="236"/>
      <c r="AH104" s="236"/>
    </row>
    <row r="105" spans="2:34" s="226" customFormat="1" x14ac:dyDescent="0.15">
      <c r="AC105" s="236"/>
      <c r="AD105" s="236"/>
      <c r="AE105" s="236"/>
      <c r="AF105" s="236"/>
      <c r="AG105" s="236"/>
      <c r="AH105" s="236"/>
    </row>
    <row r="106" spans="2:34" s="226" customFormat="1" ht="15" x14ac:dyDescent="0.15">
      <c r="B106" s="244" t="s">
        <v>1200</v>
      </c>
      <c r="C106" s="245" t="s">
        <v>1201</v>
      </c>
      <c r="AC106" s="236"/>
      <c r="AD106" s="236"/>
      <c r="AE106" s="236"/>
      <c r="AF106" s="236"/>
      <c r="AG106" s="236"/>
      <c r="AH106" s="236"/>
    </row>
    <row r="107" spans="2:34" s="226" customFormat="1" x14ac:dyDescent="0.15">
      <c r="AC107" s="236"/>
      <c r="AD107" s="236"/>
      <c r="AE107" s="236"/>
      <c r="AF107" s="236"/>
      <c r="AG107" s="236"/>
      <c r="AH107" s="236"/>
    </row>
    <row r="108" spans="2:34" s="226" customFormat="1" ht="15" x14ac:dyDescent="0.15">
      <c r="B108" s="244" t="s">
        <v>62</v>
      </c>
      <c r="C108" s="245" t="s">
        <v>1203</v>
      </c>
      <c r="AC108" s="236"/>
      <c r="AD108" s="236"/>
      <c r="AE108" s="236"/>
      <c r="AF108" s="236"/>
      <c r="AG108" s="236"/>
      <c r="AH108" s="236"/>
    </row>
    <row r="109" spans="2:34" s="226" customFormat="1" x14ac:dyDescent="0.15">
      <c r="AC109" s="236"/>
      <c r="AD109" s="236"/>
      <c r="AE109" s="236"/>
      <c r="AF109" s="236"/>
      <c r="AG109" s="236"/>
      <c r="AH109" s="236"/>
    </row>
    <row r="110" spans="2:34" s="226" customFormat="1" ht="15" x14ac:dyDescent="0.15">
      <c r="B110" s="244" t="s">
        <v>1202</v>
      </c>
      <c r="C110" s="245" t="s">
        <v>1544</v>
      </c>
      <c r="AC110" s="236"/>
      <c r="AD110" s="236"/>
      <c r="AE110" s="236"/>
      <c r="AF110" s="236"/>
      <c r="AG110" s="236"/>
      <c r="AH110" s="236"/>
    </row>
    <row r="111" spans="2:34" s="226" customFormat="1" x14ac:dyDescent="0.15">
      <c r="AC111" s="236"/>
      <c r="AD111" s="236"/>
      <c r="AE111" s="236"/>
      <c r="AF111" s="236"/>
      <c r="AG111" s="236"/>
      <c r="AH111" s="236"/>
    </row>
    <row r="112" spans="2:34" s="226" customFormat="1" ht="15" x14ac:dyDescent="0.15">
      <c r="B112" s="246" t="s">
        <v>1204</v>
      </c>
      <c r="C112" s="247" t="s">
        <v>1205</v>
      </c>
      <c r="D112" s="228"/>
      <c r="E112" s="228"/>
      <c r="F112" s="228"/>
      <c r="G112" s="228"/>
      <c r="H112" s="228"/>
      <c r="I112" s="228"/>
      <c r="J112" s="228"/>
      <c r="K112" s="228"/>
      <c r="AC112" s="236"/>
      <c r="AD112" s="236"/>
      <c r="AE112" s="236"/>
      <c r="AF112" s="236"/>
      <c r="AG112" s="236"/>
      <c r="AH112" s="236"/>
    </row>
    <row r="113" spans="2:34" s="226" customFormat="1" x14ac:dyDescent="0.15">
      <c r="AC113" s="236"/>
      <c r="AD113" s="236"/>
      <c r="AE113" s="236"/>
      <c r="AF113" s="236"/>
      <c r="AG113" s="236"/>
      <c r="AH113" s="236"/>
    </row>
    <row r="114" spans="2:34" s="226" customFormat="1" x14ac:dyDescent="0.15">
      <c r="AC114" s="236"/>
      <c r="AD114" s="236"/>
      <c r="AE114" s="236"/>
      <c r="AF114" s="236"/>
      <c r="AG114" s="236"/>
      <c r="AH114" s="236"/>
    </row>
    <row r="117" spans="2:34" ht="18" x14ac:dyDescent="0.15">
      <c r="B117" s="233" t="s">
        <v>1529</v>
      </c>
      <c r="I117" s="6" t="str">
        <f>GUGS()</f>
        <v>GUGS: ver. 1.00</v>
      </c>
      <c r="K117" s="218"/>
      <c r="L117" s="218"/>
    </row>
    <row r="118" spans="2:34" x14ac:dyDescent="0.15">
      <c r="I118" s="218"/>
      <c r="J118" s="218"/>
      <c r="K118" s="218"/>
      <c r="L118" s="218"/>
    </row>
    <row r="119" spans="2:34" x14ac:dyDescent="0.15">
      <c r="B119" s="219" t="s">
        <v>163</v>
      </c>
      <c r="C119" s="219"/>
      <c r="D119" s="219"/>
      <c r="E119" s="219"/>
      <c r="F119" s="219"/>
      <c r="G119" s="219"/>
      <c r="H119" s="219"/>
      <c r="I119" s="220" t="s">
        <v>143</v>
      </c>
      <c r="J119" s="220" t="s">
        <v>149</v>
      </c>
      <c r="K119" s="220" t="s">
        <v>152</v>
      </c>
      <c r="L119" s="220" t="s">
        <v>162</v>
      </c>
    </row>
    <row r="120" spans="2:34" x14ac:dyDescent="0.15">
      <c r="B120" s="221" t="s">
        <v>1199</v>
      </c>
      <c r="C120" s="221"/>
      <c r="D120" s="221"/>
      <c r="E120" s="221"/>
      <c r="F120" s="221"/>
      <c r="G120" s="221"/>
      <c r="H120" s="221"/>
      <c r="I120" s="222"/>
      <c r="J120" s="222"/>
      <c r="K120" s="222"/>
      <c r="L120" s="222"/>
    </row>
    <row r="121" spans="2:34" x14ac:dyDescent="0.15">
      <c r="B121" s="5" t="str">
        <f>+'Data conversion'!A8</f>
        <v>a.</v>
      </c>
      <c r="C121" s="3" t="str">
        <f>+'Data conversion'!B8</f>
        <v>Data normalization</v>
      </c>
      <c r="I121" s="218" t="s">
        <v>144</v>
      </c>
      <c r="J121" s="218" t="s">
        <v>144</v>
      </c>
      <c r="K121" s="218" t="s">
        <v>144</v>
      </c>
      <c r="L121" s="218"/>
    </row>
    <row r="122" spans="2:34" x14ac:dyDescent="0.15">
      <c r="B122" s="5" t="str">
        <f>+'Data conversion'!A66</f>
        <v>b.</v>
      </c>
      <c r="C122" s="3" t="str">
        <f>+'Data conversion'!B66</f>
        <v>Data conversion</v>
      </c>
      <c r="I122" s="218" t="s">
        <v>144</v>
      </c>
      <c r="J122" s="256" t="s">
        <v>144</v>
      </c>
      <c r="K122" s="256" t="s">
        <v>144</v>
      </c>
      <c r="L122" s="218"/>
    </row>
    <row r="123" spans="2:34" x14ac:dyDescent="0.15">
      <c r="B123" s="5" t="str">
        <f>+'Data conversion'!A120</f>
        <v>c.</v>
      </c>
      <c r="C123" s="3" t="str">
        <f>+'Data conversion'!B120</f>
        <v>Obtain allele size difference of an SSR marker</v>
      </c>
      <c r="I123" s="218" t="s">
        <v>144</v>
      </c>
    </row>
    <row r="124" spans="2:34" x14ac:dyDescent="0.15">
      <c r="B124" s="5" t="str">
        <f>+'Data conversion'!A136</f>
        <v>d.</v>
      </c>
      <c r="C124" s="3" t="str">
        <f>+'Data conversion'!B136</f>
        <v>Convert Illumina's single-letter genotype to an SNP genotype</v>
      </c>
      <c r="K124" s="218" t="s">
        <v>144</v>
      </c>
    </row>
    <row r="125" spans="2:34" x14ac:dyDescent="0.15">
      <c r="B125" s="5" t="str">
        <f>+'Data conversion'!A165</f>
        <v>e.</v>
      </c>
      <c r="C125" s="3" t="str">
        <f>+'Data conversion'!B165</f>
        <v>Convert HapMap's single-letter genotype to an SNP genotype</v>
      </c>
      <c r="L125" s="218" t="s">
        <v>144</v>
      </c>
    </row>
    <row r="126" spans="2:34" x14ac:dyDescent="0.15">
      <c r="B126" s="224"/>
      <c r="C126" s="224"/>
      <c r="D126" s="224"/>
      <c r="E126" s="224"/>
      <c r="F126" s="224"/>
      <c r="G126" s="224"/>
      <c r="H126" s="224"/>
      <c r="I126" s="225"/>
      <c r="J126" s="225"/>
      <c r="K126" s="225"/>
      <c r="M126" s="225"/>
    </row>
    <row r="127" spans="2:34" x14ac:dyDescent="0.15">
      <c r="B127" s="221" t="s">
        <v>1198</v>
      </c>
      <c r="C127" s="221"/>
      <c r="D127" s="221"/>
      <c r="E127" s="221"/>
      <c r="F127" s="221"/>
      <c r="G127" s="221"/>
      <c r="H127" s="221"/>
      <c r="I127" s="222" t="s">
        <v>739</v>
      </c>
      <c r="J127" s="222" t="s">
        <v>740</v>
      </c>
      <c r="K127" s="222" t="s">
        <v>33</v>
      </c>
      <c r="L127" s="222" t="s">
        <v>731</v>
      </c>
      <c r="M127" s="218"/>
    </row>
    <row r="128" spans="2:34" x14ac:dyDescent="0.15">
      <c r="B128" s="5" t="str">
        <f>+'Basic analysis'!A8</f>
        <v>a.</v>
      </c>
      <c r="C128" s="3" t="str">
        <f>+'Basic analysis'!B8</f>
        <v>Right-side allele of genotype</v>
      </c>
      <c r="I128" s="218" t="s">
        <v>144</v>
      </c>
      <c r="J128" s="218" t="s">
        <v>144</v>
      </c>
      <c r="K128" s="218"/>
      <c r="M128" s="218"/>
    </row>
    <row r="129" spans="2:13" x14ac:dyDescent="0.15">
      <c r="B129" s="5" t="str">
        <f>+'Basic analysis'!A27</f>
        <v>b.</v>
      </c>
      <c r="C129" s="3" t="str">
        <f>+'Basic analysis'!B27</f>
        <v>Lleft-side allele of genotype</v>
      </c>
      <c r="I129" s="218" t="s">
        <v>144</v>
      </c>
      <c r="J129" s="218" t="s">
        <v>144</v>
      </c>
      <c r="K129" s="218"/>
      <c r="M129" s="218"/>
    </row>
    <row r="130" spans="2:13" x14ac:dyDescent="0.15">
      <c r="B130" s="5" t="str">
        <f>+'Basic analysis'!A46</f>
        <v>c.</v>
      </c>
      <c r="C130" s="3" t="str">
        <f>+'Basic analysis'!B46</f>
        <v>Examine homozygosity</v>
      </c>
      <c r="I130" s="218" t="s">
        <v>144</v>
      </c>
      <c r="J130" s="218" t="s">
        <v>144</v>
      </c>
      <c r="K130" s="218"/>
      <c r="M130" s="218"/>
    </row>
    <row r="131" spans="2:13" x14ac:dyDescent="0.15">
      <c r="B131" s="5" t="str">
        <f>+'Basic analysis'!A65</f>
        <v>d.</v>
      </c>
      <c r="C131" s="3" t="str">
        <f>+'Basic analysis'!B65</f>
        <v>Examine genotype identity</v>
      </c>
      <c r="I131" s="218" t="s">
        <v>144</v>
      </c>
      <c r="J131" s="218" t="s">
        <v>144</v>
      </c>
      <c r="K131" s="218"/>
      <c r="M131" s="218"/>
    </row>
    <row r="132" spans="2:13" x14ac:dyDescent="0.15">
      <c r="B132" s="5" t="str">
        <f>+'Basic analysis'!A88</f>
        <v>e.</v>
      </c>
      <c r="C132" s="3" t="str">
        <f>+'Basic analysis'!B88</f>
        <v>Test an allele is included in genotype data</v>
      </c>
      <c r="I132" s="218" t="s">
        <v>144</v>
      </c>
      <c r="J132" s="218" t="s">
        <v>144</v>
      </c>
    </row>
    <row r="133" spans="2:13" x14ac:dyDescent="0.15">
      <c r="B133" s="5" t="str">
        <f>+'Basic analysis'!A109</f>
        <v>f.</v>
      </c>
      <c r="C133" s="3" t="str">
        <f>+'Basic analysis'!B109</f>
        <v>Examine ploidy from an SSR genotype</v>
      </c>
      <c r="I133" s="218" t="s">
        <v>144</v>
      </c>
      <c r="J133" s="218"/>
    </row>
    <row r="134" spans="2:13" x14ac:dyDescent="0.15">
      <c r="B134" s="5" t="str">
        <f>+'Basic analysis'!A127</f>
        <v>g.</v>
      </c>
      <c r="C134" s="3" t="str">
        <f>+'Basic analysis'!B127</f>
        <v>Split genotype into alleles</v>
      </c>
      <c r="I134" s="218" t="s">
        <v>144</v>
      </c>
      <c r="J134" s="218" t="s">
        <v>144</v>
      </c>
    </row>
    <row r="135" spans="2:13" x14ac:dyDescent="0.15">
      <c r="B135" s="5" t="str">
        <f>+'Basic analysis'!A146</f>
        <v>h.</v>
      </c>
      <c r="C135" s="3" t="str">
        <f>+'Basic analysis'!B146</f>
        <v>Find a shared allele between two genotypes</v>
      </c>
      <c r="I135" s="218" t="s">
        <v>144</v>
      </c>
      <c r="J135" s="218" t="s">
        <v>144</v>
      </c>
    </row>
    <row r="136" spans="2:13" x14ac:dyDescent="0.15">
      <c r="C136" s="223"/>
      <c r="I136" s="218"/>
      <c r="J136" s="218"/>
    </row>
    <row r="137" spans="2:13" x14ac:dyDescent="0.15">
      <c r="B137" s="221" t="s">
        <v>1197</v>
      </c>
      <c r="C137" s="221"/>
      <c r="D137" s="221"/>
      <c r="E137" s="221"/>
      <c r="F137" s="221"/>
      <c r="G137" s="221"/>
      <c r="H137" s="221"/>
      <c r="I137" s="222" t="s">
        <v>739</v>
      </c>
      <c r="J137" s="222" t="s">
        <v>740</v>
      </c>
      <c r="K137" s="222" t="s">
        <v>33</v>
      </c>
      <c r="L137" s="222" t="s">
        <v>731</v>
      </c>
    </row>
    <row r="138" spans="2:13" x14ac:dyDescent="0.15">
      <c r="B138" s="5" t="str">
        <f>+'Linkage analysis'!A8</f>
        <v>a.</v>
      </c>
      <c r="C138" s="3" t="str">
        <f>+'Linkage analysis'!B8</f>
        <v>Estimate a segregation mode for CP mode</v>
      </c>
      <c r="I138" s="218" t="s">
        <v>144</v>
      </c>
      <c r="J138" s="218" t="s">
        <v>144</v>
      </c>
      <c r="K138" s="218"/>
    </row>
    <row r="139" spans="2:13" x14ac:dyDescent="0.15">
      <c r="B139" s="5" t="str">
        <f>+'Linkage analysis'!A20</f>
        <v>b.</v>
      </c>
      <c r="C139" s="3" t="str">
        <f>+'Linkage analysis'!B20</f>
        <v>Convert a genotype for CP mode</v>
      </c>
      <c r="I139" s="218" t="s">
        <v>144</v>
      </c>
      <c r="J139" s="218" t="s">
        <v>144</v>
      </c>
      <c r="K139" s="218"/>
    </row>
    <row r="140" spans="2:13" x14ac:dyDescent="0.15">
      <c r="B140" s="5" t="str">
        <f>+'Linkage analysis'!A36</f>
        <v>c.</v>
      </c>
      <c r="C140" s="3" t="str">
        <f>+'Linkage analysis'!B36</f>
        <v>Estimate a segregation mode for BC1 or F2 mode</v>
      </c>
      <c r="I140" s="218" t="s">
        <v>144</v>
      </c>
      <c r="J140" s="218" t="s">
        <v>144</v>
      </c>
      <c r="K140" s="218"/>
    </row>
    <row r="141" spans="2:13" x14ac:dyDescent="0.15">
      <c r="B141" s="5" t="str">
        <f>+'Linkage analysis'!A48</f>
        <v>d.</v>
      </c>
      <c r="C141" s="3" t="str">
        <f>+'Linkage analysis'!B48</f>
        <v>Convert a genotype for BC1 mode</v>
      </c>
      <c r="I141" s="218" t="s">
        <v>144</v>
      </c>
      <c r="J141" s="218" t="s">
        <v>144</v>
      </c>
      <c r="K141" s="218"/>
    </row>
    <row r="142" spans="2:13" x14ac:dyDescent="0.15">
      <c r="B142" s="5" t="str">
        <f>+'Linkage analysis'!A62</f>
        <v>e.</v>
      </c>
      <c r="C142" s="3" t="str">
        <f>+'Linkage analysis'!B62</f>
        <v>Convert a genotype for F2 mode</v>
      </c>
      <c r="I142" s="218" t="s">
        <v>144</v>
      </c>
      <c r="J142" s="218" t="s">
        <v>144</v>
      </c>
      <c r="K142" s="218"/>
    </row>
    <row r="143" spans="2:13" x14ac:dyDescent="0.15">
      <c r="B143" s="5" t="str">
        <f>+'Linkage analysis'!A76</f>
        <v>f.</v>
      </c>
      <c r="C143" s="3" t="str">
        <f>+'Linkage analysis'!B76</f>
        <v>Estimate a segregation of an M-formatted genotype</v>
      </c>
      <c r="I143" s="218" t="s">
        <v>144</v>
      </c>
      <c r="J143" s="218" t="s">
        <v>144</v>
      </c>
      <c r="K143" s="218"/>
    </row>
    <row r="144" spans="2:13" x14ac:dyDescent="0.15">
      <c r="B144" s="5" t="str">
        <f>+'Linkage analysis'!A84</f>
        <v>g.</v>
      </c>
      <c r="C144" s="3" t="str">
        <f>+'Linkage analysis'!B84</f>
        <v>Estimate a segregation mode of two parental genotypes according to BC1 or F2</v>
      </c>
      <c r="I144" s="218" t="s">
        <v>144</v>
      </c>
      <c r="J144" s="218" t="s">
        <v>144</v>
      </c>
      <c r="K144" s="218"/>
    </row>
    <row r="145" spans="2:12" x14ac:dyDescent="0.15">
      <c r="C145" s="223"/>
      <c r="I145" s="218"/>
      <c r="J145" s="218"/>
      <c r="K145" s="218"/>
    </row>
    <row r="146" spans="2:12" x14ac:dyDescent="0.15">
      <c r="B146" s="221" t="s">
        <v>1528</v>
      </c>
      <c r="C146" s="221"/>
      <c r="D146" s="221"/>
      <c r="E146" s="221"/>
      <c r="F146" s="221"/>
      <c r="G146" s="221"/>
      <c r="H146" s="221"/>
      <c r="I146" s="222" t="s">
        <v>739</v>
      </c>
      <c r="J146" s="222" t="s">
        <v>740</v>
      </c>
      <c r="K146" s="222" t="s">
        <v>33</v>
      </c>
      <c r="L146" s="222" t="s">
        <v>731</v>
      </c>
    </row>
    <row r="147" spans="2:12" x14ac:dyDescent="0.15">
      <c r="B147" s="5" t="str">
        <f>+'Data set analysis'!A40</f>
        <v>a.</v>
      </c>
      <c r="C147" s="3" t="str">
        <f>+'Data set analysis'!B40</f>
        <v>Number of unique alleles in a designated dataset</v>
      </c>
      <c r="I147" s="218" t="s">
        <v>144</v>
      </c>
      <c r="J147" s="218" t="s">
        <v>144</v>
      </c>
      <c r="K147" s="218" t="s">
        <v>144</v>
      </c>
      <c r="L147" s="218" t="s">
        <v>144</v>
      </c>
    </row>
    <row r="148" spans="2:12" x14ac:dyDescent="0.15">
      <c r="B148" s="5" t="str">
        <f>+'Data set analysis'!A61</f>
        <v>b.</v>
      </c>
      <c r="C148" s="3" t="str">
        <f>+'Data set analysis'!B61</f>
        <v>Number of unique genotypes in a designated dataset</v>
      </c>
      <c r="I148" s="218" t="s">
        <v>144</v>
      </c>
      <c r="J148" s="218" t="s">
        <v>144</v>
      </c>
      <c r="K148" s="218" t="s">
        <v>144</v>
      </c>
    </row>
    <row r="149" spans="2:12" x14ac:dyDescent="0.15">
      <c r="B149" s="5" t="str">
        <f>+'Data set analysis'!A83</f>
        <v>c.</v>
      </c>
      <c r="C149" s="3" t="str">
        <f>+'Data set analysis'!B83</f>
        <v>A unique allele in a designated dataset</v>
      </c>
      <c r="I149" s="218" t="s">
        <v>144</v>
      </c>
      <c r="J149" s="218" t="s">
        <v>144</v>
      </c>
      <c r="K149" s="218" t="s">
        <v>144</v>
      </c>
      <c r="L149" s="218" t="s">
        <v>144</v>
      </c>
    </row>
    <row r="150" spans="2:12" x14ac:dyDescent="0.15">
      <c r="B150" s="5" t="str">
        <f>+'Data set analysis'!A133</f>
        <v>d.</v>
      </c>
      <c r="C150" s="3" t="str">
        <f>+'Data set analysis'!B133</f>
        <v>A unique genotype in a designated dataset</v>
      </c>
      <c r="I150" s="218" t="s">
        <v>144</v>
      </c>
      <c r="J150" s="218" t="s">
        <v>144</v>
      </c>
      <c r="K150" s="218" t="s">
        <v>144</v>
      </c>
    </row>
    <row r="151" spans="2:12" x14ac:dyDescent="0.15">
      <c r="B151" s="5" t="str">
        <f>+'Data set analysis'!A173</f>
        <v>e.</v>
      </c>
      <c r="C151" s="3" t="str">
        <f>+'Data set analysis'!B173</f>
        <v>Ratio of matched genotypes by pairwise comparison between the two datasets</v>
      </c>
      <c r="I151" s="218" t="s">
        <v>144</v>
      </c>
      <c r="J151" s="218" t="s">
        <v>144</v>
      </c>
      <c r="K151" s="218" t="s">
        <v>144</v>
      </c>
      <c r="L151" s="218" t="s">
        <v>144</v>
      </c>
    </row>
    <row r="152" spans="2:12" x14ac:dyDescent="0.15">
      <c r="B152" s="5" t="str">
        <f>+'Data set analysis'!A224</f>
        <v>f.</v>
      </c>
      <c r="C152" s="3" t="str">
        <f>+'Data set analysis'!B224</f>
        <v>Ratio of matched alleles by pairwise comparison between the two datasets</v>
      </c>
      <c r="I152" s="218" t="s">
        <v>144</v>
      </c>
      <c r="J152" s="218" t="s">
        <v>144</v>
      </c>
      <c r="K152" s="218" t="s">
        <v>144</v>
      </c>
    </row>
    <row r="153" spans="2:12" x14ac:dyDescent="0.15">
      <c r="C153" s="223"/>
      <c r="I153" s="218"/>
      <c r="J153" s="218"/>
      <c r="K153" s="218"/>
      <c r="L153" s="218"/>
    </row>
    <row r="154" spans="2:12" x14ac:dyDescent="0.15">
      <c r="B154" s="221" t="s">
        <v>1196</v>
      </c>
      <c r="C154" s="221"/>
      <c r="D154" s="221"/>
      <c r="E154" s="221"/>
      <c r="F154" s="221"/>
      <c r="G154" s="221"/>
      <c r="H154" s="221"/>
      <c r="I154" s="222" t="s">
        <v>739</v>
      </c>
      <c r="J154" s="222" t="s">
        <v>740</v>
      </c>
      <c r="K154" s="222" t="s">
        <v>33</v>
      </c>
      <c r="L154" s="222" t="s">
        <v>731</v>
      </c>
    </row>
    <row r="155" spans="2:12" x14ac:dyDescent="0.15">
      <c r="B155" s="5" t="str">
        <f>+'Freq analysis'!A41</f>
        <v>a.</v>
      </c>
      <c r="C155" s="3" t="str">
        <f>+'Freq analysis'!B41</f>
        <v>Frequency of a particular allele in a designated dataset</v>
      </c>
      <c r="I155" s="218" t="s">
        <v>144</v>
      </c>
      <c r="J155" s="218" t="s">
        <v>144</v>
      </c>
      <c r="K155" s="218" t="s">
        <v>144</v>
      </c>
      <c r="L155" s="218" t="s">
        <v>144</v>
      </c>
    </row>
    <row r="156" spans="2:12" x14ac:dyDescent="0.15">
      <c r="B156" s="5" t="str">
        <f>+'Freq analysis'!A71</f>
        <v>b.</v>
      </c>
      <c r="C156" s="3" t="str">
        <f>+'Freq analysis'!B71</f>
        <v>Frequency of a particular genotype in a designated dataset</v>
      </c>
      <c r="I156" s="218" t="s">
        <v>144</v>
      </c>
      <c r="J156" s="218" t="s">
        <v>144</v>
      </c>
      <c r="K156" s="218" t="s">
        <v>144</v>
      </c>
    </row>
    <row r="157" spans="2:12" x14ac:dyDescent="0.15">
      <c r="B157" s="5" t="str">
        <f>+'Freq analysis'!A101</f>
        <v>c.</v>
      </c>
      <c r="C157" s="3" t="str">
        <f>+'Freq analysis'!B101</f>
        <v>Observed heterozygosity (Ho)</v>
      </c>
      <c r="I157" s="218" t="s">
        <v>144</v>
      </c>
      <c r="J157" s="218" t="s">
        <v>144</v>
      </c>
      <c r="K157" s="218" t="s">
        <v>144</v>
      </c>
    </row>
    <row r="158" spans="2:12" x14ac:dyDescent="0.15">
      <c r="B158" s="5" t="str">
        <f>+'Freq analysis'!A116</f>
        <v>d.</v>
      </c>
      <c r="C158" s="3" t="str">
        <f>+'Freq analysis'!B116</f>
        <v>Expected heterozygosity (He)</v>
      </c>
      <c r="I158" s="218" t="s">
        <v>144</v>
      </c>
      <c r="J158" s="218" t="s">
        <v>144</v>
      </c>
      <c r="K158" s="218" t="s">
        <v>144</v>
      </c>
    </row>
    <row r="159" spans="2:12" x14ac:dyDescent="0.15">
      <c r="B159" s="5" t="str">
        <f>+'Freq analysis'!A130</f>
        <v>e.</v>
      </c>
      <c r="C159" s="3" t="str">
        <f>+'Freq analysis'!B130</f>
        <v>Polymorphic information content (PIC)</v>
      </c>
      <c r="I159" s="218" t="s">
        <v>144</v>
      </c>
      <c r="J159" s="218" t="s">
        <v>144</v>
      </c>
      <c r="K159" s="218" t="s">
        <v>144</v>
      </c>
    </row>
    <row r="160" spans="2:12" x14ac:dyDescent="0.15">
      <c r="B160" s="5" t="str">
        <f>+'Freq analysis'!A145</f>
        <v>f.</v>
      </c>
      <c r="C160" s="3" t="str">
        <f>+'Freq analysis'!B145</f>
        <v>Match probability (PM)</v>
      </c>
      <c r="I160" s="218" t="s">
        <v>144</v>
      </c>
      <c r="J160" s="218" t="s">
        <v>144</v>
      </c>
      <c r="K160" s="218" t="s">
        <v>144</v>
      </c>
    </row>
    <row r="161" spans="2:12" x14ac:dyDescent="0.15">
      <c r="B161" s="5" t="str">
        <f>+'Freq analysis'!A160</f>
        <v>g.</v>
      </c>
      <c r="C161" s="3" t="str">
        <f>+'Freq analysis'!B160</f>
        <v>Power of discrimination (PD)</v>
      </c>
      <c r="I161" s="218" t="s">
        <v>144</v>
      </c>
      <c r="J161" s="218" t="s">
        <v>144</v>
      </c>
      <c r="K161" s="218" t="s">
        <v>144</v>
      </c>
    </row>
    <row r="162" spans="2:12" x14ac:dyDescent="0.15">
      <c r="B162" s="5" t="str">
        <f>+'Freq analysis'!A175</f>
        <v>h.</v>
      </c>
      <c r="C162" s="3" t="str">
        <f>+'Freq analysis'!B175</f>
        <v>Unbiased estimator of expected heterozygosity for a random population (GD)</v>
      </c>
      <c r="I162" s="218" t="s">
        <v>144</v>
      </c>
      <c r="J162" s="218" t="s">
        <v>144</v>
      </c>
      <c r="K162" s="218" t="s">
        <v>144</v>
      </c>
    </row>
    <row r="163" spans="2:12" x14ac:dyDescent="0.15">
      <c r="B163" s="5" t="str">
        <f>+'Freq analysis'!A189</f>
        <v>i.</v>
      </c>
      <c r="C163" s="3" t="str">
        <f>+'Freq analysis'!B189</f>
        <v>Unbiased estimator of expected heterozygosity for a selfed population (GD2)</v>
      </c>
      <c r="I163" s="256" t="s">
        <v>144</v>
      </c>
      <c r="J163" s="256" t="s">
        <v>144</v>
      </c>
      <c r="K163" s="256" t="s">
        <v>144</v>
      </c>
      <c r="L163" s="256" t="s">
        <v>144</v>
      </c>
    </row>
    <row r="164" spans="2:12" x14ac:dyDescent="0.15">
      <c r="B164" s="5" t="str">
        <f>+'Freq analysis'!A203</f>
        <v>j.</v>
      </c>
      <c r="C164" s="3" t="str">
        <f>+'Freq analysis'!B203</f>
        <v xml:space="preserve">Direct product of genotype frequency (f0) according to Ukai’s theory of varietal identification </v>
      </c>
      <c r="I164" s="218"/>
      <c r="J164" s="218"/>
      <c r="K164" s="218"/>
      <c r="L164" s="218"/>
    </row>
    <row r="165" spans="2:12" ht="29.25" customHeight="1" x14ac:dyDescent="0.15">
      <c r="B165" s="5" t="str">
        <f>+'Freq analysis'!A211</f>
        <v>k.</v>
      </c>
      <c r="C165" s="262" t="str">
        <f>+'Freq analysis'!B211</f>
        <v>Probability that a randomly selected individual will show a genotype identical to a particular individual</v>
      </c>
      <c r="D165" s="262"/>
      <c r="E165" s="262"/>
      <c r="F165" s="262"/>
      <c r="G165" s="262"/>
      <c r="H165" s="262"/>
      <c r="I165" s="256" t="s">
        <v>144</v>
      </c>
      <c r="J165" s="256" t="s">
        <v>144</v>
      </c>
      <c r="K165" s="256" t="s">
        <v>144</v>
      </c>
      <c r="L165" s="256" t="s">
        <v>144</v>
      </c>
    </row>
    <row r="167" spans="2:12" x14ac:dyDescent="0.15">
      <c r="B167" s="221" t="s">
        <v>1195</v>
      </c>
      <c r="C167" s="221"/>
      <c r="D167" s="221"/>
      <c r="E167" s="221"/>
      <c r="F167" s="221"/>
      <c r="G167" s="221"/>
      <c r="H167" s="221"/>
      <c r="I167" s="222" t="s">
        <v>739</v>
      </c>
      <c r="J167" s="222" t="s">
        <v>740</v>
      </c>
      <c r="K167" s="222" t="s">
        <v>33</v>
      </c>
      <c r="L167" s="222" t="s">
        <v>731</v>
      </c>
    </row>
    <row r="168" spans="2:12" x14ac:dyDescent="0.15">
      <c r="B168" s="257" t="str">
        <f>+'Genetic data analysis'!A8</f>
        <v>a.</v>
      </c>
      <c r="C168" s="261" t="str">
        <f>+'Genetic data analysis'!B8</f>
        <v>Allele sharing test (single parent test)</v>
      </c>
      <c r="I168" s="218" t="s">
        <v>144</v>
      </c>
      <c r="J168" s="218" t="s">
        <v>144</v>
      </c>
      <c r="K168" s="218" t="s">
        <v>144</v>
      </c>
    </row>
    <row r="169" spans="2:12" x14ac:dyDescent="0.15">
      <c r="B169" s="5" t="str">
        <f>+'Genetic data analysis'!A28</f>
        <v>b.</v>
      </c>
      <c r="C169" s="255" t="str">
        <f>+'Genetic data analysis'!B28</f>
        <v>Trio test (family test)</v>
      </c>
      <c r="I169" s="218" t="s">
        <v>144</v>
      </c>
      <c r="J169" s="218" t="s">
        <v>144</v>
      </c>
      <c r="K169" s="218" t="s">
        <v>737</v>
      </c>
    </row>
    <row r="170" spans="2:12" x14ac:dyDescent="0.15">
      <c r="B170" s="5" t="str">
        <f>+'Genetic data analysis'!A70</f>
        <v>c.</v>
      </c>
      <c r="C170" s="255" t="str">
        <f>+'Genetic data analysis'!B70</f>
        <v>Probability of obtaining a particular offspring from parents, T(g0|gm, ga)</v>
      </c>
      <c r="I170" s="218" t="s">
        <v>144</v>
      </c>
      <c r="J170" s="218" t="s">
        <v>144</v>
      </c>
      <c r="K170" s="218" t="s">
        <v>737</v>
      </c>
    </row>
    <row r="171" spans="2:12" x14ac:dyDescent="0.15">
      <c r="B171" s="5" t="str">
        <f>+'Genetic data analysis'!A90</f>
        <v>d.</v>
      </c>
      <c r="C171" s="255" t="str">
        <f>+'Genetic data analysis'!B90</f>
        <v>Probability of obtaining a particular offspring from a random mating population</v>
      </c>
      <c r="I171" s="218" t="s">
        <v>144</v>
      </c>
      <c r="J171" s="218" t="s">
        <v>144</v>
      </c>
      <c r="K171" s="218" t="s">
        <v>737</v>
      </c>
    </row>
    <row r="172" spans="2:12" ht="27" customHeight="1" x14ac:dyDescent="0.15">
      <c r="B172" s="5" t="str">
        <f>+'Genetic data analysis'!A139</f>
        <v>e.</v>
      </c>
      <c r="C172" s="262" t="str">
        <f>+'Genetic data analysis'!B139</f>
        <v>Probability of obtaining a particular offspring from an individual of the population and an alleged parent</v>
      </c>
      <c r="D172" s="262"/>
      <c r="E172" s="262"/>
      <c r="F172" s="262"/>
      <c r="G172" s="262"/>
      <c r="H172" s="262"/>
      <c r="I172" s="218" t="s">
        <v>144</v>
      </c>
      <c r="J172" s="218" t="s">
        <v>144</v>
      </c>
      <c r="K172" s="218"/>
    </row>
    <row r="173" spans="2:12" x14ac:dyDescent="0.15">
      <c r="B173" s="226"/>
      <c r="C173" s="226"/>
      <c r="D173" s="226"/>
      <c r="E173" s="226"/>
      <c r="F173" s="226"/>
      <c r="G173" s="226"/>
      <c r="H173" s="226"/>
      <c r="I173" s="226"/>
      <c r="J173" s="226"/>
      <c r="K173" s="226"/>
      <c r="L173" s="226"/>
    </row>
    <row r="174" spans="2:12" x14ac:dyDescent="0.15">
      <c r="B174" s="221" t="s">
        <v>1194</v>
      </c>
      <c r="C174" s="221"/>
      <c r="D174" s="221"/>
      <c r="E174" s="221"/>
      <c r="F174" s="221"/>
      <c r="G174" s="221"/>
      <c r="H174" s="221"/>
      <c r="I174" s="222" t="s">
        <v>1015</v>
      </c>
      <c r="J174" s="222" t="s">
        <v>1016</v>
      </c>
      <c r="K174" s="222" t="s">
        <v>62</v>
      </c>
      <c r="L174" s="222" t="s">
        <v>1017</v>
      </c>
    </row>
    <row r="175" spans="2:12" x14ac:dyDescent="0.15">
      <c r="B175" s="257" t="str">
        <f>+'Sequence manipulation'!A8</f>
        <v>a.</v>
      </c>
      <c r="C175" s="223" t="str">
        <f>+'Sequence manipulation'!B8</f>
        <v>Complementary nucleotide</v>
      </c>
      <c r="I175" s="218" t="s">
        <v>144</v>
      </c>
      <c r="J175" s="218" t="s">
        <v>144</v>
      </c>
      <c r="K175" s="218"/>
      <c r="L175" s="218"/>
    </row>
    <row r="176" spans="2:12" x14ac:dyDescent="0.15">
      <c r="B176" s="257" t="str">
        <f>+'Sequence manipulation'!A26</f>
        <v>b.</v>
      </c>
      <c r="C176" s="223" t="str">
        <f>+'Sequence manipulation'!B26</f>
        <v>Complementary sequence</v>
      </c>
      <c r="I176" s="218" t="s">
        <v>144</v>
      </c>
      <c r="J176" s="218" t="s">
        <v>144</v>
      </c>
      <c r="K176" s="218" t="s">
        <v>144</v>
      </c>
      <c r="L176" s="218"/>
    </row>
    <row r="177" spans="2:12" x14ac:dyDescent="0.15">
      <c r="B177" s="257" t="str">
        <f>+'Sequence manipulation'!A45</f>
        <v>c.</v>
      </c>
      <c r="C177" s="223" t="str">
        <f>+'Sequence manipulation'!B45</f>
        <v>Reverse sequence</v>
      </c>
      <c r="I177" s="218" t="s">
        <v>144</v>
      </c>
      <c r="J177" s="218" t="s">
        <v>144</v>
      </c>
      <c r="K177" s="256" t="s">
        <v>144</v>
      </c>
      <c r="L177" s="218"/>
    </row>
    <row r="178" spans="2:12" x14ac:dyDescent="0.15">
      <c r="B178" s="257" t="str">
        <f>+'Sequence manipulation'!A64</f>
        <v>d.</v>
      </c>
      <c r="C178" s="223" t="str">
        <f>+'Sequence manipulation'!B64</f>
        <v>Reverse complementary sequence</v>
      </c>
      <c r="H178" s="227"/>
      <c r="I178" s="218" t="s">
        <v>144</v>
      </c>
      <c r="J178" s="218" t="s">
        <v>144</v>
      </c>
      <c r="K178" s="218"/>
      <c r="L178" s="218"/>
    </row>
    <row r="179" spans="2:12" x14ac:dyDescent="0.15">
      <c r="B179" s="257" t="str">
        <f>+'Sequence manipulation'!A83</f>
        <v>e.</v>
      </c>
      <c r="C179" s="223" t="str">
        <f>+'Sequence manipulation'!B83</f>
        <v>Split the sequence with space</v>
      </c>
      <c r="H179" s="227"/>
      <c r="I179" s="218" t="s">
        <v>144</v>
      </c>
      <c r="J179" s="218" t="s">
        <v>144</v>
      </c>
      <c r="K179" s="218" t="s">
        <v>144</v>
      </c>
      <c r="L179" s="256"/>
    </row>
    <row r="180" spans="2:12" x14ac:dyDescent="0.15">
      <c r="B180" s="257" t="str">
        <f>+'Sequence manipulation'!A104</f>
        <v>f.</v>
      </c>
      <c r="C180" s="223" t="str">
        <f>+'Sequence manipulation'!B104</f>
        <v>Bracketing a character in the sequence</v>
      </c>
      <c r="H180" s="227"/>
      <c r="I180" s="218" t="s">
        <v>144</v>
      </c>
      <c r="J180" s="218" t="s">
        <v>144</v>
      </c>
      <c r="K180" s="218" t="s">
        <v>144</v>
      </c>
      <c r="L180" s="256"/>
    </row>
    <row r="181" spans="2:12" x14ac:dyDescent="0.15">
      <c r="B181" s="257" t="str">
        <f>+'Sequence manipulation'!A125</f>
        <v>g.</v>
      </c>
      <c r="C181" s="223" t="str">
        <f>+'Sequence manipulation'!B125</f>
        <v>Remove extra code in the sequence</v>
      </c>
      <c r="I181" s="218" t="s">
        <v>144</v>
      </c>
      <c r="J181" s="256" t="s">
        <v>144</v>
      </c>
      <c r="K181" s="256" t="s">
        <v>144</v>
      </c>
      <c r="L181" s="256"/>
    </row>
    <row r="182" spans="2:12" x14ac:dyDescent="0.15">
      <c r="B182" s="257" t="str">
        <f>+'Sequence manipulation'!A146</f>
        <v>h.</v>
      </c>
      <c r="C182" s="223" t="str">
        <f>+'Sequence manipulation'!B146</f>
        <v>Convert a DNA code to RNA code</v>
      </c>
      <c r="H182" s="227"/>
      <c r="I182" s="218" t="s">
        <v>144</v>
      </c>
      <c r="K182" s="218"/>
      <c r="L182" s="218"/>
    </row>
    <row r="183" spans="2:12" x14ac:dyDescent="0.15">
      <c r="B183" s="257" t="str">
        <f>+'Sequence manipulation'!A166</f>
        <v>i.</v>
      </c>
      <c r="C183" s="223" t="str">
        <f>+'Sequence manipulation'!B166</f>
        <v>Convert an RNA code to DNA code</v>
      </c>
      <c r="I183" s="218"/>
      <c r="J183" s="218" t="s">
        <v>144</v>
      </c>
      <c r="K183" s="218"/>
      <c r="L183" s="218"/>
    </row>
    <row r="184" spans="2:12" x14ac:dyDescent="0.15">
      <c r="B184" s="257" t="str">
        <f>+'Sequence manipulation'!A186</f>
        <v>j.</v>
      </c>
      <c r="C184" s="223" t="str">
        <f>+'Sequence manipulation'!B186</f>
        <v>Convert DNA sequence to RNA sequence</v>
      </c>
      <c r="I184" s="218" t="s">
        <v>144</v>
      </c>
      <c r="J184" s="218"/>
      <c r="K184" s="218"/>
      <c r="L184" s="218"/>
    </row>
    <row r="185" spans="2:12" x14ac:dyDescent="0.15">
      <c r="B185" s="257" t="str">
        <f>+'Sequence manipulation'!A205</f>
        <v>k.</v>
      </c>
      <c r="C185" s="223" t="str">
        <f>+'Sequence manipulation'!B205</f>
        <v>Convert RNA sequence to DNA sequence</v>
      </c>
      <c r="I185" s="218"/>
      <c r="J185" s="218" t="s">
        <v>144</v>
      </c>
      <c r="K185" s="218"/>
    </row>
    <row r="186" spans="2:12" x14ac:dyDescent="0.15">
      <c r="B186" s="257" t="str">
        <f>+'Sequence manipulation'!A224</f>
        <v>l.</v>
      </c>
      <c r="C186" s="223" t="str">
        <f>+'Sequence manipulation'!B224</f>
        <v>Format the sequence by insert line feed at same interval</v>
      </c>
      <c r="I186" s="218" t="s">
        <v>144</v>
      </c>
      <c r="J186" s="218" t="s">
        <v>144</v>
      </c>
      <c r="K186" s="256" t="s">
        <v>144</v>
      </c>
      <c r="L186" s="256" t="s">
        <v>144</v>
      </c>
    </row>
    <row r="187" spans="2:12" x14ac:dyDescent="0.15">
      <c r="B187" s="257" t="str">
        <f>+'Sequence manipulation'!A246</f>
        <v>m.</v>
      </c>
      <c r="C187" s="223" t="str">
        <f>+'Sequence manipulation'!B246</f>
        <v>Extract 5' nucleotide sequence</v>
      </c>
      <c r="I187" s="218" t="s">
        <v>144</v>
      </c>
      <c r="J187" s="218" t="s">
        <v>144</v>
      </c>
      <c r="K187" s="218"/>
      <c r="L187" s="218"/>
    </row>
    <row r="188" spans="2:12" x14ac:dyDescent="0.15">
      <c r="B188" s="257" t="str">
        <f>+'Sequence manipulation'!A270</f>
        <v>n.</v>
      </c>
      <c r="C188" s="223" t="str">
        <f>+'Sequence manipulation'!B270</f>
        <v>Extract the 3' nucleotide sequence for N bases</v>
      </c>
      <c r="I188" s="218" t="s">
        <v>144</v>
      </c>
      <c r="J188" s="218" t="s">
        <v>144</v>
      </c>
      <c r="K188" s="218"/>
      <c r="L188" s="218"/>
    </row>
    <row r="189" spans="2:12" x14ac:dyDescent="0.15">
      <c r="B189" s="257" t="str">
        <f>+'Sequence manipulation'!A294</f>
        <v>o.</v>
      </c>
      <c r="C189" s="223" t="str">
        <f>+'Sequence manipulation'!B294</f>
        <v>Convert nucleotide sequence to amino acid sequence</v>
      </c>
      <c r="I189" s="218" t="s">
        <v>144</v>
      </c>
      <c r="J189" s="218" t="s">
        <v>144</v>
      </c>
      <c r="K189" s="218"/>
      <c r="L189" s="218"/>
    </row>
    <row r="190" spans="2:12" x14ac:dyDescent="0.15">
      <c r="B190" s="257" t="str">
        <f>+'Sequence manipulation'!A321</f>
        <v>p.</v>
      </c>
      <c r="C190" s="223" t="str">
        <f>+'Sequence manipulation'!B321</f>
        <v>Nucleotide composition and sequence length</v>
      </c>
      <c r="I190" s="218" t="s">
        <v>144</v>
      </c>
      <c r="J190" s="218" t="s">
        <v>144</v>
      </c>
      <c r="K190" s="218"/>
      <c r="L190" s="218"/>
    </row>
    <row r="191" spans="2:12" x14ac:dyDescent="0.15">
      <c r="B191" s="258" t="str">
        <f>+'Sequence manipulation'!A338</f>
        <v>q.</v>
      </c>
      <c r="C191" s="249" t="str">
        <f>+'Sequence manipulation'!B338</f>
        <v>GC ratio of the nucleic acid sequence</v>
      </c>
      <c r="D191" s="226"/>
      <c r="E191" s="226"/>
      <c r="F191" s="226"/>
      <c r="G191" s="226"/>
      <c r="H191" s="248"/>
      <c r="I191" s="236" t="s">
        <v>144</v>
      </c>
      <c r="J191" s="236" t="s">
        <v>144</v>
      </c>
      <c r="K191" s="236"/>
      <c r="L191" s="236"/>
    </row>
    <row r="192" spans="2:12" x14ac:dyDescent="0.15">
      <c r="B192" s="258" t="str">
        <f>+'Sequence manipulation'!A355</f>
        <v>r.</v>
      </c>
      <c r="C192" s="249" t="str">
        <f>+'Sequence manipulation'!B355</f>
        <v>Count the occurrence of a motif in the target sequence</v>
      </c>
      <c r="D192" s="226"/>
      <c r="E192" s="226"/>
      <c r="F192" s="226"/>
      <c r="G192" s="226"/>
      <c r="H192" s="226"/>
      <c r="I192" s="236" t="s">
        <v>144</v>
      </c>
      <c r="J192" s="236" t="s">
        <v>144</v>
      </c>
      <c r="K192" s="236" t="s">
        <v>144</v>
      </c>
      <c r="L192" s="236" t="s">
        <v>144</v>
      </c>
    </row>
    <row r="193" spans="1:12" x14ac:dyDescent="0.15">
      <c r="B193" s="258" t="str">
        <f>+'Sequence manipulation'!A384</f>
        <v>s.</v>
      </c>
      <c r="C193" s="249" t="str">
        <f>+'Sequence manipulation'!B384</f>
        <v>Find the first position of a motif sequence appeared in the target sequence</v>
      </c>
      <c r="D193" s="226"/>
      <c r="E193" s="226"/>
      <c r="F193" s="226"/>
      <c r="G193" s="226"/>
      <c r="H193" s="226"/>
      <c r="I193" s="236" t="s">
        <v>144</v>
      </c>
      <c r="J193" s="236" t="s">
        <v>144</v>
      </c>
      <c r="K193" s="236" t="s">
        <v>144</v>
      </c>
      <c r="L193" s="236" t="s">
        <v>144</v>
      </c>
    </row>
    <row r="194" spans="1:12" x14ac:dyDescent="0.15">
      <c r="B194" s="258" t="str">
        <f>+'Sequence manipulation'!A413</f>
        <v>t.</v>
      </c>
      <c r="C194" s="249" t="str">
        <f>+'Sequence manipulation'!B413</f>
        <v>List of positions of the motif sequence appeared in the target sequence</v>
      </c>
      <c r="D194" s="226"/>
      <c r="E194" s="226"/>
      <c r="F194" s="226"/>
      <c r="G194" s="226"/>
      <c r="H194" s="226"/>
      <c r="I194" s="236" t="s">
        <v>144</v>
      </c>
      <c r="J194" s="236" t="s">
        <v>144</v>
      </c>
      <c r="K194" s="236" t="s">
        <v>144</v>
      </c>
      <c r="L194" s="236" t="s">
        <v>144</v>
      </c>
    </row>
    <row r="195" spans="1:12" x14ac:dyDescent="0.15">
      <c r="B195" s="259" t="str">
        <f>+'Sequence manipulation'!A437</f>
        <v>u.</v>
      </c>
      <c r="C195" s="226" t="str">
        <f>+'Sequence manipulation'!B437</f>
        <v>Mark the all motif sequence appeared in the target sequence</v>
      </c>
      <c r="D195" s="226"/>
      <c r="E195" s="226"/>
      <c r="F195" s="226"/>
      <c r="G195" s="226"/>
      <c r="H195" s="226"/>
      <c r="I195" s="236" t="s">
        <v>144</v>
      </c>
      <c r="J195" s="236" t="s">
        <v>144</v>
      </c>
      <c r="K195" s="236" t="s">
        <v>144</v>
      </c>
      <c r="L195" s="236" t="s">
        <v>144</v>
      </c>
    </row>
    <row r="196" spans="1:12" x14ac:dyDescent="0.15">
      <c r="B196" s="259" t="str">
        <f>+'Sequence manipulation'!A461</f>
        <v>v.</v>
      </c>
      <c r="C196" s="226" t="str">
        <f>+'Sequence manipulation'!B461</f>
        <v>Match the query sequence to the reference sequence</v>
      </c>
      <c r="D196" s="226"/>
      <c r="E196" s="226"/>
      <c r="F196" s="226"/>
      <c r="G196" s="226"/>
      <c r="H196" s="248"/>
      <c r="I196" s="236" t="s">
        <v>144</v>
      </c>
      <c r="J196" s="236" t="s">
        <v>144</v>
      </c>
      <c r="K196" s="236" t="s">
        <v>144</v>
      </c>
      <c r="L196" s="236" t="s">
        <v>144</v>
      </c>
    </row>
    <row r="197" spans="1:12" x14ac:dyDescent="0.15">
      <c r="B197" s="259" t="str">
        <f>+'Sequence manipulation'!A487</f>
        <v>w.</v>
      </c>
      <c r="C197" s="226" t="str">
        <f>+'Sequence manipulation'!B487</f>
        <v>Ratio of the matched query sequence to the reference sequence</v>
      </c>
      <c r="D197" s="226"/>
      <c r="E197" s="226"/>
      <c r="F197" s="226"/>
      <c r="G197" s="226"/>
      <c r="H197" s="248"/>
      <c r="I197" s="236" t="s">
        <v>144</v>
      </c>
      <c r="J197" s="236" t="s">
        <v>144</v>
      </c>
      <c r="K197" s="236" t="s">
        <v>144</v>
      </c>
      <c r="L197" s="236" t="s">
        <v>144</v>
      </c>
    </row>
    <row r="198" spans="1:12" x14ac:dyDescent="0.15">
      <c r="B198" s="260" t="str">
        <f>+'Sequence manipulation'!A512</f>
        <v>x.</v>
      </c>
      <c r="C198" s="228" t="str">
        <f>+'Sequence manipulation'!B512</f>
        <v>Prune the unnecessary sequence and select the sequence inside the bracket</v>
      </c>
      <c r="D198" s="228"/>
      <c r="E198" s="228"/>
      <c r="F198" s="228"/>
      <c r="G198" s="228"/>
      <c r="H198" s="229"/>
      <c r="I198" s="230" t="s">
        <v>144</v>
      </c>
      <c r="J198" s="230" t="s">
        <v>144</v>
      </c>
      <c r="K198" s="230" t="s">
        <v>144</v>
      </c>
      <c r="L198" s="230" t="s">
        <v>144</v>
      </c>
    </row>
    <row r="199" spans="1:12" x14ac:dyDescent="0.15">
      <c r="H199" s="227"/>
    </row>
    <row r="203" spans="1:12" x14ac:dyDescent="0.15">
      <c r="A203" s="226"/>
      <c r="B203" s="226"/>
      <c r="C203" s="45"/>
      <c r="D203" s="226"/>
      <c r="E203" s="226"/>
      <c r="F203" s="226"/>
      <c r="G203" s="226"/>
      <c r="H203" s="248"/>
      <c r="I203" s="226"/>
      <c r="J203" s="226"/>
      <c r="K203" s="226"/>
      <c r="L203" s="226"/>
    </row>
    <row r="204" spans="1:12" x14ac:dyDescent="0.15">
      <c r="A204" s="226"/>
      <c r="B204" s="226"/>
      <c r="C204" s="249"/>
      <c r="D204" s="226"/>
      <c r="E204" s="226"/>
      <c r="F204" s="226"/>
      <c r="G204" s="226"/>
      <c r="H204" s="248"/>
      <c r="I204" s="226"/>
      <c r="J204" s="226"/>
      <c r="K204" s="226"/>
      <c r="L204" s="226"/>
    </row>
    <row r="205" spans="1:12" x14ac:dyDescent="0.15">
      <c r="A205" s="226"/>
      <c r="B205" s="226"/>
      <c r="C205" s="226"/>
      <c r="D205" s="226"/>
      <c r="E205" s="226"/>
      <c r="F205" s="226"/>
      <c r="G205" s="226"/>
      <c r="H205" s="248"/>
      <c r="I205" s="226"/>
      <c r="J205" s="226"/>
      <c r="K205" s="226"/>
      <c r="L205" s="226"/>
    </row>
    <row r="206" spans="1:12" x14ac:dyDescent="0.15">
      <c r="A206" s="226"/>
      <c r="B206" s="226"/>
      <c r="C206" s="226"/>
      <c r="D206" s="226"/>
      <c r="E206" s="226"/>
      <c r="F206" s="226"/>
      <c r="G206" s="226"/>
      <c r="H206" s="248"/>
      <c r="I206" s="226"/>
      <c r="J206" s="226"/>
      <c r="K206" s="226"/>
      <c r="L206" s="226"/>
    </row>
    <row r="207" spans="1:12" x14ac:dyDescent="0.15">
      <c r="H207" s="227"/>
    </row>
    <row r="208" spans="1:12" x14ac:dyDescent="0.15">
      <c r="H208" s="227"/>
    </row>
    <row r="209" spans="4:8" x14ac:dyDescent="0.15">
      <c r="H209" s="227"/>
    </row>
    <row r="210" spans="4:8" x14ac:dyDescent="0.15">
      <c r="H210" s="227"/>
    </row>
    <row r="211" spans="4:8" x14ac:dyDescent="0.15">
      <c r="H211" s="227"/>
    </row>
    <row r="212" spans="4:8" x14ac:dyDescent="0.15">
      <c r="H212" s="227"/>
    </row>
    <row r="213" spans="4:8" x14ac:dyDescent="0.15">
      <c r="H213" s="227"/>
    </row>
    <row r="214" spans="4:8" x14ac:dyDescent="0.15">
      <c r="H214" s="227"/>
    </row>
    <row r="215" spans="4:8" x14ac:dyDescent="0.15">
      <c r="H215" s="227"/>
    </row>
    <row r="216" spans="4:8" x14ac:dyDescent="0.15">
      <c r="H216" s="227"/>
    </row>
    <row r="217" spans="4:8" x14ac:dyDescent="0.15">
      <c r="H217" s="227"/>
    </row>
    <row r="218" spans="4:8" x14ac:dyDescent="0.15">
      <c r="D218" s="5"/>
      <c r="H218" s="227"/>
    </row>
    <row r="219" spans="4:8" x14ac:dyDescent="0.15">
      <c r="D219" s="5"/>
      <c r="H219" s="227"/>
    </row>
  </sheetData>
  <mergeCells count="19">
    <mergeCell ref="E29:L29"/>
    <mergeCell ref="E33:L33"/>
    <mergeCell ref="E34:L34"/>
    <mergeCell ref="E35:L35"/>
    <mergeCell ref="E37:L37"/>
    <mergeCell ref="E36:L36"/>
    <mergeCell ref="C172:H172"/>
    <mergeCell ref="C165:H165"/>
    <mergeCell ref="E30:L30"/>
    <mergeCell ref="E32:L32"/>
    <mergeCell ref="E31:L31"/>
    <mergeCell ref="C62:K62"/>
    <mergeCell ref="E39:L39"/>
    <mergeCell ref="E40:L40"/>
    <mergeCell ref="E38:L38"/>
    <mergeCell ref="E41:L41"/>
    <mergeCell ref="E42:L42"/>
    <mergeCell ref="E43:L43"/>
    <mergeCell ref="E44:L44"/>
  </mergeCells>
  <phoneticPr fontId="1"/>
  <hyperlinks>
    <hyperlink ref="D18" r:id="rId1"/>
    <hyperlink ref="C10" r:id="rId2"/>
    <hyperlink ref="C11" r:id="rId3"/>
  </hyperlinks>
  <pageMargins left="1.05" right="1.36" top="0.75" bottom="0.75" header="0.3" footer="0.3"/>
  <pageSetup paperSize="9" scale="79"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H93"/>
  <sheetViews>
    <sheetView topLeftCell="A88" workbookViewId="0">
      <selection activeCell="B93" sqref="B93"/>
    </sheetView>
  </sheetViews>
  <sheetFormatPr defaultColWidth="9" defaultRowHeight="15.75" x14ac:dyDescent="0.15"/>
  <cols>
    <col min="1" max="1" width="5.875" style="19" customWidth="1"/>
    <col min="2" max="2" width="49.125" style="8" customWidth="1"/>
    <col min="3" max="5" width="31.125" style="7" customWidth="1"/>
    <col min="6" max="6" width="33" style="12" customWidth="1"/>
    <col min="7" max="16384" width="9" style="7"/>
  </cols>
  <sheetData>
    <row r="1" spans="1:6" ht="18" x14ac:dyDescent="0.15">
      <c r="B1" s="30" t="s">
        <v>1519</v>
      </c>
      <c r="D1" s="31" t="str">
        <f>GUGS()</f>
        <v>GUGS: ver. 1.00</v>
      </c>
    </row>
    <row r="2" spans="1:6" x14ac:dyDescent="0.15">
      <c r="B2" s="31" t="s">
        <v>523</v>
      </c>
      <c r="C2" s="8"/>
    </row>
    <row r="3" spans="1:6" x14ac:dyDescent="0.15">
      <c r="B3" s="7"/>
      <c r="C3" s="8"/>
    </row>
    <row r="4" spans="1:6" x14ac:dyDescent="0.15">
      <c r="C4" s="9"/>
      <c r="D4" s="9"/>
      <c r="E4" s="9"/>
    </row>
    <row r="5" spans="1:6" s="33" customFormat="1" ht="14.25" x14ac:dyDescent="0.15">
      <c r="A5" s="19"/>
      <c r="B5" s="22" t="s">
        <v>1213</v>
      </c>
      <c r="C5" s="23" t="s">
        <v>2</v>
      </c>
      <c r="D5" s="23" t="s">
        <v>3</v>
      </c>
      <c r="E5" s="23" t="s">
        <v>4</v>
      </c>
      <c r="F5" s="23" t="s">
        <v>161</v>
      </c>
    </row>
    <row r="6" spans="1:6" s="33" customFormat="1" ht="52.5" customHeight="1" x14ac:dyDescent="0.15">
      <c r="A6" s="19"/>
      <c r="B6" s="269" t="str">
        <f>+'Data conversion'!B5:J5</f>
        <v>Functions in this category allow to normalize genotype data, convert the absolute size to the relative size of an SSR genotype, insert a separator into an SNP genotype, convert a single-letter genotype into the pseudo-SNP format and extract the difference between two alleles of SSR genotype. It also allows converting Illumina’s single-letter genotype format into an SNP genotype, and a converting single-letter HapMap code into a real SNP genotype.</v>
      </c>
      <c r="C6" s="269"/>
      <c r="D6" s="269"/>
      <c r="E6" s="269"/>
      <c r="F6" s="24" t="s">
        <v>1</v>
      </c>
    </row>
    <row r="7" spans="1:6" s="33" customFormat="1" ht="60" customHeight="1" x14ac:dyDescent="0.15">
      <c r="A7" s="19" t="s">
        <v>419</v>
      </c>
      <c r="B7" s="18" t="s">
        <v>1154</v>
      </c>
      <c r="C7" s="25" t="s">
        <v>751</v>
      </c>
      <c r="D7" s="25" t="s">
        <v>752</v>
      </c>
      <c r="E7" s="25" t="s">
        <v>753</v>
      </c>
      <c r="F7" s="24" t="s">
        <v>1</v>
      </c>
    </row>
    <row r="8" spans="1:6" s="33" customFormat="1" ht="99.75" x14ac:dyDescent="0.15">
      <c r="A8" s="19" t="s">
        <v>411</v>
      </c>
      <c r="B8" s="18" t="s">
        <v>840</v>
      </c>
      <c r="C8" s="18" t="s">
        <v>859</v>
      </c>
      <c r="D8" s="18" t="s">
        <v>841</v>
      </c>
      <c r="E8" s="18" t="s">
        <v>842</v>
      </c>
      <c r="F8" s="24" t="s">
        <v>1</v>
      </c>
    </row>
    <row r="9" spans="1:6" s="33" customFormat="1" ht="58.5" customHeight="1" x14ac:dyDescent="0.15">
      <c r="A9" s="19" t="s">
        <v>420</v>
      </c>
      <c r="B9" s="18" t="s">
        <v>1156</v>
      </c>
      <c r="C9" s="18" t="s">
        <v>860</v>
      </c>
      <c r="D9" s="24" t="s">
        <v>1</v>
      </c>
      <c r="E9" s="24" t="s">
        <v>1</v>
      </c>
      <c r="F9" s="24" t="s">
        <v>1</v>
      </c>
    </row>
    <row r="10" spans="1:6" s="33" customFormat="1" ht="85.5" x14ac:dyDescent="0.15">
      <c r="A10" s="19" t="s">
        <v>429</v>
      </c>
      <c r="B10" s="18" t="s">
        <v>843</v>
      </c>
      <c r="C10" s="24" t="s">
        <v>1</v>
      </c>
      <c r="D10" s="25" t="s">
        <v>754</v>
      </c>
      <c r="E10" s="24" t="s">
        <v>1</v>
      </c>
      <c r="F10" s="24" t="s">
        <v>1</v>
      </c>
    </row>
    <row r="11" spans="1:6" s="33" customFormat="1" ht="85.5" x14ac:dyDescent="0.15">
      <c r="A11" s="19" t="s">
        <v>430</v>
      </c>
      <c r="B11" s="18" t="s">
        <v>743</v>
      </c>
      <c r="C11" s="24" t="s">
        <v>1</v>
      </c>
      <c r="D11" s="24" t="s">
        <v>1</v>
      </c>
      <c r="E11" s="25" t="s">
        <v>755</v>
      </c>
      <c r="F11" s="25" t="s">
        <v>755</v>
      </c>
    </row>
    <row r="12" spans="1:6" s="33" customFormat="1" ht="15" x14ac:dyDescent="0.15">
      <c r="A12" s="19"/>
      <c r="B12" s="34"/>
      <c r="C12" s="35"/>
      <c r="D12" s="34"/>
      <c r="E12" s="35"/>
      <c r="F12" s="36"/>
    </row>
    <row r="13" spans="1:6" s="33" customFormat="1" ht="14.25" x14ac:dyDescent="0.15">
      <c r="A13" s="19"/>
      <c r="B13" s="22" t="s">
        <v>1198</v>
      </c>
      <c r="C13" s="23" t="s">
        <v>2</v>
      </c>
      <c r="D13" s="23" t="s">
        <v>3</v>
      </c>
      <c r="E13" s="23" t="s">
        <v>4</v>
      </c>
      <c r="F13" s="37" t="s">
        <v>80</v>
      </c>
    </row>
    <row r="14" spans="1:6" s="33" customFormat="1" ht="49.5" customHeight="1" x14ac:dyDescent="0.15">
      <c r="A14" s="19"/>
      <c r="B14" s="270" t="str">
        <f>+'Basic analysis'!B5:J5</f>
        <v>Functions in this category allow to extract allele of an SSR or SNP genotype, examine homozygosity, determine the identity between two genotypes of SSR or SNP format, examine allele inclusion in the given genotype, evaluate the ploidy of an SSR genotype, separate all alleles of SSR or SNP genotypes and extract the shared allele between two SSR or SNP genotypes.</v>
      </c>
      <c r="C14" s="270"/>
      <c r="D14" s="270"/>
      <c r="E14" s="270"/>
      <c r="F14" s="36"/>
    </row>
    <row r="15" spans="1:6" s="33" customFormat="1" ht="71.25" x14ac:dyDescent="0.15">
      <c r="A15" s="19" t="s">
        <v>402</v>
      </c>
      <c r="B15" s="18" t="s">
        <v>1577</v>
      </c>
      <c r="C15" s="25" t="s">
        <v>758</v>
      </c>
      <c r="D15" s="25" t="s">
        <v>757</v>
      </c>
      <c r="E15" s="24" t="s">
        <v>1</v>
      </c>
      <c r="F15" s="24" t="s">
        <v>1</v>
      </c>
    </row>
    <row r="16" spans="1:6" s="33" customFormat="1" ht="71.25" x14ac:dyDescent="0.15">
      <c r="A16" s="19" t="s">
        <v>411</v>
      </c>
      <c r="B16" s="18" t="s">
        <v>1578</v>
      </c>
      <c r="C16" s="25" t="s">
        <v>759</v>
      </c>
      <c r="D16" s="25" t="s">
        <v>756</v>
      </c>
      <c r="E16" s="24" t="s">
        <v>1</v>
      </c>
      <c r="F16" s="24" t="s">
        <v>1</v>
      </c>
    </row>
    <row r="17" spans="1:6" s="33" customFormat="1" ht="50.25" customHeight="1" x14ac:dyDescent="0.15">
      <c r="A17" s="19" t="s">
        <v>421</v>
      </c>
      <c r="B17" s="18" t="s">
        <v>744</v>
      </c>
      <c r="C17" s="25" t="s">
        <v>760</v>
      </c>
      <c r="D17" s="25" t="s">
        <v>761</v>
      </c>
      <c r="E17" s="24" t="s">
        <v>1</v>
      </c>
      <c r="F17" s="24" t="s">
        <v>1</v>
      </c>
    </row>
    <row r="18" spans="1:6" s="33" customFormat="1" ht="99.75" x14ac:dyDescent="0.15">
      <c r="A18" s="19" t="s">
        <v>405</v>
      </c>
      <c r="B18" s="18" t="s">
        <v>861</v>
      </c>
      <c r="C18" s="18" t="s">
        <v>1579</v>
      </c>
      <c r="D18" s="25" t="s">
        <v>762</v>
      </c>
      <c r="E18" s="24" t="s">
        <v>1</v>
      </c>
      <c r="F18" s="24" t="s">
        <v>1</v>
      </c>
    </row>
    <row r="19" spans="1:6" s="33" customFormat="1" ht="71.25" x14ac:dyDescent="0.15">
      <c r="A19" s="19" t="s">
        <v>422</v>
      </c>
      <c r="B19" s="18" t="s">
        <v>1159</v>
      </c>
      <c r="C19" s="25" t="s">
        <v>763</v>
      </c>
      <c r="D19" s="25" t="s">
        <v>764</v>
      </c>
      <c r="E19" s="24" t="s">
        <v>1</v>
      </c>
      <c r="F19" s="24" t="s">
        <v>1</v>
      </c>
    </row>
    <row r="20" spans="1:6" s="33" customFormat="1" ht="71.25" x14ac:dyDescent="0.15">
      <c r="A20" s="19" t="s">
        <v>423</v>
      </c>
      <c r="B20" s="18" t="s">
        <v>1580</v>
      </c>
      <c r="C20" s="25" t="s">
        <v>765</v>
      </c>
      <c r="D20" s="24" t="s">
        <v>1</v>
      </c>
      <c r="E20" s="24" t="s">
        <v>1</v>
      </c>
      <c r="F20" s="24" t="s">
        <v>1</v>
      </c>
    </row>
    <row r="21" spans="1:6" s="33" customFormat="1" ht="128.25" x14ac:dyDescent="0.15">
      <c r="A21" s="19" t="s">
        <v>424</v>
      </c>
      <c r="B21" s="18" t="s">
        <v>745</v>
      </c>
      <c r="C21" s="25" t="s">
        <v>766</v>
      </c>
      <c r="D21" s="25" t="s">
        <v>767</v>
      </c>
      <c r="E21" s="24" t="s">
        <v>1</v>
      </c>
      <c r="F21" s="24" t="s">
        <v>1</v>
      </c>
    </row>
    <row r="22" spans="1:6" s="33" customFormat="1" ht="71.25" x14ac:dyDescent="0.15">
      <c r="A22" s="19" t="s">
        <v>425</v>
      </c>
      <c r="B22" s="18" t="s">
        <v>1161</v>
      </c>
      <c r="C22" s="25" t="s">
        <v>768</v>
      </c>
      <c r="D22" s="25" t="s">
        <v>769</v>
      </c>
      <c r="E22" s="24" t="s">
        <v>1</v>
      </c>
      <c r="F22" s="24" t="s">
        <v>1</v>
      </c>
    </row>
    <row r="23" spans="1:6" s="33" customFormat="1" ht="15" x14ac:dyDescent="0.15">
      <c r="A23" s="19"/>
      <c r="B23" s="34"/>
      <c r="C23" s="34"/>
      <c r="D23" s="34"/>
      <c r="E23" s="34"/>
      <c r="F23" s="36"/>
    </row>
    <row r="24" spans="1:6" s="33" customFormat="1" ht="14.25" x14ac:dyDescent="0.15">
      <c r="A24" s="19"/>
      <c r="B24" s="22" t="s">
        <v>1214</v>
      </c>
      <c r="C24" s="23" t="s">
        <v>2</v>
      </c>
      <c r="D24" s="23" t="s">
        <v>3</v>
      </c>
      <c r="E24" s="23" t="s">
        <v>4</v>
      </c>
      <c r="F24" s="37" t="s">
        <v>80</v>
      </c>
    </row>
    <row r="25" spans="1:6" s="11" customFormat="1" ht="39" customHeight="1" x14ac:dyDescent="0.15">
      <c r="A25" s="20"/>
      <c r="B25" s="270" t="str">
        <f>+'Linkage analysis'!B5:J5</f>
        <v>Functions in this category involve to estimate a segregation mode of offspring from the genotype data of parents and convert the genotype of offspring for evaluation with linkage analysis software such as MapMaker (Lander et al., 1987), JoinMap (Stam, 1993), or their equivalent software.</v>
      </c>
      <c r="C25" s="270"/>
      <c r="D25" s="270"/>
      <c r="E25" s="270"/>
      <c r="F25" s="36"/>
    </row>
    <row r="26" spans="1:6" s="33" customFormat="1" ht="71.25" x14ac:dyDescent="0.15">
      <c r="A26" s="19" t="s">
        <v>402</v>
      </c>
      <c r="B26" s="18" t="s">
        <v>1581</v>
      </c>
      <c r="C26" s="25" t="s">
        <v>1175</v>
      </c>
      <c r="D26" s="25" t="s">
        <v>1176</v>
      </c>
      <c r="E26" s="24" t="s">
        <v>1</v>
      </c>
      <c r="F26" s="24" t="s">
        <v>1</v>
      </c>
    </row>
    <row r="27" spans="1:6" s="33" customFormat="1" ht="71.25" x14ac:dyDescent="0.15">
      <c r="A27" s="19" t="s">
        <v>411</v>
      </c>
      <c r="B27" s="18" t="s">
        <v>1582</v>
      </c>
      <c r="C27" s="18" t="s">
        <v>1174</v>
      </c>
      <c r="D27" s="25" t="s">
        <v>1173</v>
      </c>
      <c r="E27" s="24" t="s">
        <v>1</v>
      </c>
      <c r="F27" s="24" t="s">
        <v>1</v>
      </c>
    </row>
    <row r="28" spans="1:6" s="33" customFormat="1" ht="71.25" x14ac:dyDescent="0.15">
      <c r="A28" s="19" t="s">
        <v>421</v>
      </c>
      <c r="B28" s="18" t="s">
        <v>1583</v>
      </c>
      <c r="C28" s="25" t="s">
        <v>770</v>
      </c>
      <c r="D28" s="25" t="s">
        <v>771</v>
      </c>
      <c r="E28" s="24" t="s">
        <v>1</v>
      </c>
      <c r="F28" s="24" t="s">
        <v>1</v>
      </c>
    </row>
    <row r="29" spans="1:6" s="33" customFormat="1" ht="57" x14ac:dyDescent="0.15">
      <c r="A29" s="19" t="s">
        <v>405</v>
      </c>
      <c r="B29" s="18" t="s">
        <v>1584</v>
      </c>
      <c r="C29" s="25" t="s">
        <v>772</v>
      </c>
      <c r="D29" s="18" t="s">
        <v>862</v>
      </c>
      <c r="E29" s="24" t="s">
        <v>1</v>
      </c>
      <c r="F29" s="24" t="s">
        <v>1</v>
      </c>
    </row>
    <row r="30" spans="1:6" s="33" customFormat="1" ht="57" x14ac:dyDescent="0.15">
      <c r="A30" s="19" t="s">
        <v>422</v>
      </c>
      <c r="B30" s="18" t="s">
        <v>1585</v>
      </c>
      <c r="C30" s="18" t="s">
        <v>844</v>
      </c>
      <c r="D30" s="25" t="s">
        <v>773</v>
      </c>
      <c r="E30" s="24" t="s">
        <v>1</v>
      </c>
      <c r="F30" s="24" t="s">
        <v>1</v>
      </c>
    </row>
    <row r="31" spans="1:6" s="33" customFormat="1" ht="57" x14ac:dyDescent="0.15">
      <c r="A31" s="19" t="s">
        <v>423</v>
      </c>
      <c r="B31" s="18" t="s">
        <v>1586</v>
      </c>
      <c r="C31" s="24" t="s">
        <v>1</v>
      </c>
      <c r="D31" s="24" t="s">
        <v>1</v>
      </c>
      <c r="E31" s="25" t="s">
        <v>774</v>
      </c>
      <c r="F31" s="24" t="s">
        <v>1</v>
      </c>
    </row>
    <row r="32" spans="1:6" s="33" customFormat="1" ht="71.25" x14ac:dyDescent="0.15">
      <c r="A32" s="19" t="s">
        <v>424</v>
      </c>
      <c r="B32" s="18" t="s">
        <v>1587</v>
      </c>
      <c r="C32" s="24" t="s">
        <v>1</v>
      </c>
      <c r="D32" s="24" t="s">
        <v>1</v>
      </c>
      <c r="E32" s="25" t="s">
        <v>775</v>
      </c>
      <c r="F32" s="24" t="s">
        <v>1</v>
      </c>
    </row>
    <row r="33" spans="1:6" s="33" customFormat="1" ht="15" x14ac:dyDescent="0.15">
      <c r="A33" s="19"/>
      <c r="B33" s="34"/>
      <c r="C33" s="35"/>
      <c r="D33" s="35"/>
      <c r="E33" s="34"/>
      <c r="F33" s="36"/>
    </row>
    <row r="34" spans="1:6" s="33" customFormat="1" ht="14.25" x14ac:dyDescent="0.15">
      <c r="A34" s="19"/>
      <c r="B34" s="22" t="s">
        <v>1588</v>
      </c>
      <c r="C34" s="23" t="s">
        <v>2</v>
      </c>
      <c r="D34" s="23" t="s">
        <v>3</v>
      </c>
      <c r="E34" s="23" t="s">
        <v>4</v>
      </c>
      <c r="F34" s="37" t="s">
        <v>80</v>
      </c>
    </row>
    <row r="35" spans="1:6" s="38" customFormat="1" ht="34.5" customHeight="1" x14ac:dyDescent="0.15">
      <c r="A35" s="21"/>
      <c r="B35" s="272" t="str">
        <f>+'Data set analysis'!B5:J5</f>
        <v>Functions in this category allow to estimate unique alleles or genotypes in the dataset, extract an allele or genotype at a designated rank in the dataset, and count the ratio of the matched allele or genotype in the dataset.</v>
      </c>
      <c r="C35" s="272"/>
      <c r="D35" s="272"/>
      <c r="E35" s="272"/>
      <c r="F35" s="272"/>
    </row>
    <row r="36" spans="1:6" s="38" customFormat="1" ht="15" x14ac:dyDescent="0.15">
      <c r="A36" s="21"/>
      <c r="B36" s="39"/>
      <c r="C36" s="40"/>
      <c r="D36" s="40"/>
      <c r="E36" s="40"/>
      <c r="F36" s="41"/>
    </row>
    <row r="37" spans="1:6" s="33" customFormat="1" ht="57" x14ac:dyDescent="0.15">
      <c r="A37" s="19" t="s">
        <v>402</v>
      </c>
      <c r="B37" s="18" t="s">
        <v>1520</v>
      </c>
      <c r="C37" s="25" t="s">
        <v>776</v>
      </c>
      <c r="D37" s="25" t="s">
        <v>777</v>
      </c>
      <c r="E37" s="25" t="s">
        <v>778</v>
      </c>
      <c r="F37" s="25" t="s">
        <v>779</v>
      </c>
    </row>
    <row r="38" spans="1:6" s="33" customFormat="1" ht="57" x14ac:dyDescent="0.15">
      <c r="A38" s="19" t="s">
        <v>411</v>
      </c>
      <c r="B38" s="18" t="s">
        <v>1521</v>
      </c>
      <c r="C38" s="25" t="s">
        <v>780</v>
      </c>
      <c r="D38" s="25" t="s">
        <v>781</v>
      </c>
      <c r="E38" s="25" t="s">
        <v>782</v>
      </c>
      <c r="F38" s="26" t="s">
        <v>845</v>
      </c>
    </row>
    <row r="39" spans="1:6" s="33" customFormat="1" ht="71.25" x14ac:dyDescent="0.15">
      <c r="A39" s="19" t="s">
        <v>421</v>
      </c>
      <c r="B39" s="18" t="s">
        <v>1527</v>
      </c>
      <c r="C39" s="25" t="s">
        <v>783</v>
      </c>
      <c r="D39" s="25" t="s">
        <v>784</v>
      </c>
      <c r="E39" s="25" t="s">
        <v>785</v>
      </c>
      <c r="F39" s="25" t="s">
        <v>786</v>
      </c>
    </row>
    <row r="40" spans="1:6" s="33" customFormat="1" ht="85.5" x14ac:dyDescent="0.15">
      <c r="A40" s="19" t="s">
        <v>405</v>
      </c>
      <c r="B40" s="18" t="s">
        <v>1522</v>
      </c>
      <c r="C40" s="25" t="s">
        <v>787</v>
      </c>
      <c r="D40" s="25" t="s">
        <v>788</v>
      </c>
      <c r="E40" s="25" t="s">
        <v>789</v>
      </c>
      <c r="F40" s="26" t="s">
        <v>846</v>
      </c>
    </row>
    <row r="41" spans="1:6" s="33" customFormat="1" ht="99.75" x14ac:dyDescent="0.15">
      <c r="A41" s="19" t="s">
        <v>422</v>
      </c>
      <c r="B41" s="18" t="s">
        <v>1523</v>
      </c>
      <c r="C41" s="25" t="s">
        <v>790</v>
      </c>
      <c r="D41" s="25" t="s">
        <v>791</v>
      </c>
      <c r="E41" s="25" t="s">
        <v>792</v>
      </c>
      <c r="F41" s="27" t="s">
        <v>793</v>
      </c>
    </row>
    <row r="42" spans="1:6" s="33" customFormat="1" ht="99.75" x14ac:dyDescent="0.15">
      <c r="A42" s="19" t="s">
        <v>423</v>
      </c>
      <c r="B42" s="18" t="s">
        <v>1524</v>
      </c>
      <c r="C42" s="25" t="s">
        <v>794</v>
      </c>
      <c r="D42" s="25" t="s">
        <v>795</v>
      </c>
      <c r="E42" s="25" t="s">
        <v>796</v>
      </c>
      <c r="F42" s="18" t="s">
        <v>1</v>
      </c>
    </row>
    <row r="43" spans="1:6" s="33" customFormat="1" ht="15" x14ac:dyDescent="0.15">
      <c r="A43" s="19"/>
      <c r="B43" s="34"/>
      <c r="C43" s="10"/>
      <c r="D43" s="10"/>
      <c r="E43" s="10"/>
      <c r="F43" s="42"/>
    </row>
    <row r="44" spans="1:6" s="33" customFormat="1" ht="14.25" x14ac:dyDescent="0.15">
      <c r="A44" s="19"/>
      <c r="B44" s="22" t="s">
        <v>1215</v>
      </c>
      <c r="C44" s="23" t="s">
        <v>2</v>
      </c>
      <c r="D44" s="23" t="s">
        <v>3</v>
      </c>
      <c r="E44" s="23" t="s">
        <v>4</v>
      </c>
      <c r="F44" s="37" t="s">
        <v>80</v>
      </c>
    </row>
    <row r="45" spans="1:6" s="38" customFormat="1" ht="37.5" customHeight="1" x14ac:dyDescent="0.15">
      <c r="A45" s="21"/>
      <c r="B45" s="273" t="str">
        <f>+'Freq analysis'!B5:J5</f>
        <v>Functions in this category allow estimating allele frequencies or diversity of population data, observed or expected heterozygosity, polymorphic information content (PIC), match probability, the power of discrimination, genetic diversity, and the probability of showing an identical genotype for different individuals in a population dataset according to the theorem of Ukai.</v>
      </c>
      <c r="C45" s="273"/>
      <c r="D45" s="273"/>
      <c r="E45" s="273"/>
      <c r="F45" s="273"/>
    </row>
    <row r="46" spans="1:6" s="33" customFormat="1" ht="85.5" x14ac:dyDescent="0.15">
      <c r="A46" s="19" t="s">
        <v>402</v>
      </c>
      <c r="B46" s="18" t="s">
        <v>1525</v>
      </c>
      <c r="C46" s="25" t="s">
        <v>797</v>
      </c>
      <c r="D46" s="25" t="s">
        <v>798</v>
      </c>
      <c r="E46" s="25" t="s">
        <v>799</v>
      </c>
      <c r="F46" s="25" t="s">
        <v>800</v>
      </c>
    </row>
    <row r="47" spans="1:6" s="33" customFormat="1" ht="85.5" x14ac:dyDescent="0.15">
      <c r="A47" s="19" t="s">
        <v>411</v>
      </c>
      <c r="B47" s="18" t="s">
        <v>1526</v>
      </c>
      <c r="C47" s="25" t="s">
        <v>801</v>
      </c>
      <c r="D47" s="25" t="s">
        <v>802</v>
      </c>
      <c r="E47" s="25" t="s">
        <v>803</v>
      </c>
      <c r="F47" s="18" t="s">
        <v>1</v>
      </c>
    </row>
    <row r="48" spans="1:6" s="33" customFormat="1" ht="71.25" x14ac:dyDescent="0.15">
      <c r="A48" s="19" t="s">
        <v>421</v>
      </c>
      <c r="B48" s="18" t="s">
        <v>746</v>
      </c>
      <c r="C48" s="25" t="s">
        <v>804</v>
      </c>
      <c r="D48" s="25" t="s">
        <v>805</v>
      </c>
      <c r="E48" s="25" t="s">
        <v>806</v>
      </c>
      <c r="F48" s="18" t="s">
        <v>1</v>
      </c>
    </row>
    <row r="49" spans="1:6" s="33" customFormat="1" ht="57" x14ac:dyDescent="0.15">
      <c r="A49" s="19" t="s">
        <v>405</v>
      </c>
      <c r="B49" s="18" t="s">
        <v>747</v>
      </c>
      <c r="C49" s="25" t="s">
        <v>807</v>
      </c>
      <c r="D49" s="25" t="s">
        <v>808</v>
      </c>
      <c r="E49" s="25" t="s">
        <v>809</v>
      </c>
      <c r="F49" s="18" t="s">
        <v>1</v>
      </c>
    </row>
    <row r="50" spans="1:6" s="33" customFormat="1" ht="71.25" x14ac:dyDescent="0.15">
      <c r="A50" s="19" t="s">
        <v>422</v>
      </c>
      <c r="B50" s="18" t="s">
        <v>748</v>
      </c>
      <c r="C50" s="25" t="s">
        <v>810</v>
      </c>
      <c r="D50" s="25" t="s">
        <v>811</v>
      </c>
      <c r="E50" s="25" t="s">
        <v>812</v>
      </c>
      <c r="F50" s="18" t="s">
        <v>1</v>
      </c>
    </row>
    <row r="51" spans="1:6" s="33" customFormat="1" ht="77.25" customHeight="1" x14ac:dyDescent="0.15">
      <c r="A51" s="19" t="s">
        <v>423</v>
      </c>
      <c r="B51" s="18" t="s">
        <v>847</v>
      </c>
      <c r="C51" s="25" t="s">
        <v>813</v>
      </c>
      <c r="D51" s="25" t="s">
        <v>814</v>
      </c>
      <c r="E51" s="25" t="s">
        <v>815</v>
      </c>
      <c r="F51" s="18" t="s">
        <v>1</v>
      </c>
    </row>
    <row r="52" spans="1:6" s="33" customFormat="1" ht="57" x14ac:dyDescent="0.15">
      <c r="A52" s="19" t="s">
        <v>424</v>
      </c>
      <c r="B52" s="18" t="s">
        <v>848</v>
      </c>
      <c r="C52" s="25" t="s">
        <v>816</v>
      </c>
      <c r="D52" s="25" t="s">
        <v>817</v>
      </c>
      <c r="E52" s="25" t="s">
        <v>818</v>
      </c>
      <c r="F52" s="18" t="s">
        <v>1</v>
      </c>
    </row>
    <row r="53" spans="1:6" s="33" customFormat="1" ht="85.5" x14ac:dyDescent="0.15">
      <c r="A53" s="19" t="s">
        <v>425</v>
      </c>
      <c r="B53" s="18" t="s">
        <v>749</v>
      </c>
      <c r="C53" s="25" t="s">
        <v>819</v>
      </c>
      <c r="D53" s="25" t="s">
        <v>825</v>
      </c>
      <c r="E53" s="18" t="s">
        <v>849</v>
      </c>
      <c r="F53" s="25" t="s">
        <v>820</v>
      </c>
    </row>
    <row r="54" spans="1:6" s="33" customFormat="1" ht="85.5" x14ac:dyDescent="0.15">
      <c r="A54" s="19" t="s">
        <v>426</v>
      </c>
      <c r="B54" s="18" t="s">
        <v>850</v>
      </c>
      <c r="C54" s="25" t="s">
        <v>824</v>
      </c>
      <c r="D54" s="25" t="s">
        <v>823</v>
      </c>
      <c r="E54" s="18" t="s">
        <v>822</v>
      </c>
      <c r="F54" s="25" t="s">
        <v>821</v>
      </c>
    </row>
    <row r="55" spans="1:6" s="33" customFormat="1" ht="142.5" x14ac:dyDescent="0.15">
      <c r="A55" s="19" t="s">
        <v>427</v>
      </c>
      <c r="B55" s="18" t="s">
        <v>750</v>
      </c>
      <c r="C55" s="270" t="s">
        <v>851</v>
      </c>
      <c r="D55" s="270"/>
      <c r="E55" s="270"/>
      <c r="F55" s="270"/>
    </row>
    <row r="56" spans="1:6" s="33" customFormat="1" ht="128.25" x14ac:dyDescent="0.15">
      <c r="A56" s="19" t="s">
        <v>428</v>
      </c>
      <c r="B56" s="29" t="s">
        <v>852</v>
      </c>
      <c r="C56" s="271" t="s">
        <v>826</v>
      </c>
      <c r="D56" s="271"/>
      <c r="E56" s="271"/>
      <c r="F56" s="271"/>
    </row>
    <row r="57" spans="1:6" s="33" customFormat="1" ht="15" x14ac:dyDescent="0.15">
      <c r="A57" s="19"/>
      <c r="B57" s="43"/>
      <c r="F57" s="36"/>
    </row>
    <row r="58" spans="1:6" s="33" customFormat="1" ht="14.25" x14ac:dyDescent="0.15">
      <c r="A58" s="19"/>
      <c r="B58" s="22" t="s">
        <v>1216</v>
      </c>
      <c r="C58" s="23" t="s">
        <v>2</v>
      </c>
      <c r="D58" s="23" t="s">
        <v>3</v>
      </c>
      <c r="E58" s="23" t="s">
        <v>4</v>
      </c>
      <c r="F58" s="37" t="s">
        <v>80</v>
      </c>
    </row>
    <row r="59" spans="1:6" s="33" customFormat="1" ht="22.5" customHeight="1" x14ac:dyDescent="0.15">
      <c r="A59" s="19"/>
      <c r="B59" s="272" t="str">
        <f>+'Genetic data analysis'!B5:J5</f>
        <v>Functions in this category are valid to estimate parentage of offspring within a population and determine the probability to obtain an individual from a cross of designated parents in a population.</v>
      </c>
      <c r="C59" s="272"/>
      <c r="D59" s="272"/>
      <c r="E59" s="272"/>
      <c r="F59" s="272"/>
    </row>
    <row r="60" spans="1:6" s="33" customFormat="1" ht="15" x14ac:dyDescent="0.15">
      <c r="A60" s="19"/>
      <c r="B60" s="28"/>
      <c r="F60" s="36"/>
    </row>
    <row r="61" spans="1:6" s="33" customFormat="1" ht="99.75" x14ac:dyDescent="0.15">
      <c r="A61" s="19" t="s">
        <v>402</v>
      </c>
      <c r="B61" s="18" t="s">
        <v>853</v>
      </c>
      <c r="C61" s="25" t="s">
        <v>827</v>
      </c>
      <c r="D61" s="25" t="s">
        <v>828</v>
      </c>
      <c r="E61" s="25" t="s">
        <v>829</v>
      </c>
      <c r="F61" s="18" t="s">
        <v>1</v>
      </c>
    </row>
    <row r="62" spans="1:6" s="33" customFormat="1" ht="114" x14ac:dyDescent="0.15">
      <c r="A62" s="19" t="s">
        <v>411</v>
      </c>
      <c r="B62" s="18" t="s">
        <v>854</v>
      </c>
      <c r="C62" s="25" t="s">
        <v>830</v>
      </c>
      <c r="D62" s="25" t="s">
        <v>831</v>
      </c>
      <c r="E62" s="25" t="s">
        <v>832</v>
      </c>
      <c r="F62" s="18" t="s">
        <v>1</v>
      </c>
    </row>
    <row r="63" spans="1:6" s="33" customFormat="1" ht="128.25" x14ac:dyDescent="0.15">
      <c r="A63" s="19" t="s">
        <v>421</v>
      </c>
      <c r="B63" s="18" t="s">
        <v>855</v>
      </c>
      <c r="C63" s="18" t="s">
        <v>856</v>
      </c>
      <c r="D63" s="25" t="s">
        <v>833</v>
      </c>
      <c r="E63" s="25" t="s">
        <v>834</v>
      </c>
      <c r="F63" s="18" t="s">
        <v>1</v>
      </c>
    </row>
    <row r="64" spans="1:6" s="33" customFormat="1" ht="99.75" x14ac:dyDescent="0.15">
      <c r="A64" s="19" t="s">
        <v>405</v>
      </c>
      <c r="B64" s="18" t="s">
        <v>857</v>
      </c>
      <c r="C64" s="25" t="s">
        <v>835</v>
      </c>
      <c r="D64" s="25" t="s">
        <v>836</v>
      </c>
      <c r="E64" s="25" t="s">
        <v>837</v>
      </c>
      <c r="F64" s="18" t="s">
        <v>1</v>
      </c>
    </row>
    <row r="65" spans="1:6" s="33" customFormat="1" ht="114" x14ac:dyDescent="0.15">
      <c r="A65" s="19" t="s">
        <v>422</v>
      </c>
      <c r="B65" s="18" t="s">
        <v>858</v>
      </c>
      <c r="C65" s="25" t="s">
        <v>838</v>
      </c>
      <c r="D65" s="25" t="s">
        <v>839</v>
      </c>
      <c r="E65" s="24" t="s">
        <v>1</v>
      </c>
      <c r="F65" s="24" t="s">
        <v>1</v>
      </c>
    </row>
    <row r="66" spans="1:6" s="33" customFormat="1" ht="15" x14ac:dyDescent="0.15">
      <c r="A66" s="19"/>
      <c r="B66" s="43"/>
      <c r="F66" s="36"/>
    </row>
    <row r="67" spans="1:6" s="33" customFormat="1" ht="14.25" x14ac:dyDescent="0.15">
      <c r="A67" s="19"/>
      <c r="B67" s="44" t="s">
        <v>1217</v>
      </c>
      <c r="C67" s="23"/>
      <c r="D67" s="23"/>
      <c r="E67" s="23"/>
      <c r="F67" s="37"/>
    </row>
    <row r="68" spans="1:6" ht="22.5" customHeight="1" x14ac:dyDescent="0.15">
      <c r="B68" s="275" t="str">
        <f>+'Sequence manipulation'!B5:J5</f>
        <v>Functions in this category allow for converting, counting, formatting and searching for nucleotide or amino acid sequence motif to support DNA marker design.</v>
      </c>
      <c r="C68" s="275"/>
      <c r="D68" s="275"/>
      <c r="E68" s="275"/>
      <c r="F68" s="275"/>
    </row>
    <row r="69" spans="1:6" ht="14.25" x14ac:dyDescent="0.15">
      <c r="B69" s="28"/>
      <c r="C69" s="276"/>
      <c r="D69" s="276"/>
      <c r="E69" s="276"/>
      <c r="F69" s="276"/>
    </row>
    <row r="70" spans="1:6" ht="66" customHeight="1" x14ac:dyDescent="0.15">
      <c r="A70" s="19" t="s">
        <v>395</v>
      </c>
      <c r="B70" s="18" t="s">
        <v>863</v>
      </c>
      <c r="C70" s="268" t="s">
        <v>877</v>
      </c>
      <c r="D70" s="274"/>
      <c r="E70" s="274"/>
      <c r="F70" s="274"/>
    </row>
    <row r="71" spans="1:6" ht="57" x14ac:dyDescent="0.15">
      <c r="A71" s="19" t="s">
        <v>396</v>
      </c>
      <c r="B71" s="18" t="s">
        <v>865</v>
      </c>
      <c r="C71" s="274" t="s">
        <v>909</v>
      </c>
      <c r="D71" s="274"/>
      <c r="E71" s="274"/>
      <c r="F71" s="274"/>
    </row>
    <row r="72" spans="1:6" ht="66" customHeight="1" x14ac:dyDescent="0.15">
      <c r="A72" s="19" t="s">
        <v>1019</v>
      </c>
      <c r="B72" s="18" t="s">
        <v>876</v>
      </c>
      <c r="C72" s="274" t="s">
        <v>892</v>
      </c>
      <c r="D72" s="274"/>
      <c r="E72" s="274"/>
      <c r="F72" s="274"/>
    </row>
    <row r="73" spans="1:6" ht="57" x14ac:dyDescent="0.15">
      <c r="A73" s="19" t="s">
        <v>398</v>
      </c>
      <c r="B73" s="18" t="s">
        <v>912</v>
      </c>
      <c r="C73" s="274" t="s">
        <v>864</v>
      </c>
      <c r="D73" s="274"/>
      <c r="E73" s="274"/>
      <c r="F73" s="274"/>
    </row>
    <row r="74" spans="1:6" ht="78.75" customHeight="1" x14ac:dyDescent="0.15">
      <c r="A74" s="19" t="s">
        <v>866</v>
      </c>
      <c r="B74" s="18" t="s">
        <v>875</v>
      </c>
      <c r="C74" s="274" t="s">
        <v>868</v>
      </c>
      <c r="D74" s="274"/>
      <c r="E74" s="274"/>
      <c r="F74" s="274"/>
    </row>
    <row r="75" spans="1:6" ht="90.75" customHeight="1" x14ac:dyDescent="0.15">
      <c r="A75" s="19" t="s">
        <v>393</v>
      </c>
      <c r="B75" s="18" t="s">
        <v>867</v>
      </c>
      <c r="C75" s="274" t="s">
        <v>872</v>
      </c>
      <c r="D75" s="274"/>
      <c r="E75" s="274"/>
      <c r="F75" s="274"/>
    </row>
    <row r="76" spans="1:6" ht="87.75" customHeight="1" x14ac:dyDescent="0.15">
      <c r="A76" s="19" t="s">
        <v>394</v>
      </c>
      <c r="B76" s="18" t="s">
        <v>925</v>
      </c>
      <c r="C76" s="274" t="s">
        <v>869</v>
      </c>
      <c r="D76" s="274"/>
      <c r="E76" s="274"/>
      <c r="F76" s="274"/>
    </row>
    <row r="77" spans="1:6" ht="59.25" customHeight="1" x14ac:dyDescent="0.15">
      <c r="A77" s="19" t="s">
        <v>425</v>
      </c>
      <c r="B77" s="18" t="s">
        <v>963</v>
      </c>
      <c r="C77" s="274" t="s">
        <v>977</v>
      </c>
      <c r="D77" s="274"/>
      <c r="E77" s="274"/>
      <c r="F77" s="274"/>
    </row>
    <row r="78" spans="1:6" ht="59.25" customHeight="1" x14ac:dyDescent="0.15">
      <c r="A78" s="19" t="s">
        <v>426</v>
      </c>
      <c r="B78" s="18" t="s">
        <v>964</v>
      </c>
      <c r="C78" s="274" t="s">
        <v>978</v>
      </c>
      <c r="D78" s="274"/>
      <c r="E78" s="274"/>
      <c r="F78" s="274"/>
    </row>
    <row r="79" spans="1:6" ht="57" x14ac:dyDescent="0.15">
      <c r="A79" s="19" t="s">
        <v>427</v>
      </c>
      <c r="B79" s="18" t="s">
        <v>937</v>
      </c>
      <c r="C79" s="274" t="s">
        <v>870</v>
      </c>
      <c r="D79" s="274"/>
      <c r="E79" s="274"/>
      <c r="F79" s="274"/>
    </row>
    <row r="80" spans="1:6" ht="57" x14ac:dyDescent="0.15">
      <c r="A80" s="19" t="s">
        <v>428</v>
      </c>
      <c r="B80" s="18" t="s">
        <v>874</v>
      </c>
      <c r="C80" s="274" t="s">
        <v>871</v>
      </c>
      <c r="D80" s="274"/>
      <c r="E80" s="274"/>
      <c r="F80" s="274"/>
    </row>
    <row r="81" spans="1:8" ht="116.25" customHeight="1" x14ac:dyDescent="0.15">
      <c r="A81" s="19" t="s">
        <v>955</v>
      </c>
      <c r="B81" s="18" t="s">
        <v>1610</v>
      </c>
      <c r="C81" s="274" t="s">
        <v>873</v>
      </c>
      <c r="D81" s="274"/>
      <c r="E81" s="274"/>
      <c r="F81" s="274"/>
    </row>
    <row r="82" spans="1:8" ht="90.75" customHeight="1" x14ac:dyDescent="0.15">
      <c r="A82" s="19" t="s">
        <v>958</v>
      </c>
      <c r="B82" s="18" t="s">
        <v>986</v>
      </c>
      <c r="C82" s="268" t="s">
        <v>1595</v>
      </c>
      <c r="D82" s="274"/>
      <c r="E82" s="274"/>
      <c r="F82" s="274"/>
    </row>
    <row r="83" spans="1:8" ht="90.75" customHeight="1" x14ac:dyDescent="0.15">
      <c r="A83" s="19" t="s">
        <v>1020</v>
      </c>
      <c r="B83" s="18" t="s">
        <v>987</v>
      </c>
      <c r="C83" s="268" t="s">
        <v>1594</v>
      </c>
      <c r="D83" s="274"/>
      <c r="E83" s="274"/>
      <c r="F83" s="274"/>
    </row>
    <row r="84" spans="1:8" ht="71.25" x14ac:dyDescent="0.15">
      <c r="A84" s="19" t="s">
        <v>960</v>
      </c>
      <c r="B84" s="18" t="s">
        <v>951</v>
      </c>
      <c r="C84" s="274" t="s">
        <v>956</v>
      </c>
      <c r="D84" s="274"/>
      <c r="E84" s="274"/>
      <c r="F84" s="274"/>
    </row>
    <row r="85" spans="1:8" ht="71.25" x14ac:dyDescent="0.15">
      <c r="A85" s="19" t="s">
        <v>961</v>
      </c>
      <c r="B85" s="18" t="s">
        <v>979</v>
      </c>
      <c r="C85" s="268" t="s">
        <v>957</v>
      </c>
      <c r="D85" s="274"/>
      <c r="E85" s="274"/>
      <c r="F85" s="274"/>
    </row>
    <row r="86" spans="1:8" ht="95.25" customHeight="1" x14ac:dyDescent="0.15">
      <c r="A86" s="19" t="s">
        <v>962</v>
      </c>
      <c r="B86" s="18" t="s">
        <v>990</v>
      </c>
      <c r="C86" s="268" t="s">
        <v>1593</v>
      </c>
      <c r="D86" s="274"/>
      <c r="E86" s="274"/>
      <c r="F86" s="274"/>
    </row>
    <row r="87" spans="1:8" ht="91.5" customHeight="1" x14ac:dyDescent="0.15">
      <c r="A87" s="19" t="s">
        <v>993</v>
      </c>
      <c r="B87" s="18" t="s">
        <v>1023</v>
      </c>
      <c r="C87" s="268" t="s">
        <v>1592</v>
      </c>
      <c r="D87" s="274"/>
      <c r="E87" s="274"/>
      <c r="F87" s="274"/>
    </row>
    <row r="88" spans="1:8" ht="97.5" customHeight="1" x14ac:dyDescent="0.15">
      <c r="A88" s="19" t="s">
        <v>994</v>
      </c>
      <c r="B88" s="18" t="s">
        <v>1024</v>
      </c>
      <c r="C88" s="268" t="s">
        <v>1591</v>
      </c>
      <c r="D88" s="274"/>
      <c r="E88" s="274"/>
      <c r="F88" s="274"/>
    </row>
    <row r="89" spans="1:8" ht="143.25" customHeight="1" x14ac:dyDescent="0.15">
      <c r="A89" s="19" t="s">
        <v>1005</v>
      </c>
      <c r="B89" s="18" t="s">
        <v>1025</v>
      </c>
      <c r="C89" s="268" t="s">
        <v>1590</v>
      </c>
      <c r="D89" s="274"/>
      <c r="E89" s="274"/>
      <c r="F89" s="274"/>
    </row>
    <row r="90" spans="1:8" ht="141" customHeight="1" x14ac:dyDescent="0.15">
      <c r="A90" s="19" t="s">
        <v>1006</v>
      </c>
      <c r="B90" s="18" t="s">
        <v>1026</v>
      </c>
      <c r="C90" s="268" t="s">
        <v>1589</v>
      </c>
      <c r="D90" s="274"/>
      <c r="E90" s="274"/>
      <c r="F90" s="274"/>
      <c r="H90" s="8"/>
    </row>
    <row r="91" spans="1:8" ht="82.5" customHeight="1" x14ac:dyDescent="0.15">
      <c r="A91" s="19" t="s">
        <v>1596</v>
      </c>
      <c r="B91" s="18" t="s">
        <v>1602</v>
      </c>
      <c r="C91" s="268" t="s">
        <v>1604</v>
      </c>
      <c r="D91" s="268"/>
      <c r="E91" s="268"/>
      <c r="F91" s="268"/>
      <c r="H91" s="8"/>
    </row>
    <row r="92" spans="1:8" ht="99.75" x14ac:dyDescent="0.15">
      <c r="A92" s="19" t="s">
        <v>1597</v>
      </c>
      <c r="B92" s="18" t="s">
        <v>1603</v>
      </c>
      <c r="C92" s="268" t="s">
        <v>1605</v>
      </c>
      <c r="D92" s="268"/>
      <c r="E92" s="268"/>
      <c r="F92" s="268"/>
      <c r="H92" s="7">
        <f>matchscore("ATGCAAA", "ATGCAAA")</f>
        <v>1</v>
      </c>
    </row>
    <row r="93" spans="1:8" ht="114" x14ac:dyDescent="0.15">
      <c r="A93" s="19" t="s">
        <v>1598</v>
      </c>
      <c r="B93" s="18" t="s">
        <v>1607</v>
      </c>
      <c r="C93" s="268" t="s">
        <v>1609</v>
      </c>
      <c r="D93" s="268"/>
      <c r="E93" s="268"/>
      <c r="F93" s="268"/>
    </row>
  </sheetData>
  <mergeCells count="34">
    <mergeCell ref="C90:F90"/>
    <mergeCell ref="C77:F77"/>
    <mergeCell ref="C78:F78"/>
    <mergeCell ref="C82:F82"/>
    <mergeCell ref="C86:F86"/>
    <mergeCell ref="C87:F87"/>
    <mergeCell ref="C88:F88"/>
    <mergeCell ref="C89:F89"/>
    <mergeCell ref="C84:F84"/>
    <mergeCell ref="C81:F81"/>
    <mergeCell ref="C85:F85"/>
    <mergeCell ref="C83:F83"/>
    <mergeCell ref="B68:F68"/>
    <mergeCell ref="C70:F70"/>
    <mergeCell ref="C72:F72"/>
    <mergeCell ref="C71:F71"/>
    <mergeCell ref="C73:F73"/>
    <mergeCell ref="C69:F69"/>
    <mergeCell ref="C91:F91"/>
    <mergeCell ref="C92:F92"/>
    <mergeCell ref="C93:F93"/>
    <mergeCell ref="B6:E6"/>
    <mergeCell ref="C55:F55"/>
    <mergeCell ref="C56:F56"/>
    <mergeCell ref="B59:F59"/>
    <mergeCell ref="B45:F45"/>
    <mergeCell ref="B14:E14"/>
    <mergeCell ref="B25:E25"/>
    <mergeCell ref="B35:F35"/>
    <mergeCell ref="C74:F74"/>
    <mergeCell ref="C75:F75"/>
    <mergeCell ref="C76:F76"/>
    <mergeCell ref="C79:F79"/>
    <mergeCell ref="C80:F80"/>
  </mergeCells>
  <phoneticPr fontId="1"/>
  <pageMargins left="0.7" right="0.7" top="0.75" bottom="0.75" header="0.3" footer="0.3"/>
  <pageSetup paperSize="8" scale="73"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22"/>
  <sheetViews>
    <sheetView workbookViewId="0">
      <selection activeCell="K144" sqref="K144"/>
    </sheetView>
  </sheetViews>
  <sheetFormatPr defaultColWidth="9" defaultRowHeight="15.75" x14ac:dyDescent="0.15"/>
  <cols>
    <col min="1" max="1" width="5.375" style="16" customWidth="1"/>
    <col min="2" max="2" width="3.75" style="14" customWidth="1"/>
    <col min="3" max="4" width="11.875" style="14" customWidth="1"/>
    <col min="5" max="5" width="13" style="14" customWidth="1"/>
    <col min="6" max="6" width="9" style="17" customWidth="1"/>
    <col min="7" max="8" width="11.875" style="14" customWidth="1"/>
    <col min="9" max="9" width="9" style="17"/>
    <col min="10" max="10" width="9" style="14"/>
    <col min="11" max="11" width="11.875" style="17" customWidth="1"/>
    <col min="12" max="12" width="11.875" style="14" customWidth="1"/>
    <col min="13" max="13" width="9" style="17"/>
    <col min="14" max="14" width="12.625" style="14" customWidth="1"/>
    <col min="15" max="16384" width="9" style="14"/>
  </cols>
  <sheetData>
    <row r="1" spans="1:17" ht="21" x14ac:dyDescent="0.15">
      <c r="A1" s="254" t="s">
        <v>129</v>
      </c>
      <c r="I1" s="17" t="s">
        <v>130</v>
      </c>
      <c r="J1" s="14" t="str">
        <f>GUGS()</f>
        <v>GUGS: ver. 1.00</v>
      </c>
    </row>
    <row r="3" spans="1:17" x14ac:dyDescent="0.15">
      <c r="A3" s="47" t="s">
        <v>1222</v>
      </c>
      <c r="B3" s="48"/>
      <c r="C3" s="48"/>
      <c r="D3" s="48"/>
      <c r="E3" s="48"/>
      <c r="F3" s="49"/>
      <c r="G3" s="48"/>
      <c r="H3" s="48"/>
      <c r="I3" s="49"/>
      <c r="J3" s="48"/>
      <c r="K3" s="49"/>
      <c r="L3" s="48"/>
      <c r="M3" s="49"/>
      <c r="N3" s="48"/>
      <c r="O3" s="48"/>
      <c r="P3" s="48"/>
      <c r="Q3" s="48"/>
    </row>
    <row r="5" spans="1:17" ht="87.75" customHeight="1" x14ac:dyDescent="0.15">
      <c r="B5" s="277" t="s">
        <v>1551</v>
      </c>
      <c r="C5" s="277"/>
      <c r="D5" s="277"/>
      <c r="E5" s="277"/>
      <c r="F5" s="277"/>
      <c r="G5" s="277"/>
      <c r="H5" s="277"/>
      <c r="I5" s="277"/>
      <c r="J5" s="277"/>
      <c r="K5" s="54"/>
      <c r="N5" s="144"/>
    </row>
    <row r="8" spans="1:17" x14ac:dyDescent="0.15">
      <c r="A8" s="66" t="s">
        <v>402</v>
      </c>
      <c r="B8" s="67" t="s">
        <v>280</v>
      </c>
      <c r="C8" s="67"/>
      <c r="D8" s="67"/>
      <c r="E8" s="67"/>
      <c r="F8" s="68"/>
      <c r="G8" s="67"/>
      <c r="H8" s="67"/>
      <c r="I8" s="68"/>
      <c r="J8" s="67"/>
      <c r="K8" s="68"/>
      <c r="L8" s="67"/>
      <c r="M8" s="68"/>
      <c r="N8" s="67"/>
      <c r="O8" s="67"/>
      <c r="P8" s="67"/>
      <c r="Q8" s="67"/>
    </row>
    <row r="9" spans="1:17" x14ac:dyDescent="0.15">
      <c r="C9" s="14" t="s">
        <v>1153</v>
      </c>
    </row>
    <row r="11" spans="1:17" x14ac:dyDescent="0.15">
      <c r="B11" s="17" t="s">
        <v>19</v>
      </c>
      <c r="C11" s="15" t="s">
        <v>320</v>
      </c>
      <c r="F11" s="14"/>
    </row>
    <row r="12" spans="1:17" x14ac:dyDescent="0.15">
      <c r="B12" s="17"/>
      <c r="C12" s="14" t="s">
        <v>596</v>
      </c>
      <c r="F12" s="14"/>
    </row>
    <row r="13" spans="1:17" x14ac:dyDescent="0.15">
      <c r="B13" s="17"/>
      <c r="F13" s="14"/>
    </row>
    <row r="14" spans="1:17" x14ac:dyDescent="0.15">
      <c r="B14" s="17"/>
      <c r="C14" s="69" t="s">
        <v>879</v>
      </c>
      <c r="D14" s="70" t="s">
        <v>1497</v>
      </c>
      <c r="E14" s="58"/>
      <c r="F14" s="71"/>
    </row>
    <row r="15" spans="1:17" x14ac:dyDescent="0.15">
      <c r="B15" s="17"/>
      <c r="C15" s="72" t="s">
        <v>886</v>
      </c>
      <c r="D15" s="32" t="s">
        <v>1498</v>
      </c>
      <c r="E15" s="32"/>
      <c r="F15" s="73"/>
    </row>
    <row r="16" spans="1:17" x14ac:dyDescent="0.15">
      <c r="B16" s="17"/>
      <c r="C16" s="74" t="s">
        <v>887</v>
      </c>
      <c r="D16" s="62" t="s">
        <v>638</v>
      </c>
      <c r="E16" s="62"/>
      <c r="F16" s="75"/>
    </row>
    <row r="17" spans="2:10" x14ac:dyDescent="0.15">
      <c r="B17" s="17"/>
      <c r="F17" s="14"/>
    </row>
    <row r="18" spans="2:10" x14ac:dyDescent="0.15">
      <c r="C18" s="114"/>
      <c r="D18" s="129" t="s">
        <v>283</v>
      </c>
      <c r="F18" s="14"/>
      <c r="J18" s="17"/>
    </row>
    <row r="19" spans="2:10" x14ac:dyDescent="0.15">
      <c r="C19" s="130" t="s">
        <v>172</v>
      </c>
      <c r="D19" s="78" t="s">
        <v>173</v>
      </c>
      <c r="E19" s="14" t="s">
        <v>284</v>
      </c>
      <c r="F19" s="14"/>
    </row>
    <row r="20" spans="2:10" x14ac:dyDescent="0.15">
      <c r="C20" s="131">
        <v>100</v>
      </c>
      <c r="D20" s="81" t="str">
        <f t="shared" ref="D20:D25" si="0">NormSSR(C20)</f>
        <v>100/100</v>
      </c>
      <c r="E20" s="14" t="s">
        <v>285</v>
      </c>
      <c r="F20" s="14"/>
    </row>
    <row r="21" spans="2:10" x14ac:dyDescent="0.15">
      <c r="C21" s="131">
        <v>120</v>
      </c>
      <c r="D21" s="81" t="str">
        <f t="shared" si="0"/>
        <v>120/120</v>
      </c>
      <c r="F21" s="14"/>
    </row>
    <row r="22" spans="2:10" x14ac:dyDescent="0.15">
      <c r="C22" s="131" t="s">
        <v>6</v>
      </c>
      <c r="D22" s="81" t="str">
        <f t="shared" si="0"/>
        <v>100/110</v>
      </c>
      <c r="E22" s="14" t="s">
        <v>604</v>
      </c>
      <c r="F22" s="14"/>
    </row>
    <row r="23" spans="2:10" x14ac:dyDescent="0.15">
      <c r="C23" s="131" t="s">
        <v>338</v>
      </c>
      <c r="D23" s="81" t="str">
        <f t="shared" si="0"/>
        <v>90/120</v>
      </c>
      <c r="E23" s="14" t="s">
        <v>605</v>
      </c>
      <c r="F23" s="14"/>
    </row>
    <row r="24" spans="2:10" x14ac:dyDescent="0.15">
      <c r="C24" s="131" t="s">
        <v>288</v>
      </c>
      <c r="D24" s="81" t="str">
        <f t="shared" si="0"/>
        <v>a/120</v>
      </c>
      <c r="E24" s="14" t="s">
        <v>289</v>
      </c>
      <c r="F24" s="14"/>
    </row>
    <row r="25" spans="2:10" x14ac:dyDescent="0.15">
      <c r="C25" s="195"/>
      <c r="D25" s="84" t="str">
        <f t="shared" si="0"/>
        <v>/</v>
      </c>
      <c r="E25" s="46" t="s">
        <v>606</v>
      </c>
      <c r="F25" s="14"/>
    </row>
    <row r="26" spans="2:10" x14ac:dyDescent="0.15">
      <c r="C26" s="17"/>
    </row>
    <row r="27" spans="2:10" x14ac:dyDescent="0.15">
      <c r="B27" s="17" t="s">
        <v>291</v>
      </c>
      <c r="C27" s="15" t="s">
        <v>319</v>
      </c>
      <c r="F27" s="14"/>
    </row>
    <row r="28" spans="2:10" x14ac:dyDescent="0.15">
      <c r="B28" s="17"/>
      <c r="C28" s="14" t="s">
        <v>660</v>
      </c>
      <c r="F28" s="14"/>
    </row>
    <row r="29" spans="2:10" x14ac:dyDescent="0.15">
      <c r="B29" s="17"/>
      <c r="F29" s="14"/>
    </row>
    <row r="30" spans="2:10" x14ac:dyDescent="0.15">
      <c r="B30" s="17"/>
      <c r="C30" s="69" t="s">
        <v>879</v>
      </c>
      <c r="D30" s="70" t="s">
        <v>1499</v>
      </c>
      <c r="E30" s="58"/>
      <c r="F30" s="71"/>
    </row>
    <row r="31" spans="2:10" x14ac:dyDescent="0.15">
      <c r="B31" s="17"/>
      <c r="C31" s="72" t="s">
        <v>886</v>
      </c>
      <c r="D31" s="32" t="s">
        <v>1500</v>
      </c>
      <c r="E31" s="32"/>
      <c r="F31" s="73"/>
    </row>
    <row r="32" spans="2:10" x14ac:dyDescent="0.15">
      <c r="B32" s="17"/>
      <c r="C32" s="74" t="s">
        <v>887</v>
      </c>
      <c r="D32" s="62" t="s">
        <v>1027</v>
      </c>
      <c r="E32" s="62"/>
      <c r="F32" s="75"/>
    </row>
    <row r="33" spans="2:7" x14ac:dyDescent="0.15">
      <c r="B33" s="17"/>
      <c r="F33" s="14"/>
    </row>
    <row r="34" spans="2:7" x14ac:dyDescent="0.15">
      <c r="C34" s="182"/>
      <c r="D34" s="129" t="s">
        <v>281</v>
      </c>
      <c r="E34" s="17"/>
    </row>
    <row r="35" spans="2:7" x14ac:dyDescent="0.15">
      <c r="C35" s="130" t="s">
        <v>171</v>
      </c>
      <c r="D35" s="78" t="s">
        <v>173</v>
      </c>
      <c r="E35" s="17"/>
    </row>
    <row r="36" spans="2:7" x14ac:dyDescent="0.15">
      <c r="C36" s="131" t="s">
        <v>286</v>
      </c>
      <c r="D36" s="81" t="str">
        <f t="shared" ref="D36:D41" si="1">NormSNP(C36)</f>
        <v>CC</v>
      </c>
      <c r="E36" s="46" t="s">
        <v>600</v>
      </c>
      <c r="G36" s="17"/>
    </row>
    <row r="37" spans="2:7" x14ac:dyDescent="0.15">
      <c r="C37" s="131" t="s">
        <v>76</v>
      </c>
      <c r="D37" s="81" t="str">
        <f t="shared" si="1"/>
        <v>AB</v>
      </c>
      <c r="E37" s="46" t="s">
        <v>601</v>
      </c>
      <c r="G37" s="17"/>
    </row>
    <row r="38" spans="2:7" x14ac:dyDescent="0.15">
      <c r="C38" s="131" t="s">
        <v>75</v>
      </c>
      <c r="D38" s="81" t="str">
        <f t="shared" si="1"/>
        <v>ABC</v>
      </c>
      <c r="E38" s="46" t="s">
        <v>340</v>
      </c>
      <c r="G38" s="17"/>
    </row>
    <row r="39" spans="2:7" x14ac:dyDescent="0.15">
      <c r="C39" s="131" t="s">
        <v>339</v>
      </c>
      <c r="D39" s="81" t="str">
        <f t="shared" si="1"/>
        <v>AB</v>
      </c>
      <c r="E39" s="46" t="s">
        <v>602</v>
      </c>
    </row>
    <row r="40" spans="2:7" x14ac:dyDescent="0.15">
      <c r="C40" s="131" t="s">
        <v>74</v>
      </c>
      <c r="D40" s="81" t="str">
        <f t="shared" si="1"/>
        <v>CC</v>
      </c>
      <c r="E40" s="14" t="s">
        <v>287</v>
      </c>
    </row>
    <row r="41" spans="2:7" x14ac:dyDescent="0.15">
      <c r="C41" s="195"/>
      <c r="D41" s="84" t="str">
        <f t="shared" si="1"/>
        <v/>
      </c>
      <c r="E41" s="46" t="s">
        <v>603</v>
      </c>
    </row>
    <row r="43" spans="2:7" x14ac:dyDescent="0.15">
      <c r="B43" s="17" t="s">
        <v>310</v>
      </c>
      <c r="C43" s="15" t="s">
        <v>318</v>
      </c>
      <c r="F43" s="14"/>
    </row>
    <row r="44" spans="2:7" x14ac:dyDescent="0.15">
      <c r="B44" s="17"/>
      <c r="C44" s="14" t="s">
        <v>597</v>
      </c>
      <c r="F44" s="14"/>
    </row>
    <row r="45" spans="2:7" x14ac:dyDescent="0.15">
      <c r="B45" s="17"/>
      <c r="C45" s="46" t="s">
        <v>598</v>
      </c>
      <c r="F45" s="14"/>
    </row>
    <row r="46" spans="2:7" x14ac:dyDescent="0.15">
      <c r="B46" s="17"/>
      <c r="C46" s="46"/>
      <c r="F46" s="14"/>
    </row>
    <row r="47" spans="2:7" x14ac:dyDescent="0.15">
      <c r="B47" s="17"/>
      <c r="C47" s="69" t="s">
        <v>879</v>
      </c>
      <c r="D47" s="70" t="s">
        <v>1501</v>
      </c>
      <c r="E47" s="58"/>
      <c r="F47" s="71"/>
    </row>
    <row r="48" spans="2:7" x14ac:dyDescent="0.15">
      <c r="B48" s="17"/>
      <c r="C48" s="72" t="s">
        <v>886</v>
      </c>
      <c r="D48" s="32" t="s">
        <v>1502</v>
      </c>
      <c r="E48" s="32"/>
      <c r="F48" s="73"/>
    </row>
    <row r="49" spans="2:6" x14ac:dyDescent="0.15">
      <c r="B49" s="17"/>
      <c r="C49" s="74" t="s">
        <v>887</v>
      </c>
      <c r="D49" s="62" t="s">
        <v>1028</v>
      </c>
      <c r="E49" s="62"/>
      <c r="F49" s="75"/>
    </row>
    <row r="50" spans="2:6" x14ac:dyDescent="0.15">
      <c r="B50" s="17"/>
      <c r="C50" s="46"/>
      <c r="F50" s="14"/>
    </row>
    <row r="51" spans="2:6" x14ac:dyDescent="0.15">
      <c r="C51" s="182"/>
      <c r="D51" s="129" t="s">
        <v>282</v>
      </c>
      <c r="E51" s="17"/>
      <c r="F51" s="14"/>
    </row>
    <row r="52" spans="2:6" x14ac:dyDescent="0.15">
      <c r="C52" s="130" t="s">
        <v>170</v>
      </c>
      <c r="D52" s="78" t="s">
        <v>173</v>
      </c>
      <c r="E52" s="17"/>
    </row>
    <row r="53" spans="2:6" x14ac:dyDescent="0.15">
      <c r="C53" s="131" t="s">
        <v>11</v>
      </c>
      <c r="D53" s="81" t="str">
        <f t="shared" ref="D53:D64" si="2">NormMC(C53)</f>
        <v>A</v>
      </c>
      <c r="E53" s="46" t="s">
        <v>301</v>
      </c>
    </row>
    <row r="54" spans="2:6" x14ac:dyDescent="0.15">
      <c r="C54" s="131" t="s">
        <v>12</v>
      </c>
      <c r="D54" s="81" t="str">
        <f t="shared" si="2"/>
        <v>B</v>
      </c>
      <c r="E54" s="46" t="s">
        <v>301</v>
      </c>
    </row>
    <row r="55" spans="2:6" x14ac:dyDescent="0.15">
      <c r="C55" s="131" t="s">
        <v>13</v>
      </c>
      <c r="D55" s="81" t="str">
        <f t="shared" si="2"/>
        <v>H</v>
      </c>
      <c r="E55" s="46" t="s">
        <v>301</v>
      </c>
    </row>
    <row r="56" spans="2:6" x14ac:dyDescent="0.15">
      <c r="C56" s="131" t="s">
        <v>77</v>
      </c>
      <c r="D56" s="81" t="str">
        <f t="shared" si="2"/>
        <v>A</v>
      </c>
      <c r="E56" s="46" t="s">
        <v>599</v>
      </c>
    </row>
    <row r="57" spans="2:6" x14ac:dyDescent="0.15">
      <c r="C57" s="131" t="s">
        <v>78</v>
      </c>
      <c r="D57" s="81" t="str">
        <f t="shared" si="2"/>
        <v>B</v>
      </c>
      <c r="E57" s="46" t="s">
        <v>599</v>
      </c>
    </row>
    <row r="58" spans="2:6" x14ac:dyDescent="0.15">
      <c r="C58" s="131" t="s">
        <v>79</v>
      </c>
      <c r="D58" s="81" t="str">
        <f t="shared" si="2"/>
        <v>H</v>
      </c>
      <c r="E58" s="46" t="s">
        <v>599</v>
      </c>
    </row>
    <row r="59" spans="2:6" x14ac:dyDescent="0.15">
      <c r="C59" s="131" t="s">
        <v>80</v>
      </c>
      <c r="D59" s="81" t="str">
        <f t="shared" si="2"/>
        <v>A</v>
      </c>
      <c r="E59" s="46" t="s">
        <v>661</v>
      </c>
    </row>
    <row r="60" spans="2:6" x14ac:dyDescent="0.15">
      <c r="C60" s="131" t="s">
        <v>81</v>
      </c>
      <c r="D60" s="81" t="str">
        <f t="shared" si="2"/>
        <v>B</v>
      </c>
      <c r="E60" s="46" t="s">
        <v>661</v>
      </c>
    </row>
    <row r="61" spans="2:6" x14ac:dyDescent="0.15">
      <c r="C61" s="131" t="s">
        <v>82</v>
      </c>
      <c r="D61" s="81" t="str">
        <f t="shared" si="2"/>
        <v>H</v>
      </c>
      <c r="E61" s="46" t="s">
        <v>661</v>
      </c>
    </row>
    <row r="62" spans="2:6" x14ac:dyDescent="0.15">
      <c r="C62" s="131" t="s">
        <v>8</v>
      </c>
      <c r="D62" s="81" t="str">
        <f t="shared" si="2"/>
        <v>A</v>
      </c>
      <c r="E62" s="46" t="s">
        <v>661</v>
      </c>
    </row>
    <row r="63" spans="2:6" x14ac:dyDescent="0.15">
      <c r="C63" s="131"/>
      <c r="D63" s="81" t="str">
        <f t="shared" si="2"/>
        <v/>
      </c>
      <c r="E63" s="46" t="s">
        <v>603</v>
      </c>
    </row>
    <row r="64" spans="2:6" x14ac:dyDescent="0.15">
      <c r="C64" s="195">
        <v>3</v>
      </c>
      <c r="D64" s="84" t="str">
        <f t="shared" si="2"/>
        <v>X</v>
      </c>
      <c r="E64" s="196" t="s">
        <v>290</v>
      </c>
    </row>
    <row r="66" spans="1:17" x14ac:dyDescent="0.15">
      <c r="A66" s="66" t="s">
        <v>411</v>
      </c>
      <c r="B66" s="67" t="s">
        <v>663</v>
      </c>
      <c r="C66" s="67"/>
      <c r="D66" s="67"/>
      <c r="E66" s="67"/>
      <c r="F66" s="68"/>
      <c r="G66" s="67"/>
      <c r="H66" s="67"/>
      <c r="I66" s="68"/>
      <c r="J66" s="67"/>
      <c r="K66" s="68"/>
      <c r="L66" s="67"/>
      <c r="M66" s="68"/>
      <c r="N66" s="67"/>
      <c r="O66" s="67"/>
      <c r="P66" s="67"/>
      <c r="Q66" s="67"/>
    </row>
    <row r="67" spans="1:17" x14ac:dyDescent="0.15">
      <c r="B67" s="17"/>
      <c r="C67" s="14" t="s">
        <v>1552</v>
      </c>
    </row>
    <row r="68" spans="1:17" x14ac:dyDescent="0.15">
      <c r="B68" s="17"/>
    </row>
    <row r="69" spans="1:17" x14ac:dyDescent="0.15">
      <c r="B69" s="17" t="s">
        <v>19</v>
      </c>
      <c r="C69" s="15" t="s">
        <v>311</v>
      </c>
      <c r="F69" s="14"/>
      <c r="G69" s="17"/>
      <c r="I69" s="14"/>
    </row>
    <row r="70" spans="1:17" x14ac:dyDescent="0.15">
      <c r="B70" s="17"/>
      <c r="C70" s="14" t="s">
        <v>607</v>
      </c>
      <c r="F70" s="14"/>
      <c r="G70" s="17"/>
      <c r="I70" s="14"/>
    </row>
    <row r="71" spans="1:17" x14ac:dyDescent="0.15">
      <c r="B71" s="17"/>
      <c r="F71" s="14"/>
      <c r="G71" s="17"/>
      <c r="I71" s="14"/>
    </row>
    <row r="72" spans="1:17" x14ac:dyDescent="0.15">
      <c r="B72" s="17"/>
      <c r="C72" s="69" t="s">
        <v>879</v>
      </c>
      <c r="D72" s="70" t="s">
        <v>1503</v>
      </c>
      <c r="E72" s="58"/>
      <c r="F72" s="59"/>
      <c r="G72" s="58"/>
      <c r="H72" s="58"/>
      <c r="I72" s="58"/>
      <c r="J72" s="59"/>
      <c r="K72" s="71"/>
    </row>
    <row r="73" spans="1:17" x14ac:dyDescent="0.15">
      <c r="B73" s="17"/>
      <c r="C73" s="72" t="s">
        <v>1029</v>
      </c>
      <c r="D73" s="32" t="s">
        <v>1504</v>
      </c>
      <c r="E73" s="32"/>
      <c r="F73" s="61"/>
      <c r="G73" s="32"/>
      <c r="H73" s="32"/>
      <c r="I73" s="32"/>
      <c r="J73" s="61"/>
      <c r="K73" s="73"/>
    </row>
    <row r="74" spans="1:17" x14ac:dyDescent="0.15">
      <c r="B74" s="17"/>
      <c r="C74" s="72"/>
      <c r="D74" s="32" t="s">
        <v>1505</v>
      </c>
      <c r="E74" s="32"/>
      <c r="F74" s="61"/>
      <c r="G74" s="32"/>
      <c r="H74" s="32"/>
      <c r="I74" s="32"/>
      <c r="J74" s="61"/>
      <c r="K74" s="73"/>
    </row>
    <row r="75" spans="1:17" x14ac:dyDescent="0.15">
      <c r="B75" s="17"/>
      <c r="C75" s="74" t="s">
        <v>887</v>
      </c>
      <c r="D75" s="62" t="s">
        <v>1030</v>
      </c>
      <c r="E75" s="62"/>
      <c r="F75" s="63"/>
      <c r="G75" s="62"/>
      <c r="H75" s="62"/>
      <c r="I75" s="62"/>
      <c r="J75" s="63"/>
      <c r="K75" s="75"/>
    </row>
    <row r="76" spans="1:17" x14ac:dyDescent="0.15">
      <c r="B76" s="17"/>
      <c r="F76" s="14"/>
      <c r="G76" s="17"/>
      <c r="I76" s="14"/>
    </row>
    <row r="77" spans="1:17" x14ac:dyDescent="0.15">
      <c r="B77" s="17"/>
      <c r="C77" s="114"/>
      <c r="D77" s="114"/>
      <c r="E77" s="129" t="s">
        <v>295</v>
      </c>
      <c r="I77" s="14"/>
    </row>
    <row r="78" spans="1:17" x14ac:dyDescent="0.15">
      <c r="B78" s="17"/>
      <c r="C78" s="197" t="s">
        <v>292</v>
      </c>
      <c r="D78" s="197" t="s">
        <v>293</v>
      </c>
      <c r="E78" s="78" t="s">
        <v>294</v>
      </c>
      <c r="I78" s="14"/>
    </row>
    <row r="79" spans="1:17" x14ac:dyDescent="0.15">
      <c r="B79" s="17"/>
      <c r="C79" s="17" t="s">
        <v>58</v>
      </c>
      <c r="D79" s="17" t="s">
        <v>58</v>
      </c>
      <c r="E79" s="81" t="str">
        <f>SSRtoRelSize(C79,D79)</f>
        <v>0/0</v>
      </c>
      <c r="I79" s="14"/>
    </row>
    <row r="80" spans="1:17" x14ac:dyDescent="0.15">
      <c r="B80" s="17"/>
      <c r="C80" s="17" t="s">
        <v>59</v>
      </c>
      <c r="D80" s="17" t="s">
        <v>58</v>
      </c>
      <c r="E80" s="81" t="str">
        <f>SSRtoRelSize(C80,D80)</f>
        <v>-1/-1</v>
      </c>
      <c r="I80" s="14"/>
    </row>
    <row r="81" spans="2:9" x14ac:dyDescent="0.15">
      <c r="B81" s="17"/>
      <c r="C81" s="17" t="s">
        <v>60</v>
      </c>
      <c r="D81" s="17" t="s">
        <v>58</v>
      </c>
      <c r="E81" s="81" t="str">
        <f>SSRtoRelSize(C81,D81)</f>
        <v>-2/-2</v>
      </c>
      <c r="I81" s="14"/>
    </row>
    <row r="82" spans="2:9" x14ac:dyDescent="0.15">
      <c r="B82" s="17"/>
      <c r="C82" s="63" t="s">
        <v>61</v>
      </c>
      <c r="D82" s="63" t="s">
        <v>58</v>
      </c>
      <c r="E82" s="84" t="str">
        <f>SSRtoRelSize(C82,D82)</f>
        <v>-1/0</v>
      </c>
      <c r="I82" s="14"/>
    </row>
    <row r="83" spans="2:9" x14ac:dyDescent="0.15">
      <c r="B83" s="17"/>
      <c r="I83" s="14"/>
    </row>
    <row r="84" spans="2:9" x14ac:dyDescent="0.15">
      <c r="B84" s="17" t="s">
        <v>291</v>
      </c>
      <c r="C84" s="15" t="s">
        <v>390</v>
      </c>
      <c r="I84" s="14"/>
    </row>
    <row r="85" spans="2:9" x14ac:dyDescent="0.15">
      <c r="B85" s="17"/>
      <c r="C85" s="198" t="s">
        <v>741</v>
      </c>
      <c r="I85" s="14"/>
    </row>
    <row r="86" spans="2:9" x14ac:dyDescent="0.15">
      <c r="B86" s="17"/>
      <c r="C86" s="198"/>
      <c r="I86" s="14"/>
    </row>
    <row r="87" spans="2:9" x14ac:dyDescent="0.15">
      <c r="B87" s="17"/>
      <c r="C87" s="69" t="s">
        <v>879</v>
      </c>
      <c r="D87" s="70" t="s">
        <v>1506</v>
      </c>
      <c r="E87" s="59"/>
      <c r="F87" s="58"/>
      <c r="G87" s="58"/>
      <c r="H87" s="71"/>
      <c r="I87" s="14"/>
    </row>
    <row r="88" spans="2:9" x14ac:dyDescent="0.15">
      <c r="B88" s="17"/>
      <c r="C88" s="72" t="s">
        <v>1029</v>
      </c>
      <c r="D88" s="32" t="s">
        <v>1507</v>
      </c>
      <c r="E88" s="61"/>
      <c r="F88" s="32"/>
      <c r="G88" s="32"/>
      <c r="H88" s="73"/>
      <c r="I88" s="14"/>
    </row>
    <row r="89" spans="2:9" x14ac:dyDescent="0.15">
      <c r="B89" s="17"/>
      <c r="C89" s="72"/>
      <c r="D89" s="32" t="s">
        <v>1508</v>
      </c>
      <c r="E89" s="61"/>
      <c r="F89" s="32"/>
      <c r="G89" s="32"/>
      <c r="H89" s="73"/>
      <c r="I89" s="14"/>
    </row>
    <row r="90" spans="2:9" x14ac:dyDescent="0.15">
      <c r="B90" s="17"/>
      <c r="C90" s="74" t="s">
        <v>887</v>
      </c>
      <c r="D90" s="62" t="s">
        <v>1031</v>
      </c>
      <c r="E90" s="63"/>
      <c r="F90" s="62"/>
      <c r="G90" s="62"/>
      <c r="H90" s="75"/>
      <c r="I90" s="14"/>
    </row>
    <row r="91" spans="2:9" x14ac:dyDescent="0.15">
      <c r="B91" s="17"/>
      <c r="C91" s="198"/>
      <c r="I91" s="14"/>
    </row>
    <row r="92" spans="2:9" x14ac:dyDescent="0.15">
      <c r="B92" s="17"/>
      <c r="C92" s="114"/>
      <c r="D92" s="129"/>
      <c r="E92" s="129" t="s">
        <v>302</v>
      </c>
      <c r="I92" s="14"/>
    </row>
    <row r="93" spans="2:9" x14ac:dyDescent="0.15">
      <c r="B93" s="17"/>
      <c r="C93" s="130" t="s">
        <v>171</v>
      </c>
      <c r="D93" s="130" t="s">
        <v>303</v>
      </c>
      <c r="E93" s="78" t="s">
        <v>173</v>
      </c>
      <c r="I93" s="14"/>
    </row>
    <row r="94" spans="2:9" x14ac:dyDescent="0.15">
      <c r="B94" s="17"/>
      <c r="C94" s="17" t="s">
        <v>46</v>
      </c>
      <c r="D94" s="199" t="s">
        <v>304</v>
      </c>
      <c r="E94" s="82" t="str">
        <f>SNPwithSEP(C94,D94)</f>
        <v>A/G</v>
      </c>
    </row>
    <row r="95" spans="2:9" x14ac:dyDescent="0.15">
      <c r="B95" s="17"/>
      <c r="C95" s="17" t="s">
        <v>300</v>
      </c>
      <c r="D95" s="200" t="s">
        <v>304</v>
      </c>
      <c r="E95" s="83" t="str">
        <f t="shared" ref="E95:E100" si="3">SNPwithSEP(C95,D95)</f>
        <v>A/A</v>
      </c>
    </row>
    <row r="96" spans="2:9" x14ac:dyDescent="0.15">
      <c r="B96" s="17"/>
      <c r="C96" s="17" t="s">
        <v>296</v>
      </c>
      <c r="D96" s="200" t="s">
        <v>305</v>
      </c>
      <c r="E96" s="83" t="str">
        <f t="shared" si="3"/>
        <v>A-C</v>
      </c>
    </row>
    <row r="97" spans="2:9" x14ac:dyDescent="0.15">
      <c r="B97" s="17"/>
      <c r="C97" s="17" t="s">
        <v>308</v>
      </c>
      <c r="D97" s="200" t="s">
        <v>305</v>
      </c>
      <c r="E97" s="83" t="str">
        <f t="shared" si="3"/>
        <v>G-G</v>
      </c>
    </row>
    <row r="98" spans="2:9" x14ac:dyDescent="0.15">
      <c r="B98" s="17"/>
      <c r="C98" s="17" t="s">
        <v>297</v>
      </c>
      <c r="D98" s="200" t="s">
        <v>306</v>
      </c>
      <c r="E98" s="83" t="str">
        <f t="shared" si="3"/>
        <v>C+T</v>
      </c>
    </row>
    <row r="99" spans="2:9" x14ac:dyDescent="0.15">
      <c r="B99" s="17"/>
      <c r="C99" s="17" t="s">
        <v>309</v>
      </c>
      <c r="D99" s="200" t="s">
        <v>307</v>
      </c>
      <c r="E99" s="83" t="str">
        <f t="shared" si="3"/>
        <v>C_C</v>
      </c>
    </row>
    <row r="100" spans="2:9" x14ac:dyDescent="0.15">
      <c r="B100" s="17"/>
      <c r="C100" s="63" t="s">
        <v>299</v>
      </c>
      <c r="D100" s="201" t="s">
        <v>304</v>
      </c>
      <c r="E100" s="84" t="str">
        <f t="shared" si="3"/>
        <v>A/A</v>
      </c>
    </row>
    <row r="101" spans="2:9" x14ac:dyDescent="0.15">
      <c r="B101" s="17"/>
      <c r="I101" s="14"/>
    </row>
    <row r="102" spans="2:9" x14ac:dyDescent="0.15">
      <c r="B102" s="17" t="s">
        <v>310</v>
      </c>
      <c r="C102" s="15" t="s">
        <v>662</v>
      </c>
      <c r="I102" s="14"/>
    </row>
    <row r="103" spans="2:9" x14ac:dyDescent="0.15">
      <c r="B103" s="17"/>
      <c r="C103" s="14" t="s">
        <v>608</v>
      </c>
      <c r="I103" s="14"/>
    </row>
    <row r="104" spans="2:9" x14ac:dyDescent="0.15">
      <c r="B104" s="17"/>
      <c r="I104" s="14"/>
    </row>
    <row r="105" spans="2:9" x14ac:dyDescent="0.15">
      <c r="B105" s="17"/>
      <c r="C105" s="69" t="s">
        <v>879</v>
      </c>
      <c r="D105" s="70" t="s">
        <v>1509</v>
      </c>
      <c r="E105" s="59"/>
      <c r="F105" s="71"/>
      <c r="I105" s="14"/>
    </row>
    <row r="106" spans="2:9" x14ac:dyDescent="0.15">
      <c r="B106" s="17"/>
      <c r="C106" s="72" t="s">
        <v>886</v>
      </c>
      <c r="D106" s="32" t="s">
        <v>1510</v>
      </c>
      <c r="E106" s="61"/>
      <c r="F106" s="73"/>
      <c r="I106" s="14"/>
    </row>
    <row r="107" spans="2:9" x14ac:dyDescent="0.15">
      <c r="B107" s="17"/>
      <c r="C107" s="74" t="s">
        <v>887</v>
      </c>
      <c r="D107" s="62" t="s">
        <v>1032</v>
      </c>
      <c r="E107" s="63"/>
      <c r="F107" s="75"/>
      <c r="I107" s="14"/>
    </row>
    <row r="108" spans="2:9" x14ac:dyDescent="0.15">
      <c r="B108" s="17"/>
      <c r="I108" s="14"/>
    </row>
    <row r="109" spans="2:9" x14ac:dyDescent="0.15">
      <c r="B109" s="17"/>
      <c r="C109" s="114"/>
      <c r="D109" s="129" t="s">
        <v>312</v>
      </c>
      <c r="I109" s="14"/>
    </row>
    <row r="110" spans="2:9" x14ac:dyDescent="0.15">
      <c r="B110" s="17"/>
      <c r="C110" s="130" t="s">
        <v>170</v>
      </c>
      <c r="D110" s="78" t="s">
        <v>173</v>
      </c>
      <c r="I110" s="14"/>
    </row>
    <row r="111" spans="2:9" x14ac:dyDescent="0.15">
      <c r="B111" s="17"/>
      <c r="C111" s="17" t="s">
        <v>299</v>
      </c>
      <c r="D111" s="82" t="str">
        <f t="shared" ref="D111:D117" si="4">M2SNP(C111)</f>
        <v>AA</v>
      </c>
      <c r="I111" s="14"/>
    </row>
    <row r="112" spans="2:9" x14ac:dyDescent="0.15">
      <c r="B112" s="17"/>
      <c r="C112" s="17" t="s">
        <v>313</v>
      </c>
      <c r="D112" s="83" t="str">
        <f t="shared" si="4"/>
        <v>BB</v>
      </c>
      <c r="I112" s="14"/>
    </row>
    <row r="113" spans="1:17" x14ac:dyDescent="0.15">
      <c r="B113" s="17"/>
      <c r="C113" s="17" t="s">
        <v>314</v>
      </c>
      <c r="D113" s="83" t="str">
        <f t="shared" si="4"/>
        <v>AB</v>
      </c>
      <c r="I113" s="14"/>
    </row>
    <row r="114" spans="1:17" x14ac:dyDescent="0.15">
      <c r="B114" s="16"/>
      <c r="C114" s="17" t="s">
        <v>298</v>
      </c>
      <c r="D114" s="83" t="str">
        <f t="shared" si="4"/>
        <v>AA</v>
      </c>
      <c r="I114" s="14"/>
    </row>
    <row r="115" spans="1:17" x14ac:dyDescent="0.15">
      <c r="B115" s="16"/>
      <c r="C115" s="17" t="s">
        <v>315</v>
      </c>
      <c r="D115" s="83" t="str">
        <f t="shared" si="4"/>
        <v/>
      </c>
      <c r="E115" s="79" t="s">
        <v>1034</v>
      </c>
      <c r="I115" s="14"/>
    </row>
    <row r="116" spans="1:17" x14ac:dyDescent="0.15">
      <c r="B116" s="16"/>
      <c r="C116" s="17"/>
      <c r="D116" s="83" t="str">
        <f t="shared" si="4"/>
        <v/>
      </c>
      <c r="I116" s="14"/>
    </row>
    <row r="117" spans="1:17" s="53" customFormat="1" x14ac:dyDescent="0.15">
      <c r="A117" s="101"/>
      <c r="B117" s="101"/>
      <c r="C117" s="63" t="s">
        <v>316</v>
      </c>
      <c r="D117" s="84" t="str">
        <f t="shared" si="4"/>
        <v>AA</v>
      </c>
      <c r="E117" s="53" t="s">
        <v>1033</v>
      </c>
      <c r="F117" s="85"/>
      <c r="K117" s="85"/>
      <c r="M117" s="85"/>
    </row>
    <row r="118" spans="1:17" s="53" customFormat="1" x14ac:dyDescent="0.15">
      <c r="A118" s="101"/>
      <c r="B118" s="101"/>
      <c r="C118" s="52"/>
      <c r="D118" s="52"/>
      <c r="F118" s="85"/>
      <c r="K118" s="85"/>
      <c r="M118" s="85"/>
    </row>
    <row r="119" spans="1:17" s="53" customFormat="1" x14ac:dyDescent="0.15">
      <c r="A119" s="101"/>
      <c r="B119" s="101"/>
      <c r="C119" s="52"/>
      <c r="D119" s="202"/>
      <c r="E119" s="52"/>
      <c r="F119" s="85"/>
      <c r="K119" s="85"/>
      <c r="M119" s="85"/>
    </row>
    <row r="120" spans="1:17" x14ac:dyDescent="0.15">
      <c r="A120" s="66" t="s">
        <v>412</v>
      </c>
      <c r="B120" s="67" t="s">
        <v>609</v>
      </c>
      <c r="C120" s="67"/>
      <c r="D120" s="67"/>
      <c r="E120" s="67"/>
      <c r="F120" s="68"/>
      <c r="G120" s="67"/>
      <c r="H120" s="67"/>
      <c r="I120" s="68"/>
      <c r="J120" s="67"/>
      <c r="K120" s="68"/>
      <c r="L120" s="67"/>
      <c r="M120" s="68"/>
      <c r="N120" s="67"/>
      <c r="O120" s="67"/>
      <c r="P120" s="67"/>
      <c r="Q120" s="67"/>
    </row>
    <row r="121" spans="1:17" x14ac:dyDescent="0.15">
      <c r="B121" s="17" t="s">
        <v>19</v>
      </c>
      <c r="C121" s="15" t="s">
        <v>317</v>
      </c>
      <c r="F121" s="14"/>
      <c r="G121" s="17"/>
      <c r="I121" s="14"/>
    </row>
    <row r="122" spans="1:17" x14ac:dyDescent="0.15">
      <c r="B122" s="17"/>
      <c r="C122" s="14" t="s">
        <v>1155</v>
      </c>
      <c r="F122" s="14"/>
      <c r="G122" s="17"/>
      <c r="I122" s="14"/>
    </row>
    <row r="123" spans="1:17" x14ac:dyDescent="0.15">
      <c r="B123" s="17"/>
      <c r="F123" s="14"/>
      <c r="G123" s="17"/>
      <c r="I123" s="14"/>
      <c r="K123" s="14"/>
    </row>
    <row r="124" spans="1:17" x14ac:dyDescent="0.15">
      <c r="B124" s="17"/>
      <c r="C124" s="69" t="s">
        <v>879</v>
      </c>
      <c r="D124" s="70" t="s">
        <v>1511</v>
      </c>
      <c r="E124" s="58"/>
      <c r="F124" s="59"/>
      <c r="G124" s="58"/>
      <c r="H124" s="71"/>
      <c r="K124" s="14"/>
    </row>
    <row r="125" spans="1:17" x14ac:dyDescent="0.15">
      <c r="B125" s="17"/>
      <c r="C125" s="72" t="s">
        <v>886</v>
      </c>
      <c r="D125" s="32" t="s">
        <v>1512</v>
      </c>
      <c r="E125" s="32"/>
      <c r="F125" s="61"/>
      <c r="G125" s="32"/>
      <c r="H125" s="73"/>
      <c r="K125" s="14"/>
    </row>
    <row r="126" spans="1:17" x14ac:dyDescent="0.15">
      <c r="B126" s="17"/>
      <c r="C126" s="74" t="s">
        <v>887</v>
      </c>
      <c r="D126" s="62" t="s">
        <v>1035</v>
      </c>
      <c r="E126" s="62"/>
      <c r="F126" s="63"/>
      <c r="G126" s="62"/>
      <c r="H126" s="75"/>
      <c r="K126" s="14"/>
    </row>
    <row r="127" spans="1:17" x14ac:dyDescent="0.15">
      <c r="B127" s="17"/>
      <c r="F127" s="14"/>
      <c r="G127" s="17"/>
      <c r="I127" s="14"/>
      <c r="K127" s="14"/>
    </row>
    <row r="128" spans="1:17" x14ac:dyDescent="0.15">
      <c r="B128" s="17"/>
      <c r="C128" s="114"/>
      <c r="D128" s="129" t="s">
        <v>1046</v>
      </c>
      <c r="F128" s="14"/>
      <c r="G128" s="17"/>
      <c r="I128" s="14"/>
    </row>
    <row r="129" spans="1:17" x14ac:dyDescent="0.15">
      <c r="B129" s="16"/>
      <c r="C129" s="197" t="s">
        <v>167</v>
      </c>
      <c r="D129" s="78" t="s">
        <v>168</v>
      </c>
      <c r="F129" s="14"/>
      <c r="G129" s="17"/>
      <c r="I129" s="14"/>
    </row>
    <row r="130" spans="1:17" x14ac:dyDescent="0.15">
      <c r="B130" s="16"/>
      <c r="C130" s="17" t="s">
        <v>58</v>
      </c>
      <c r="D130" s="81">
        <f>SSRDiff(C130)</f>
        <v>0</v>
      </c>
      <c r="F130" s="14"/>
      <c r="G130" s="17"/>
      <c r="I130" s="14"/>
    </row>
    <row r="131" spans="1:17" x14ac:dyDescent="0.15">
      <c r="B131" s="16"/>
      <c r="C131" s="17" t="s">
        <v>61</v>
      </c>
      <c r="D131" s="81">
        <f>SSRDiff(C131)</f>
        <v>1</v>
      </c>
      <c r="F131" s="14"/>
      <c r="G131" s="17"/>
      <c r="I131" s="14"/>
    </row>
    <row r="132" spans="1:17" x14ac:dyDescent="0.15">
      <c r="B132" s="16"/>
      <c r="C132" s="17" t="s">
        <v>66</v>
      </c>
      <c r="D132" s="81">
        <f>SSRDiff(C132)</f>
        <v>-10</v>
      </c>
      <c r="F132" s="14"/>
      <c r="G132" s="17"/>
      <c r="I132" s="14"/>
    </row>
    <row r="133" spans="1:17" x14ac:dyDescent="0.15">
      <c r="C133" s="63" t="s">
        <v>67</v>
      </c>
      <c r="D133" s="84">
        <f>SSRDiff(C133)</f>
        <v>-20</v>
      </c>
      <c r="F133" s="14"/>
      <c r="I133" s="14"/>
    </row>
    <row r="134" spans="1:17" x14ac:dyDescent="0.15">
      <c r="F134" s="14"/>
      <c r="I134" s="14"/>
    </row>
    <row r="135" spans="1:17" x14ac:dyDescent="0.15">
      <c r="F135" s="14"/>
      <c r="I135" s="14"/>
    </row>
    <row r="136" spans="1:17" x14ac:dyDescent="0.15">
      <c r="A136" s="66" t="s">
        <v>405</v>
      </c>
      <c r="B136" s="67" t="s">
        <v>664</v>
      </c>
      <c r="C136" s="67"/>
      <c r="D136" s="67"/>
      <c r="E136" s="67"/>
      <c r="F136" s="68"/>
      <c r="G136" s="67"/>
      <c r="H136" s="67"/>
      <c r="I136" s="68"/>
      <c r="J136" s="67"/>
      <c r="K136" s="68"/>
      <c r="L136" s="67"/>
      <c r="M136" s="68"/>
      <c r="N136" s="67"/>
      <c r="O136" s="67"/>
      <c r="P136" s="67"/>
      <c r="Q136" s="67"/>
    </row>
    <row r="137" spans="1:17" s="53" customFormat="1" x14ac:dyDescent="0.15">
      <c r="A137" s="101"/>
      <c r="B137" s="17" t="s">
        <v>19</v>
      </c>
      <c r="C137" s="15" t="s">
        <v>321</v>
      </c>
      <c r="F137" s="85"/>
      <c r="I137" s="85"/>
      <c r="K137" s="85"/>
      <c r="M137" s="85"/>
    </row>
    <row r="138" spans="1:17" x14ac:dyDescent="0.15">
      <c r="C138" s="14" t="s">
        <v>325</v>
      </c>
      <c r="F138" s="14"/>
      <c r="I138" s="14"/>
    </row>
    <row r="139" spans="1:17" x14ac:dyDescent="0.15">
      <c r="C139" s="14" t="s">
        <v>742</v>
      </c>
      <c r="F139" s="14"/>
      <c r="I139" s="14"/>
    </row>
    <row r="140" spans="1:17" x14ac:dyDescent="0.15">
      <c r="C140" s="16" t="s">
        <v>665</v>
      </c>
      <c r="D140" s="203" t="s">
        <v>666</v>
      </c>
      <c r="F140" s="14"/>
      <c r="I140" s="14"/>
    </row>
    <row r="141" spans="1:17" x14ac:dyDescent="0.15">
      <c r="C141" s="16"/>
      <c r="D141" s="203"/>
      <c r="F141" s="14"/>
      <c r="I141" s="14"/>
    </row>
    <row r="142" spans="1:17" x14ac:dyDescent="0.15">
      <c r="C142" s="69" t="s">
        <v>879</v>
      </c>
      <c r="D142" s="70" t="s">
        <v>1513</v>
      </c>
      <c r="E142" s="58"/>
      <c r="F142" s="58"/>
      <c r="G142" s="58"/>
      <c r="H142" s="58"/>
      <c r="I142" s="71"/>
      <c r="K142" s="14"/>
    </row>
    <row r="143" spans="1:17" x14ac:dyDescent="0.15">
      <c r="C143" s="72" t="s">
        <v>1029</v>
      </c>
      <c r="D143" s="32" t="s">
        <v>1514</v>
      </c>
      <c r="E143" s="32"/>
      <c r="F143" s="32"/>
      <c r="G143" s="32"/>
      <c r="H143" s="32"/>
      <c r="I143" s="73"/>
      <c r="K143" s="14"/>
    </row>
    <row r="144" spans="1:17" x14ac:dyDescent="0.15">
      <c r="C144" s="72"/>
      <c r="D144" s="32" t="s">
        <v>1515</v>
      </c>
      <c r="E144" s="32"/>
      <c r="F144" s="32"/>
      <c r="G144" s="32"/>
      <c r="H144" s="32"/>
      <c r="I144" s="73"/>
      <c r="K144" s="14"/>
    </row>
    <row r="145" spans="3:15" x14ac:dyDescent="0.15">
      <c r="C145" s="72"/>
      <c r="D145" s="32" t="s">
        <v>1516</v>
      </c>
      <c r="E145" s="32"/>
      <c r="F145" s="32"/>
      <c r="G145" s="32"/>
      <c r="H145" s="32"/>
      <c r="I145" s="73"/>
      <c r="K145" s="14"/>
    </row>
    <row r="146" spans="3:15" x14ac:dyDescent="0.15">
      <c r="C146" s="74" t="s">
        <v>887</v>
      </c>
      <c r="D146" s="62" t="s">
        <v>1036</v>
      </c>
      <c r="E146" s="62"/>
      <c r="F146" s="62"/>
      <c r="G146" s="62"/>
      <c r="H146" s="62"/>
      <c r="I146" s="75"/>
      <c r="K146" s="14"/>
    </row>
    <row r="147" spans="3:15" x14ac:dyDescent="0.15">
      <c r="C147" s="16"/>
      <c r="D147" s="203"/>
      <c r="F147" s="14"/>
      <c r="I147" s="14"/>
    </row>
    <row r="148" spans="3:15" x14ac:dyDescent="0.15">
      <c r="F148" s="14"/>
      <c r="I148" s="14"/>
    </row>
    <row r="149" spans="3:15" x14ac:dyDescent="0.15">
      <c r="C149" s="204" t="s">
        <v>323</v>
      </c>
      <c r="D149" s="205">
        <v>1</v>
      </c>
      <c r="E149" s="205">
        <v>2</v>
      </c>
      <c r="F149" s="205">
        <v>3</v>
      </c>
      <c r="G149" s="205">
        <v>4</v>
      </c>
      <c r="H149" s="205">
        <v>5</v>
      </c>
      <c r="K149" s="204" t="s">
        <v>324</v>
      </c>
    </row>
    <row r="150" spans="3:15" x14ac:dyDescent="0.15">
      <c r="C150" s="206" t="s">
        <v>91</v>
      </c>
      <c r="D150" s="207" t="s">
        <v>68</v>
      </c>
      <c r="E150" s="207" t="s">
        <v>69</v>
      </c>
      <c r="F150" s="207" t="s">
        <v>43</v>
      </c>
      <c r="G150" s="207" t="s">
        <v>70</v>
      </c>
      <c r="H150" s="207" t="s">
        <v>69</v>
      </c>
      <c r="I150" s="14"/>
      <c r="K150" s="81"/>
      <c r="L150" s="114"/>
      <c r="M150" s="114"/>
      <c r="N150" s="114"/>
      <c r="O150" s="129" t="s">
        <v>322</v>
      </c>
    </row>
    <row r="151" spans="3:15" x14ac:dyDescent="0.15">
      <c r="C151" s="208" t="s">
        <v>92</v>
      </c>
      <c r="D151" s="209" t="s">
        <v>71</v>
      </c>
      <c r="E151" s="209" t="s">
        <v>71</v>
      </c>
      <c r="F151" s="209" t="s">
        <v>71</v>
      </c>
      <c r="G151" s="209" t="s">
        <v>94</v>
      </c>
      <c r="H151" s="209" t="s">
        <v>94</v>
      </c>
      <c r="I151" s="14"/>
      <c r="K151" s="205">
        <v>1</v>
      </c>
      <c r="L151" s="205">
        <v>2</v>
      </c>
      <c r="M151" s="205">
        <v>3</v>
      </c>
      <c r="N151" s="205">
        <v>4</v>
      </c>
      <c r="O151" s="205">
        <v>5</v>
      </c>
    </row>
    <row r="152" spans="3:15" x14ac:dyDescent="0.15">
      <c r="C152" s="210" t="s">
        <v>93</v>
      </c>
      <c r="D152" s="211" t="s">
        <v>72</v>
      </c>
      <c r="E152" s="211" t="s">
        <v>73</v>
      </c>
      <c r="F152" s="211" t="s">
        <v>72</v>
      </c>
      <c r="G152" s="211" t="s">
        <v>72</v>
      </c>
      <c r="H152" s="211" t="s">
        <v>73</v>
      </c>
      <c r="I152" s="14"/>
      <c r="J152" s="212" t="s">
        <v>3</v>
      </c>
      <c r="K152" s="82" t="str">
        <f t="shared" ref="K152:K160" si="5">InterpretSNP(D$150,D$151,D152)</f>
        <v>AG</v>
      </c>
      <c r="L152" s="82" t="str">
        <f t="shared" ref="L152:L160" si="6">InterpretSNP(E$150,E$151,E152)</f>
        <v>CC</v>
      </c>
      <c r="M152" s="82" t="str">
        <f t="shared" ref="M152:M160" si="7">InterpretSNP(F$150,F$151,F152)</f>
        <v>AC</v>
      </c>
      <c r="N152" s="82" t="str">
        <f t="shared" ref="N152:N160" si="8">InterpretSNP(G$150,G$151,G152)</f>
        <v>AT</v>
      </c>
      <c r="O152" s="82" t="str">
        <f t="shared" ref="O152:O160" si="9">InterpretSNP(H$150,H$151,H152)</f>
        <v>TT</v>
      </c>
    </row>
    <row r="153" spans="3:15" x14ac:dyDescent="0.15">
      <c r="C153" s="210"/>
      <c r="D153" s="211" t="s">
        <v>72</v>
      </c>
      <c r="E153" s="211" t="s">
        <v>72</v>
      </c>
      <c r="F153" s="211" t="s">
        <v>72</v>
      </c>
      <c r="G153" s="211" t="s">
        <v>72</v>
      </c>
      <c r="H153" s="211" t="s">
        <v>72</v>
      </c>
      <c r="I153" s="14"/>
      <c r="J153" s="210"/>
      <c r="K153" s="83" t="str">
        <f t="shared" si="5"/>
        <v>AG</v>
      </c>
      <c r="L153" s="83" t="str">
        <f t="shared" si="6"/>
        <v>TC</v>
      </c>
      <c r="M153" s="83" t="str">
        <f t="shared" si="7"/>
        <v>AC</v>
      </c>
      <c r="N153" s="83" t="str">
        <f t="shared" si="8"/>
        <v>AT</v>
      </c>
      <c r="O153" s="83" t="str">
        <f t="shared" si="9"/>
        <v>CT</v>
      </c>
    </row>
    <row r="154" spans="3:15" x14ac:dyDescent="0.15">
      <c r="C154" s="210"/>
      <c r="D154" s="211" t="s">
        <v>27</v>
      </c>
      <c r="E154" s="211" t="s">
        <v>72</v>
      </c>
      <c r="F154" s="211" t="s">
        <v>72</v>
      </c>
      <c r="G154" s="211" t="s">
        <v>72</v>
      </c>
      <c r="H154" s="211" t="s">
        <v>73</v>
      </c>
      <c r="I154" s="14"/>
      <c r="J154" s="210"/>
      <c r="K154" s="83" t="str">
        <f t="shared" si="5"/>
        <v>AA</v>
      </c>
      <c r="L154" s="83" t="str">
        <f t="shared" si="6"/>
        <v>TC</v>
      </c>
      <c r="M154" s="83" t="str">
        <f t="shared" si="7"/>
        <v>AC</v>
      </c>
      <c r="N154" s="83" t="str">
        <f t="shared" si="8"/>
        <v>AT</v>
      </c>
      <c r="O154" s="83" t="str">
        <f t="shared" si="9"/>
        <v>TT</v>
      </c>
    </row>
    <row r="155" spans="3:15" x14ac:dyDescent="0.15">
      <c r="C155" s="210"/>
      <c r="D155" s="211" t="s">
        <v>72</v>
      </c>
      <c r="E155" s="211" t="s">
        <v>27</v>
      </c>
      <c r="F155" s="211" t="s">
        <v>27</v>
      </c>
      <c r="G155" s="211" t="s">
        <v>72</v>
      </c>
      <c r="H155" s="211" t="s">
        <v>72</v>
      </c>
      <c r="I155" s="14"/>
      <c r="J155" s="210"/>
      <c r="K155" s="83" t="str">
        <f t="shared" si="5"/>
        <v>AG</v>
      </c>
      <c r="L155" s="83" t="str">
        <f t="shared" si="6"/>
        <v>TT</v>
      </c>
      <c r="M155" s="83" t="str">
        <f t="shared" si="7"/>
        <v>AA</v>
      </c>
      <c r="N155" s="83" t="str">
        <f t="shared" si="8"/>
        <v>AT</v>
      </c>
      <c r="O155" s="83" t="str">
        <f t="shared" si="9"/>
        <v>CT</v>
      </c>
    </row>
    <row r="156" spans="3:15" x14ac:dyDescent="0.15">
      <c r="C156" s="210"/>
      <c r="D156" s="211" t="s">
        <v>72</v>
      </c>
      <c r="E156" s="211" t="s">
        <v>72</v>
      </c>
      <c r="F156" s="211" t="s">
        <v>72</v>
      </c>
      <c r="G156" s="211" t="s">
        <v>73</v>
      </c>
      <c r="H156" s="211" t="s">
        <v>27</v>
      </c>
      <c r="I156" s="14"/>
      <c r="J156" s="210"/>
      <c r="K156" s="83" t="str">
        <f t="shared" si="5"/>
        <v>AG</v>
      </c>
      <c r="L156" s="83" t="str">
        <f t="shared" si="6"/>
        <v>TC</v>
      </c>
      <c r="M156" s="83" t="str">
        <f t="shared" si="7"/>
        <v>AC</v>
      </c>
      <c r="N156" s="83" t="str">
        <f t="shared" si="8"/>
        <v>TT</v>
      </c>
      <c r="O156" s="83" t="str">
        <f t="shared" si="9"/>
        <v>CC</v>
      </c>
    </row>
    <row r="157" spans="3:15" x14ac:dyDescent="0.15">
      <c r="C157" s="210"/>
      <c r="D157" s="211" t="s">
        <v>27</v>
      </c>
      <c r="E157" s="211" t="s">
        <v>72</v>
      </c>
      <c r="F157" s="211" t="s">
        <v>72</v>
      </c>
      <c r="G157" s="211" t="s">
        <v>72</v>
      </c>
      <c r="H157" s="213"/>
      <c r="I157" s="14"/>
      <c r="J157" s="210"/>
      <c r="K157" s="83" t="str">
        <f t="shared" si="5"/>
        <v>AA</v>
      </c>
      <c r="L157" s="83" t="str">
        <f t="shared" si="6"/>
        <v>TC</v>
      </c>
      <c r="M157" s="83" t="str">
        <f t="shared" si="7"/>
        <v>AC</v>
      </c>
      <c r="N157" s="83" t="str">
        <f t="shared" si="8"/>
        <v>AT</v>
      </c>
      <c r="O157" s="171" t="str">
        <f t="shared" si="9"/>
        <v>NN</v>
      </c>
    </row>
    <row r="158" spans="3:15" x14ac:dyDescent="0.15">
      <c r="C158" s="210"/>
      <c r="D158" s="211" t="s">
        <v>72</v>
      </c>
      <c r="E158" s="214" t="s">
        <v>326</v>
      </c>
      <c r="F158" s="211" t="s">
        <v>72</v>
      </c>
      <c r="G158" s="211" t="s">
        <v>73</v>
      </c>
      <c r="H158" s="211" t="s">
        <v>27</v>
      </c>
      <c r="I158" s="14"/>
      <c r="J158" s="210"/>
      <c r="K158" s="83" t="str">
        <f t="shared" si="5"/>
        <v>AG</v>
      </c>
      <c r="L158" s="171" t="str">
        <f t="shared" si="6"/>
        <v>NN</v>
      </c>
      <c r="M158" s="83" t="str">
        <f t="shared" si="7"/>
        <v>AC</v>
      </c>
      <c r="N158" s="83" t="str">
        <f t="shared" si="8"/>
        <v>TT</v>
      </c>
      <c r="O158" s="83" t="str">
        <f t="shared" si="9"/>
        <v>CC</v>
      </c>
    </row>
    <row r="159" spans="3:15" x14ac:dyDescent="0.15">
      <c r="C159" s="210"/>
      <c r="D159" s="211" t="s">
        <v>12</v>
      </c>
      <c r="E159" s="211" t="s">
        <v>27</v>
      </c>
      <c r="F159" s="211" t="s">
        <v>72</v>
      </c>
      <c r="G159" s="211" t="s">
        <v>73</v>
      </c>
      <c r="H159" s="211" t="s">
        <v>72</v>
      </c>
      <c r="I159" s="14"/>
      <c r="J159" s="210"/>
      <c r="K159" s="83" t="str">
        <f t="shared" si="5"/>
        <v>GG</v>
      </c>
      <c r="L159" s="83" t="str">
        <f t="shared" si="6"/>
        <v>TT</v>
      </c>
      <c r="M159" s="83" t="str">
        <f t="shared" si="7"/>
        <v>AC</v>
      </c>
      <c r="N159" s="83" t="str">
        <f t="shared" si="8"/>
        <v>TT</v>
      </c>
      <c r="O159" s="83" t="str">
        <f t="shared" si="9"/>
        <v>CT</v>
      </c>
    </row>
    <row r="160" spans="3:15" x14ac:dyDescent="0.15">
      <c r="C160" s="215"/>
      <c r="D160" s="216" t="s">
        <v>72</v>
      </c>
      <c r="E160" s="216" t="s">
        <v>72</v>
      </c>
      <c r="F160" s="216" t="s">
        <v>72</v>
      </c>
      <c r="G160" s="216" t="s">
        <v>11</v>
      </c>
      <c r="H160" s="216" t="s">
        <v>72</v>
      </c>
      <c r="I160" s="14"/>
      <c r="J160" s="215"/>
      <c r="K160" s="84" t="str">
        <f t="shared" si="5"/>
        <v>AG</v>
      </c>
      <c r="L160" s="84" t="str">
        <f t="shared" si="6"/>
        <v>TC</v>
      </c>
      <c r="M160" s="84" t="str">
        <f t="shared" si="7"/>
        <v>AC</v>
      </c>
      <c r="N160" s="84" t="str">
        <f t="shared" si="8"/>
        <v>AA</v>
      </c>
      <c r="O160" s="84" t="str">
        <f t="shared" si="9"/>
        <v>CT</v>
      </c>
    </row>
    <row r="161" spans="1:17" x14ac:dyDescent="0.15">
      <c r="F161" s="14"/>
      <c r="I161" s="14"/>
      <c r="K161" s="14"/>
      <c r="M161" s="14"/>
    </row>
    <row r="162" spans="1:17" x14ac:dyDescent="0.15">
      <c r="D162" s="14" t="s">
        <v>327</v>
      </c>
      <c r="F162" s="14"/>
      <c r="H162" s="14" t="s">
        <v>328</v>
      </c>
      <c r="I162" s="14"/>
      <c r="K162" s="14"/>
      <c r="M162" s="14"/>
    </row>
    <row r="163" spans="1:17" x14ac:dyDescent="0.15">
      <c r="F163" s="14"/>
      <c r="I163" s="14"/>
      <c r="K163" s="14"/>
      <c r="M163" s="14"/>
    </row>
    <row r="164" spans="1:17" x14ac:dyDescent="0.15">
      <c r="F164" s="14"/>
      <c r="I164" s="14"/>
      <c r="K164" s="14"/>
      <c r="M164" s="14"/>
    </row>
    <row r="165" spans="1:17" x14ac:dyDescent="0.15">
      <c r="A165" s="66" t="s">
        <v>406</v>
      </c>
      <c r="B165" s="67" t="s">
        <v>610</v>
      </c>
      <c r="C165" s="67"/>
      <c r="D165" s="67"/>
      <c r="E165" s="67"/>
      <c r="F165" s="68"/>
      <c r="G165" s="67"/>
      <c r="H165" s="67"/>
      <c r="I165" s="68"/>
      <c r="J165" s="67"/>
      <c r="K165" s="68"/>
      <c r="L165" s="67"/>
      <c r="M165" s="68"/>
      <c r="N165" s="67"/>
      <c r="O165" s="67"/>
      <c r="P165" s="67"/>
      <c r="Q165" s="67"/>
    </row>
    <row r="166" spans="1:17" x14ac:dyDescent="0.15">
      <c r="B166" s="17" t="s">
        <v>19</v>
      </c>
      <c r="C166" s="15" t="s">
        <v>330</v>
      </c>
      <c r="F166" s="14"/>
      <c r="I166" s="14"/>
      <c r="K166" s="14"/>
      <c r="M166" s="14"/>
    </row>
    <row r="167" spans="1:17" x14ac:dyDescent="0.15">
      <c r="C167" s="217" t="s">
        <v>611</v>
      </c>
      <c r="F167" s="14"/>
      <c r="I167" s="14"/>
      <c r="K167" s="14"/>
      <c r="M167" s="14"/>
    </row>
    <row r="168" spans="1:17" x14ac:dyDescent="0.15">
      <c r="C168" s="217"/>
      <c r="F168" s="14"/>
      <c r="I168" s="14"/>
      <c r="K168" s="14"/>
      <c r="M168" s="14"/>
    </row>
    <row r="169" spans="1:17" x14ac:dyDescent="0.15">
      <c r="C169" s="69" t="s">
        <v>879</v>
      </c>
      <c r="D169" s="70" t="s">
        <v>1517</v>
      </c>
      <c r="E169" s="58"/>
      <c r="F169" s="58"/>
      <c r="G169" s="71"/>
      <c r="I169" s="14"/>
      <c r="K169" s="14"/>
      <c r="M169" s="14"/>
    </row>
    <row r="170" spans="1:17" x14ac:dyDescent="0.15">
      <c r="C170" s="72" t="s">
        <v>886</v>
      </c>
      <c r="D170" s="32" t="s">
        <v>1518</v>
      </c>
      <c r="E170" s="32"/>
      <c r="F170" s="32"/>
      <c r="G170" s="73"/>
      <c r="I170" s="14"/>
      <c r="K170" s="14"/>
      <c r="M170" s="14"/>
    </row>
    <row r="171" spans="1:17" x14ac:dyDescent="0.15">
      <c r="C171" s="74" t="s">
        <v>887</v>
      </c>
      <c r="D171" s="62" t="s">
        <v>639</v>
      </c>
      <c r="E171" s="62"/>
      <c r="F171" s="62"/>
      <c r="G171" s="75"/>
      <c r="I171" s="14"/>
      <c r="K171" s="14"/>
      <c r="M171" s="14"/>
    </row>
    <row r="172" spans="1:17" x14ac:dyDescent="0.15">
      <c r="F172" s="14"/>
    </row>
    <row r="173" spans="1:17" x14ac:dyDescent="0.15">
      <c r="C173" s="129"/>
      <c r="D173" s="129" t="s">
        <v>329</v>
      </c>
    </row>
    <row r="174" spans="1:17" x14ac:dyDescent="0.15">
      <c r="B174" s="157"/>
      <c r="C174" s="130" t="s">
        <v>26</v>
      </c>
      <c r="D174" s="78" t="s">
        <v>173</v>
      </c>
    </row>
    <row r="175" spans="1:17" x14ac:dyDescent="0.15">
      <c r="C175" s="131" t="s">
        <v>11</v>
      </c>
      <c r="D175" s="81" t="str">
        <f t="shared" ref="D175:D190" si="10">HMP2SNP(C175)</f>
        <v>AA</v>
      </c>
    </row>
    <row r="176" spans="1:17" x14ac:dyDescent="0.15">
      <c r="B176" s="16"/>
      <c r="C176" s="131" t="s">
        <v>83</v>
      </c>
      <c r="D176" s="81" t="str">
        <f t="shared" si="10"/>
        <v>TT</v>
      </c>
      <c r="F176" s="14"/>
      <c r="G176" s="17"/>
    </row>
    <row r="177" spans="2:13" x14ac:dyDescent="0.15">
      <c r="B177" s="16"/>
      <c r="C177" s="131" t="s">
        <v>84</v>
      </c>
      <c r="D177" s="81" t="str">
        <f t="shared" si="10"/>
        <v>GG</v>
      </c>
      <c r="F177" s="14"/>
      <c r="G177" s="17"/>
      <c r="I177" s="14"/>
      <c r="K177" s="14"/>
      <c r="M177" s="14"/>
    </row>
    <row r="178" spans="2:13" x14ac:dyDescent="0.15">
      <c r="B178" s="16"/>
      <c r="C178" s="131" t="s">
        <v>85</v>
      </c>
      <c r="D178" s="81" t="str">
        <f t="shared" si="10"/>
        <v>CC</v>
      </c>
      <c r="F178" s="14"/>
      <c r="I178" s="14"/>
      <c r="K178" s="14"/>
      <c r="M178" s="14"/>
    </row>
    <row r="179" spans="2:13" x14ac:dyDescent="0.15">
      <c r="B179" s="16"/>
      <c r="C179" s="131" t="s">
        <v>86</v>
      </c>
      <c r="D179" s="81" t="str">
        <f t="shared" si="10"/>
        <v>AT</v>
      </c>
      <c r="F179" s="14"/>
      <c r="I179" s="14"/>
      <c r="K179" s="14"/>
      <c r="M179" s="14"/>
    </row>
    <row r="180" spans="2:13" x14ac:dyDescent="0.15">
      <c r="B180" s="16"/>
      <c r="C180" s="131" t="s">
        <v>87</v>
      </c>
      <c r="D180" s="81" t="str">
        <f t="shared" si="10"/>
        <v>AG</v>
      </c>
      <c r="F180" s="14"/>
      <c r="I180" s="14"/>
      <c r="K180" s="14"/>
      <c r="M180" s="14"/>
    </row>
    <row r="181" spans="2:13" x14ac:dyDescent="0.15">
      <c r="B181" s="16"/>
      <c r="C181" s="131" t="s">
        <v>4</v>
      </c>
      <c r="D181" s="81" t="str">
        <f t="shared" si="10"/>
        <v>AC</v>
      </c>
      <c r="F181" s="14"/>
      <c r="I181" s="14"/>
      <c r="K181" s="14"/>
      <c r="M181" s="14"/>
    </row>
    <row r="182" spans="2:13" x14ac:dyDescent="0.15">
      <c r="B182" s="16"/>
      <c r="C182" s="131" t="s">
        <v>88</v>
      </c>
      <c r="D182" s="81" t="str">
        <f t="shared" si="10"/>
        <v>TG</v>
      </c>
      <c r="F182" s="14"/>
      <c r="I182" s="14"/>
      <c r="K182" s="14"/>
      <c r="M182" s="14"/>
    </row>
    <row r="183" spans="2:13" x14ac:dyDescent="0.15">
      <c r="B183" s="16"/>
      <c r="C183" s="131" t="s">
        <v>89</v>
      </c>
      <c r="D183" s="81" t="str">
        <f t="shared" si="10"/>
        <v>TC</v>
      </c>
      <c r="F183" s="14"/>
      <c r="I183" s="14"/>
      <c r="K183" s="14"/>
      <c r="M183" s="14"/>
    </row>
    <row r="184" spans="2:13" x14ac:dyDescent="0.15">
      <c r="B184" s="16"/>
      <c r="C184" s="131" t="s">
        <v>14</v>
      </c>
      <c r="D184" s="81" t="str">
        <f t="shared" si="10"/>
        <v>GC</v>
      </c>
      <c r="F184" s="14"/>
      <c r="I184" s="14"/>
      <c r="K184" s="14"/>
      <c r="M184" s="14"/>
    </row>
    <row r="185" spans="2:13" x14ac:dyDescent="0.15">
      <c r="B185" s="16"/>
      <c r="C185" s="131" t="s">
        <v>13</v>
      </c>
      <c r="D185" s="81" t="str">
        <f t="shared" si="10"/>
        <v>ACT</v>
      </c>
      <c r="F185" s="14"/>
      <c r="I185" s="14"/>
      <c r="K185" s="14"/>
      <c r="M185" s="14"/>
    </row>
    <row r="186" spans="2:13" x14ac:dyDescent="0.15">
      <c r="B186" s="16"/>
      <c r="C186" s="131" t="s">
        <v>12</v>
      </c>
      <c r="D186" s="81" t="str">
        <f t="shared" si="10"/>
        <v>GTC</v>
      </c>
      <c r="F186" s="14"/>
      <c r="I186" s="14"/>
      <c r="K186" s="14"/>
      <c r="M186" s="14"/>
    </row>
    <row r="187" spans="2:13" x14ac:dyDescent="0.15">
      <c r="B187" s="16"/>
      <c r="C187" s="131" t="s">
        <v>138</v>
      </c>
      <c r="D187" s="81" t="str">
        <f t="shared" si="10"/>
        <v>GCA</v>
      </c>
      <c r="F187" s="14"/>
      <c r="I187" s="14"/>
      <c r="K187" s="14"/>
      <c r="M187" s="14"/>
    </row>
    <row r="188" spans="2:13" x14ac:dyDescent="0.15">
      <c r="B188" s="16"/>
      <c r="C188" s="131" t="s">
        <v>139</v>
      </c>
      <c r="D188" s="81" t="str">
        <f t="shared" si="10"/>
        <v>GAT</v>
      </c>
      <c r="F188" s="14"/>
      <c r="I188" s="14"/>
      <c r="K188" s="14"/>
      <c r="M188" s="14"/>
    </row>
    <row r="189" spans="2:13" x14ac:dyDescent="0.15">
      <c r="B189" s="16"/>
      <c r="C189" s="131" t="s">
        <v>117</v>
      </c>
      <c r="D189" s="81" t="str">
        <f t="shared" si="10"/>
        <v>NN</v>
      </c>
      <c r="F189" s="14"/>
      <c r="I189" s="14"/>
      <c r="K189" s="14"/>
      <c r="M189" s="14"/>
    </row>
    <row r="190" spans="2:13" x14ac:dyDescent="0.15">
      <c r="B190" s="16"/>
      <c r="C190" s="195" t="s">
        <v>90</v>
      </c>
      <c r="D190" s="84" t="str">
        <f t="shared" si="10"/>
        <v>ACGT</v>
      </c>
      <c r="F190" s="14"/>
      <c r="I190" s="14"/>
      <c r="K190" s="14"/>
      <c r="M190" s="14"/>
    </row>
    <row r="191" spans="2:13" x14ac:dyDescent="0.15">
      <c r="B191" s="16"/>
      <c r="F191" s="14"/>
      <c r="I191" s="14"/>
      <c r="K191" s="14"/>
      <c r="M191" s="14"/>
    </row>
    <row r="192" spans="2:13" x14ac:dyDescent="0.15">
      <c r="B192" s="16"/>
      <c r="F192" s="14"/>
      <c r="I192" s="14"/>
      <c r="K192" s="14"/>
      <c r="M192" s="14"/>
    </row>
    <row r="193" spans="2:14" x14ac:dyDescent="0.15">
      <c r="B193" s="16"/>
      <c r="F193" s="14"/>
      <c r="I193" s="14"/>
      <c r="J193" s="61"/>
      <c r="K193" s="61"/>
      <c r="L193" s="61"/>
      <c r="M193" s="61"/>
      <c r="N193" s="61"/>
    </row>
    <row r="194" spans="2:14" x14ac:dyDescent="0.15">
      <c r="B194" s="16"/>
      <c r="F194" s="14"/>
      <c r="I194" s="14"/>
      <c r="J194" s="61"/>
      <c r="K194" s="61"/>
      <c r="L194" s="61"/>
      <c r="M194" s="61"/>
      <c r="N194" s="61"/>
    </row>
    <row r="195" spans="2:14" x14ac:dyDescent="0.15">
      <c r="F195" s="14"/>
      <c r="I195" s="14"/>
      <c r="J195" s="61"/>
      <c r="K195" s="61"/>
      <c r="L195" s="61"/>
      <c r="M195" s="61"/>
      <c r="N195" s="61"/>
    </row>
    <row r="196" spans="2:14" x14ac:dyDescent="0.15">
      <c r="F196" s="14"/>
      <c r="I196" s="14"/>
      <c r="J196" s="61"/>
      <c r="K196" s="61"/>
      <c r="L196" s="61"/>
      <c r="M196" s="61"/>
      <c r="N196" s="61"/>
    </row>
    <row r="197" spans="2:14" x14ac:dyDescent="0.15">
      <c r="F197" s="14"/>
      <c r="I197" s="14"/>
      <c r="J197" s="61"/>
      <c r="K197" s="61"/>
      <c r="L197" s="61"/>
      <c r="M197" s="61"/>
      <c r="N197" s="61"/>
    </row>
    <row r="198" spans="2:14" x14ac:dyDescent="0.15">
      <c r="F198" s="14"/>
      <c r="I198" s="14"/>
      <c r="J198" s="61"/>
      <c r="K198" s="61"/>
      <c r="L198" s="61"/>
      <c r="M198" s="61"/>
      <c r="N198" s="61"/>
    </row>
    <row r="199" spans="2:14" x14ac:dyDescent="0.15">
      <c r="F199" s="14"/>
      <c r="I199" s="14"/>
      <c r="K199" s="14"/>
      <c r="M199" s="14"/>
    </row>
    <row r="200" spans="2:14" x14ac:dyDescent="0.15">
      <c r="F200" s="14"/>
      <c r="I200" s="14"/>
      <c r="K200" s="14"/>
      <c r="M200" s="14"/>
    </row>
    <row r="201" spans="2:14" x14ac:dyDescent="0.15">
      <c r="I201" s="14"/>
      <c r="K201" s="14"/>
      <c r="M201" s="14"/>
    </row>
    <row r="202" spans="2:14" x14ac:dyDescent="0.15">
      <c r="I202" s="14"/>
      <c r="K202" s="14"/>
      <c r="M202" s="14"/>
    </row>
    <row r="203" spans="2:14" x14ac:dyDescent="0.15">
      <c r="I203" s="14"/>
      <c r="K203" s="14"/>
      <c r="M203" s="14"/>
    </row>
    <row r="204" spans="2:14" x14ac:dyDescent="0.15">
      <c r="F204" s="14"/>
    </row>
    <row r="205" spans="2:14" x14ac:dyDescent="0.15">
      <c r="F205" s="14"/>
    </row>
    <row r="206" spans="2:14" x14ac:dyDescent="0.15">
      <c r="F206" s="14"/>
    </row>
    <row r="207" spans="2:14" x14ac:dyDescent="0.15">
      <c r="F207" s="14"/>
    </row>
    <row r="208" spans="2:14" x14ac:dyDescent="0.15">
      <c r="F208" s="14"/>
    </row>
    <row r="209" spans="6:6" x14ac:dyDescent="0.15">
      <c r="F209" s="14"/>
    </row>
    <row r="210" spans="6:6" x14ac:dyDescent="0.15">
      <c r="F210" s="14"/>
    </row>
    <row r="211" spans="6:6" x14ac:dyDescent="0.15">
      <c r="F211" s="14"/>
    </row>
    <row r="212" spans="6:6" x14ac:dyDescent="0.15">
      <c r="F212" s="14"/>
    </row>
    <row r="213" spans="6:6" x14ac:dyDescent="0.15">
      <c r="F213" s="14"/>
    </row>
    <row r="214" spans="6:6" x14ac:dyDescent="0.15">
      <c r="F214" s="14"/>
    </row>
    <row r="215" spans="6:6" x14ac:dyDescent="0.15">
      <c r="F215" s="14"/>
    </row>
    <row r="216" spans="6:6" x14ac:dyDescent="0.15">
      <c r="F216" s="14"/>
    </row>
    <row r="217" spans="6:6" x14ac:dyDescent="0.15">
      <c r="F217" s="14"/>
    </row>
    <row r="218" spans="6:6" x14ac:dyDescent="0.15">
      <c r="F218" s="14"/>
    </row>
    <row r="219" spans="6:6" x14ac:dyDescent="0.15">
      <c r="F219" s="14"/>
    </row>
    <row r="220" spans="6:6" x14ac:dyDescent="0.15">
      <c r="F220" s="14"/>
    </row>
    <row r="221" spans="6:6" x14ac:dyDescent="0.15">
      <c r="F221" s="14"/>
    </row>
    <row r="222" spans="6:6" x14ac:dyDescent="0.15">
      <c r="F222" s="14"/>
    </row>
  </sheetData>
  <mergeCells count="1">
    <mergeCell ref="B5:J5"/>
  </mergeCells>
  <phoneticPr fontId="1"/>
  <hyperlinks>
    <hyperlink ref="D140"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162"/>
  <sheetViews>
    <sheetView workbookViewId="0">
      <selection activeCell="D1" sqref="D1"/>
    </sheetView>
  </sheetViews>
  <sheetFormatPr defaultColWidth="9" defaultRowHeight="15.75" x14ac:dyDescent="0.15"/>
  <cols>
    <col min="1" max="1" width="9" style="16" customWidth="1"/>
    <col min="2" max="2" width="9" style="14"/>
    <col min="3" max="3" width="12.5" style="14" customWidth="1"/>
    <col min="4" max="5" width="11.5" style="14" customWidth="1"/>
    <col min="6" max="6" width="9" style="17"/>
    <col min="7" max="8" width="9" style="14"/>
    <col min="9" max="9" width="9" style="17"/>
    <col min="10" max="10" width="12.375" style="14" customWidth="1"/>
    <col min="11" max="11" width="12.375" style="17" customWidth="1"/>
    <col min="12" max="12" width="9" style="14"/>
    <col min="13" max="13" width="9" style="17"/>
    <col min="14" max="14" width="12.625" style="14" customWidth="1"/>
    <col min="15" max="21" width="9" style="14"/>
    <col min="22" max="24" width="27.375" style="14" customWidth="1"/>
    <col min="25" max="16384" width="9" style="14"/>
  </cols>
  <sheetData>
    <row r="1" spans="1:17" ht="21" x14ac:dyDescent="0.15">
      <c r="A1" s="254" t="s">
        <v>129</v>
      </c>
      <c r="I1" s="17" t="s">
        <v>130</v>
      </c>
      <c r="J1" s="14" t="str">
        <f>GUGS()</f>
        <v>GUGS: ver. 1.00</v>
      </c>
      <c r="K1" s="14"/>
    </row>
    <row r="3" spans="1:17" x14ac:dyDescent="0.15">
      <c r="A3" s="47" t="s">
        <v>1221</v>
      </c>
      <c r="B3" s="48"/>
      <c r="C3" s="48"/>
      <c r="D3" s="48"/>
      <c r="E3" s="48"/>
      <c r="F3" s="49"/>
      <c r="G3" s="48"/>
      <c r="H3" s="48"/>
      <c r="I3" s="49"/>
      <c r="J3" s="48"/>
      <c r="K3" s="49"/>
      <c r="L3" s="48"/>
      <c r="M3" s="49"/>
      <c r="N3" s="48"/>
      <c r="O3" s="48"/>
      <c r="P3" s="48"/>
      <c r="Q3" s="48"/>
    </row>
    <row r="4" spans="1:17" s="53" customFormat="1" x14ac:dyDescent="0.15">
      <c r="A4" s="50"/>
      <c r="B4" s="51"/>
      <c r="C4" s="51"/>
      <c r="D4" s="51"/>
      <c r="E4" s="51"/>
      <c r="F4" s="52"/>
      <c r="G4" s="51"/>
      <c r="H4" s="51"/>
      <c r="I4" s="52"/>
      <c r="J4" s="51"/>
      <c r="K4" s="52"/>
      <c r="L4" s="51"/>
      <c r="M4" s="52"/>
      <c r="N4" s="51"/>
      <c r="O4" s="51"/>
      <c r="P4" s="51"/>
      <c r="Q4" s="51"/>
    </row>
    <row r="5" spans="1:17" s="53" customFormat="1" ht="80.25" customHeight="1" x14ac:dyDescent="0.15">
      <c r="A5" s="50"/>
      <c r="B5" s="277" t="s">
        <v>1553</v>
      </c>
      <c r="C5" s="277"/>
      <c r="D5" s="277"/>
      <c r="E5" s="277"/>
      <c r="F5" s="277"/>
      <c r="G5" s="277"/>
      <c r="H5" s="277"/>
      <c r="I5" s="277"/>
      <c r="J5" s="277"/>
      <c r="K5" s="54"/>
      <c r="M5" s="52"/>
      <c r="N5" s="51"/>
      <c r="O5" s="51"/>
      <c r="P5" s="51"/>
      <c r="Q5" s="51"/>
    </row>
    <row r="6" spans="1:17" s="53" customFormat="1" x14ac:dyDescent="0.15">
      <c r="A6" s="50"/>
      <c r="B6" s="51"/>
      <c r="C6" s="51"/>
      <c r="D6" s="51"/>
      <c r="E6" s="51"/>
      <c r="F6" s="52"/>
      <c r="G6" s="51"/>
      <c r="H6" s="51"/>
      <c r="I6" s="52"/>
      <c r="J6" s="51"/>
      <c r="K6" s="52"/>
      <c r="L6" s="51"/>
      <c r="M6" s="52"/>
      <c r="N6" s="51"/>
      <c r="O6" s="51"/>
      <c r="P6" s="51"/>
      <c r="Q6" s="51"/>
    </row>
    <row r="7" spans="1:17" s="53" customFormat="1" x14ac:dyDescent="0.15">
      <c r="A7" s="50"/>
      <c r="B7" s="51"/>
      <c r="C7" s="51"/>
      <c r="D7" s="51"/>
      <c r="E7" s="51"/>
      <c r="F7" s="52"/>
      <c r="G7" s="51"/>
      <c r="H7" s="51"/>
      <c r="I7" s="52"/>
      <c r="J7" s="51"/>
      <c r="K7" s="52"/>
      <c r="L7" s="51"/>
      <c r="M7" s="52"/>
      <c r="N7" s="51"/>
      <c r="O7" s="51"/>
      <c r="P7" s="51"/>
      <c r="Q7" s="51"/>
    </row>
    <row r="8" spans="1:17" x14ac:dyDescent="0.15">
      <c r="A8" s="66" t="s">
        <v>402</v>
      </c>
      <c r="B8" s="67" t="s">
        <v>1554</v>
      </c>
      <c r="C8" s="67"/>
      <c r="D8" s="67"/>
      <c r="E8" s="67"/>
      <c r="F8" s="68"/>
      <c r="G8" s="67"/>
      <c r="H8" s="67"/>
      <c r="I8" s="68"/>
      <c r="J8" s="67"/>
      <c r="K8" s="68"/>
      <c r="L8" s="67"/>
      <c r="M8" s="68"/>
      <c r="N8" s="67"/>
      <c r="O8" s="67"/>
      <c r="P8" s="67"/>
      <c r="Q8" s="67"/>
    </row>
    <row r="9" spans="1:17" x14ac:dyDescent="0.15">
      <c r="B9" s="46" t="s">
        <v>1556</v>
      </c>
    </row>
    <row r="10" spans="1:17" x14ac:dyDescent="0.15">
      <c r="B10" s="46" t="s">
        <v>667</v>
      </c>
    </row>
    <row r="11" spans="1:17" x14ac:dyDescent="0.15">
      <c r="B11" s="46"/>
    </row>
    <row r="12" spans="1:17" x14ac:dyDescent="0.15">
      <c r="B12" s="46"/>
      <c r="C12" s="69" t="s">
        <v>879</v>
      </c>
      <c r="D12" s="70" t="s">
        <v>1469</v>
      </c>
      <c r="E12" s="59"/>
      <c r="F12" s="58"/>
      <c r="G12" s="71"/>
      <c r="J12" s="69" t="s">
        <v>879</v>
      </c>
      <c r="K12" s="70" t="s">
        <v>1470</v>
      </c>
      <c r="L12" s="59"/>
      <c r="M12" s="58"/>
      <c r="N12" s="71"/>
    </row>
    <row r="13" spans="1:17" x14ac:dyDescent="0.15">
      <c r="B13" s="46"/>
      <c r="C13" s="72" t="s">
        <v>886</v>
      </c>
      <c r="D13" s="32" t="s">
        <v>1471</v>
      </c>
      <c r="E13" s="61"/>
      <c r="F13" s="32"/>
      <c r="G13" s="73"/>
      <c r="J13" s="72" t="s">
        <v>886</v>
      </c>
      <c r="K13" s="32" t="s">
        <v>1472</v>
      </c>
      <c r="L13" s="61"/>
      <c r="M13" s="32"/>
      <c r="N13" s="73"/>
    </row>
    <row r="14" spans="1:17" x14ac:dyDescent="0.15">
      <c r="B14" s="46"/>
      <c r="C14" s="74" t="s">
        <v>887</v>
      </c>
      <c r="D14" s="62" t="s">
        <v>1037</v>
      </c>
      <c r="E14" s="63"/>
      <c r="F14" s="62"/>
      <c r="G14" s="75"/>
      <c r="J14" s="74" t="s">
        <v>887</v>
      </c>
      <c r="K14" s="62" t="s">
        <v>1038</v>
      </c>
      <c r="L14" s="63"/>
      <c r="M14" s="62"/>
      <c r="N14" s="75"/>
    </row>
    <row r="15" spans="1:17" x14ac:dyDescent="0.15">
      <c r="B15" s="46"/>
    </row>
    <row r="16" spans="1:17" x14ac:dyDescent="0.15">
      <c r="B16" s="17"/>
      <c r="C16" s="15" t="s">
        <v>331</v>
      </c>
      <c r="J16" s="15" t="s">
        <v>332</v>
      </c>
      <c r="M16" s="14"/>
    </row>
    <row r="17" spans="1:24" x14ac:dyDescent="0.15">
      <c r="B17" s="17"/>
      <c r="C17" s="15"/>
      <c r="D17" s="279" t="s">
        <v>48</v>
      </c>
      <c r="E17" s="279"/>
      <c r="F17" s="14"/>
      <c r="J17" s="279" t="s">
        <v>49</v>
      </c>
      <c r="K17" s="279"/>
    </row>
    <row r="18" spans="1:24" x14ac:dyDescent="0.15">
      <c r="B18" s="17"/>
      <c r="C18" s="15"/>
      <c r="D18" s="182"/>
      <c r="E18" s="129" t="s">
        <v>333</v>
      </c>
      <c r="J18" s="182"/>
      <c r="K18" s="129" t="s">
        <v>334</v>
      </c>
      <c r="V18" s="183"/>
      <c r="W18" s="184"/>
      <c r="X18" s="184"/>
    </row>
    <row r="19" spans="1:24" x14ac:dyDescent="0.15">
      <c r="B19" s="17"/>
      <c r="C19" s="15"/>
      <c r="D19" s="80" t="s">
        <v>172</v>
      </c>
      <c r="E19" s="78" t="s">
        <v>169</v>
      </c>
      <c r="F19" s="14"/>
      <c r="J19" s="80" t="s">
        <v>171</v>
      </c>
      <c r="K19" s="78" t="s">
        <v>169</v>
      </c>
      <c r="V19" s="183"/>
      <c r="W19" s="184"/>
      <c r="X19" s="184"/>
    </row>
    <row r="20" spans="1:24" x14ac:dyDescent="0.15">
      <c r="B20" s="17"/>
      <c r="D20" s="17" t="s">
        <v>40</v>
      </c>
      <c r="E20" s="81" t="str">
        <f>RightAllele(D20)</f>
        <v>110</v>
      </c>
      <c r="F20" s="14"/>
      <c r="J20" s="17" t="s">
        <v>42</v>
      </c>
      <c r="K20" s="81" t="str">
        <f>SNPRightAllele(J20)</f>
        <v>C</v>
      </c>
    </row>
    <row r="21" spans="1:24" x14ac:dyDescent="0.15">
      <c r="B21" s="17"/>
      <c r="D21" s="17" t="s">
        <v>41</v>
      </c>
      <c r="E21" s="81" t="str">
        <f>RightAllele(D21)</f>
        <v>130</v>
      </c>
      <c r="F21" s="14"/>
      <c r="J21" s="17" t="s">
        <v>335</v>
      </c>
      <c r="K21" s="81" t="str">
        <f>SNPRightAllele(J21)</f>
        <v>A</v>
      </c>
      <c r="L21" s="14" t="s">
        <v>668</v>
      </c>
    </row>
    <row r="22" spans="1:24" x14ac:dyDescent="0.15">
      <c r="B22" s="17"/>
      <c r="D22" s="17" t="s">
        <v>336</v>
      </c>
      <c r="E22" s="81" t="str">
        <f>RightAllele(D22)</f>
        <v>100</v>
      </c>
      <c r="F22" s="14"/>
      <c r="J22" s="17" t="s">
        <v>341</v>
      </c>
      <c r="K22" s="81" t="str">
        <f>SNPRightAllele(J22)</f>
        <v>A</v>
      </c>
      <c r="L22" s="14" t="s">
        <v>669</v>
      </c>
    </row>
    <row r="23" spans="1:24" x14ac:dyDescent="0.15">
      <c r="B23" s="17"/>
      <c r="D23" s="17" t="s">
        <v>337</v>
      </c>
      <c r="E23" s="81" t="str">
        <f>RightAllele(D23)</f>
        <v>90</v>
      </c>
      <c r="F23" s="14" t="s">
        <v>342</v>
      </c>
      <c r="J23" s="17" t="s">
        <v>45</v>
      </c>
      <c r="K23" s="81" t="str">
        <f>SNPRightAllele(J23)</f>
        <v>T</v>
      </c>
      <c r="L23" s="14" t="s">
        <v>670</v>
      </c>
    </row>
    <row r="24" spans="1:24" x14ac:dyDescent="0.15">
      <c r="B24" s="17"/>
      <c r="D24" s="63">
        <v>100</v>
      </c>
      <c r="E24" s="84" t="str">
        <f>RightAllele(D24)</f>
        <v>100</v>
      </c>
      <c r="F24" s="14"/>
      <c r="J24" s="63" t="s">
        <v>85</v>
      </c>
      <c r="K24" s="84" t="str">
        <f>SNPRightAllele(J24)</f>
        <v>C</v>
      </c>
    </row>
    <row r="25" spans="1:24" x14ac:dyDescent="0.15">
      <c r="B25" s="17"/>
      <c r="F25" s="14"/>
      <c r="I25" s="14"/>
      <c r="K25" s="14"/>
    </row>
    <row r="26" spans="1:24" x14ac:dyDescent="0.15">
      <c r="B26" s="17"/>
      <c r="F26" s="14"/>
      <c r="I26" s="14"/>
      <c r="K26" s="14"/>
    </row>
    <row r="27" spans="1:24" x14ac:dyDescent="0.15">
      <c r="A27" s="66" t="s">
        <v>403</v>
      </c>
      <c r="B27" s="67" t="s">
        <v>1555</v>
      </c>
      <c r="C27" s="67"/>
      <c r="D27" s="67"/>
      <c r="E27" s="67"/>
      <c r="F27" s="68"/>
      <c r="G27" s="67"/>
      <c r="H27" s="67"/>
      <c r="I27" s="68"/>
      <c r="J27" s="67"/>
      <c r="K27" s="68"/>
      <c r="L27" s="67"/>
      <c r="M27" s="68"/>
      <c r="N27" s="67"/>
      <c r="O27" s="67"/>
      <c r="P27" s="67"/>
      <c r="Q27" s="67"/>
    </row>
    <row r="28" spans="1:24" x14ac:dyDescent="0.15">
      <c r="B28" s="46" t="s">
        <v>1157</v>
      </c>
    </row>
    <row r="29" spans="1:24" x14ac:dyDescent="0.15">
      <c r="B29" s="46" t="s">
        <v>667</v>
      </c>
    </row>
    <row r="30" spans="1:24" x14ac:dyDescent="0.15">
      <c r="B30" s="46"/>
    </row>
    <row r="31" spans="1:24" x14ac:dyDescent="0.15">
      <c r="B31" s="46"/>
      <c r="C31" s="69" t="s">
        <v>879</v>
      </c>
      <c r="D31" s="70" t="s">
        <v>1473</v>
      </c>
      <c r="E31" s="59"/>
      <c r="F31" s="58"/>
      <c r="G31" s="71"/>
      <c r="J31" s="69" t="s">
        <v>879</v>
      </c>
      <c r="K31" s="70" t="s">
        <v>1474</v>
      </c>
      <c r="L31" s="59"/>
      <c r="M31" s="58"/>
      <c r="N31" s="71"/>
    </row>
    <row r="32" spans="1:24" x14ac:dyDescent="0.15">
      <c r="B32" s="46"/>
      <c r="C32" s="72" t="s">
        <v>886</v>
      </c>
      <c r="D32" s="32" t="s">
        <v>1475</v>
      </c>
      <c r="E32" s="61"/>
      <c r="F32" s="32"/>
      <c r="G32" s="73"/>
      <c r="J32" s="72" t="s">
        <v>886</v>
      </c>
      <c r="K32" s="32" t="s">
        <v>1472</v>
      </c>
      <c r="L32" s="61"/>
      <c r="M32" s="32"/>
      <c r="N32" s="73"/>
    </row>
    <row r="33" spans="1:17" x14ac:dyDescent="0.15">
      <c r="B33" s="46"/>
      <c r="C33" s="74" t="s">
        <v>887</v>
      </c>
      <c r="D33" s="62" t="s">
        <v>1039</v>
      </c>
      <c r="E33" s="63"/>
      <c r="F33" s="62"/>
      <c r="G33" s="75"/>
      <c r="J33" s="74" t="s">
        <v>887</v>
      </c>
      <c r="K33" s="62" t="s">
        <v>1040</v>
      </c>
      <c r="L33" s="63"/>
      <c r="M33" s="62"/>
      <c r="N33" s="75"/>
    </row>
    <row r="34" spans="1:17" x14ac:dyDescent="0.15">
      <c r="B34" s="46"/>
    </row>
    <row r="35" spans="1:17" x14ac:dyDescent="0.15">
      <c r="B35" s="17"/>
      <c r="C35" s="15" t="s">
        <v>343</v>
      </c>
      <c r="J35" s="15" t="s">
        <v>344</v>
      </c>
    </row>
    <row r="36" spans="1:17" x14ac:dyDescent="0.15">
      <c r="D36" s="279" t="s">
        <v>2</v>
      </c>
      <c r="E36" s="279"/>
      <c r="J36" s="279" t="s">
        <v>3</v>
      </c>
      <c r="K36" s="279"/>
    </row>
    <row r="37" spans="1:17" x14ac:dyDescent="0.15">
      <c r="D37" s="182"/>
      <c r="E37" s="129" t="s">
        <v>381</v>
      </c>
      <c r="F37" s="14"/>
      <c r="J37" s="182"/>
      <c r="K37" s="129" t="s">
        <v>382</v>
      </c>
    </row>
    <row r="38" spans="1:17" x14ac:dyDescent="0.15">
      <c r="D38" s="80" t="s">
        <v>172</v>
      </c>
      <c r="E38" s="78" t="s">
        <v>169</v>
      </c>
      <c r="F38" s="14"/>
      <c r="J38" s="80" t="s">
        <v>171</v>
      </c>
      <c r="K38" s="78" t="s">
        <v>169</v>
      </c>
    </row>
    <row r="39" spans="1:17" x14ac:dyDescent="0.15">
      <c r="D39" s="17" t="s">
        <v>40</v>
      </c>
      <c r="E39" s="81" t="str">
        <f>LeftAllele(D39)</f>
        <v>100</v>
      </c>
      <c r="F39" s="14"/>
      <c r="J39" s="17" t="s">
        <v>42</v>
      </c>
      <c r="K39" s="81" t="str">
        <f>SNPLeftAllele(J39)</f>
        <v>A</v>
      </c>
    </row>
    <row r="40" spans="1:17" x14ac:dyDescent="0.15">
      <c r="D40" s="17" t="s">
        <v>41</v>
      </c>
      <c r="E40" s="81" t="str">
        <f>LeftAllele(D40)</f>
        <v>120</v>
      </c>
      <c r="F40" s="14"/>
      <c r="J40" s="17" t="s">
        <v>335</v>
      </c>
      <c r="K40" s="81" t="str">
        <f>SNPLeftAllele(J40)</f>
        <v>C</v>
      </c>
    </row>
    <row r="41" spans="1:17" x14ac:dyDescent="0.15">
      <c r="D41" s="17" t="s">
        <v>336</v>
      </c>
      <c r="E41" s="81" t="str">
        <f>LeftAllele(D41)</f>
        <v>90</v>
      </c>
      <c r="F41" s="14"/>
      <c r="J41" s="17" t="s">
        <v>341</v>
      </c>
      <c r="K41" s="81" t="str">
        <f>SNPLeftAllele(J41)</f>
        <v>G</v>
      </c>
    </row>
    <row r="42" spans="1:17" x14ac:dyDescent="0.15">
      <c r="D42" s="17" t="s">
        <v>337</v>
      </c>
      <c r="E42" s="81" t="str">
        <f>LeftAllele(D42)</f>
        <v>100</v>
      </c>
      <c r="F42" s="14"/>
      <c r="J42" s="17" t="s">
        <v>45</v>
      </c>
      <c r="K42" s="81" t="str">
        <f>SNPLeftAllele(J42)</f>
        <v>C</v>
      </c>
    </row>
    <row r="43" spans="1:17" x14ac:dyDescent="0.15">
      <c r="D43" s="63">
        <v>100</v>
      </c>
      <c r="E43" s="84" t="str">
        <f>LeftAllele(D43)</f>
        <v>100</v>
      </c>
      <c r="F43" s="14"/>
      <c r="J43" s="63" t="s">
        <v>85</v>
      </c>
      <c r="K43" s="84" t="str">
        <f>SNPLeftAllele(J43)</f>
        <v>C</v>
      </c>
    </row>
    <row r="44" spans="1:17" x14ac:dyDescent="0.15">
      <c r="F44" s="14"/>
      <c r="I44" s="14"/>
      <c r="K44" s="14"/>
    </row>
    <row r="45" spans="1:17" x14ac:dyDescent="0.15">
      <c r="F45" s="14"/>
      <c r="J45" s="61"/>
      <c r="K45" s="14"/>
    </row>
    <row r="46" spans="1:17" x14ac:dyDescent="0.15">
      <c r="A46" s="66" t="s">
        <v>404</v>
      </c>
      <c r="B46" s="67" t="s">
        <v>408</v>
      </c>
      <c r="C46" s="67"/>
      <c r="D46" s="67"/>
      <c r="E46" s="67"/>
      <c r="F46" s="68"/>
      <c r="G46" s="67"/>
      <c r="H46" s="67"/>
      <c r="I46" s="68"/>
      <c r="J46" s="67"/>
      <c r="K46" s="68"/>
      <c r="L46" s="67"/>
      <c r="M46" s="68"/>
      <c r="N46" s="67"/>
      <c r="O46" s="67"/>
      <c r="P46" s="67"/>
      <c r="Q46" s="67"/>
    </row>
    <row r="47" spans="1:17" x14ac:dyDescent="0.15">
      <c r="B47" s="14" t="s">
        <v>612</v>
      </c>
      <c r="D47" s="17"/>
      <c r="F47" s="14"/>
      <c r="G47" s="17"/>
      <c r="J47" s="17"/>
      <c r="K47" s="14"/>
      <c r="L47" s="17"/>
    </row>
    <row r="48" spans="1:17" x14ac:dyDescent="0.15">
      <c r="B48" s="14" t="s">
        <v>613</v>
      </c>
      <c r="D48" s="17"/>
      <c r="F48" s="14"/>
      <c r="G48" s="17"/>
      <c r="J48" s="17"/>
      <c r="K48" s="14"/>
      <c r="L48" s="17"/>
    </row>
    <row r="49" spans="3:14" x14ac:dyDescent="0.15">
      <c r="D49" s="17"/>
      <c r="F49" s="14"/>
      <c r="G49" s="17"/>
      <c r="J49" s="17"/>
      <c r="K49" s="14"/>
      <c r="L49" s="17"/>
    </row>
    <row r="50" spans="3:14" x14ac:dyDescent="0.15">
      <c r="C50" s="69" t="s">
        <v>879</v>
      </c>
      <c r="D50" s="70" t="s">
        <v>1476</v>
      </c>
      <c r="E50" s="59"/>
      <c r="F50" s="58"/>
      <c r="G50" s="71"/>
      <c r="J50" s="69" t="s">
        <v>879</v>
      </c>
      <c r="K50" s="70" t="s">
        <v>1477</v>
      </c>
      <c r="L50" s="59"/>
      <c r="M50" s="58"/>
      <c r="N50" s="71"/>
    </row>
    <row r="51" spans="3:14" x14ac:dyDescent="0.15">
      <c r="C51" s="72" t="s">
        <v>886</v>
      </c>
      <c r="D51" s="32" t="s">
        <v>1475</v>
      </c>
      <c r="E51" s="61"/>
      <c r="F51" s="32"/>
      <c r="G51" s="73"/>
      <c r="J51" s="72" t="s">
        <v>886</v>
      </c>
      <c r="K51" s="32" t="s">
        <v>1478</v>
      </c>
      <c r="L51" s="61"/>
      <c r="M51" s="32"/>
      <c r="N51" s="73"/>
    </row>
    <row r="52" spans="3:14" x14ac:dyDescent="0.15">
      <c r="C52" s="74" t="s">
        <v>887</v>
      </c>
      <c r="D52" s="62" t="s">
        <v>1041</v>
      </c>
      <c r="E52" s="63"/>
      <c r="F52" s="62"/>
      <c r="G52" s="75"/>
      <c r="J52" s="74" t="s">
        <v>887</v>
      </c>
      <c r="K52" s="62" t="s">
        <v>1041</v>
      </c>
      <c r="L52" s="63"/>
      <c r="M52" s="62"/>
      <c r="N52" s="75"/>
    </row>
    <row r="53" spans="3:14" x14ac:dyDescent="0.15">
      <c r="D53" s="17"/>
      <c r="F53" s="14"/>
      <c r="G53" s="17"/>
      <c r="J53" s="17"/>
      <c r="K53" s="14"/>
      <c r="L53" s="17"/>
    </row>
    <row r="54" spans="3:14" x14ac:dyDescent="0.15">
      <c r="C54" s="15" t="s">
        <v>346</v>
      </c>
      <c r="J54" s="15" t="s">
        <v>347</v>
      </c>
      <c r="K54" s="14"/>
      <c r="M54" s="14"/>
    </row>
    <row r="55" spans="3:14" x14ac:dyDescent="0.15">
      <c r="D55" s="279" t="s">
        <v>2</v>
      </c>
      <c r="E55" s="279"/>
      <c r="J55" s="279" t="s">
        <v>3</v>
      </c>
      <c r="K55" s="279"/>
      <c r="M55" s="14"/>
    </row>
    <row r="56" spans="3:14" x14ac:dyDescent="0.15">
      <c r="D56" s="182"/>
      <c r="E56" s="129" t="s">
        <v>348</v>
      </c>
      <c r="F56" s="14"/>
      <c r="J56" s="182"/>
      <c r="K56" s="129" t="s">
        <v>349</v>
      </c>
    </row>
    <row r="57" spans="3:14" x14ac:dyDescent="0.15">
      <c r="D57" s="80" t="s">
        <v>172</v>
      </c>
      <c r="E57" s="78" t="s">
        <v>169</v>
      </c>
      <c r="F57" s="14"/>
      <c r="J57" s="80" t="s">
        <v>171</v>
      </c>
      <c r="K57" s="78" t="s">
        <v>169</v>
      </c>
    </row>
    <row r="58" spans="3:14" x14ac:dyDescent="0.15">
      <c r="D58" s="17" t="s">
        <v>6</v>
      </c>
      <c r="E58" s="81" t="b">
        <f>IsHOMOzygous(D58)</f>
        <v>0</v>
      </c>
      <c r="F58" s="14"/>
      <c r="J58" s="17" t="s">
        <v>42</v>
      </c>
      <c r="K58" s="81" t="b">
        <f>SNPIsHOMOzygous(J58)</f>
        <v>0</v>
      </c>
      <c r="L58" s="14" t="s">
        <v>354</v>
      </c>
    </row>
    <row r="59" spans="3:14" x14ac:dyDescent="0.15">
      <c r="D59" s="17" t="s">
        <v>7</v>
      </c>
      <c r="E59" s="81" t="b">
        <f>IsHOMOzygous(D59)</f>
        <v>1</v>
      </c>
      <c r="F59" s="14"/>
      <c r="J59" s="17" t="s">
        <v>62</v>
      </c>
      <c r="K59" s="81" t="b">
        <f>SNPIsHOMOzygous(J59)</f>
        <v>1</v>
      </c>
      <c r="L59" s="14" t="s">
        <v>355</v>
      </c>
    </row>
    <row r="60" spans="3:14" x14ac:dyDescent="0.15">
      <c r="D60" s="17" t="s">
        <v>336</v>
      </c>
      <c r="E60" s="81" t="b">
        <f>IsHOMOzygous(D60)</f>
        <v>0</v>
      </c>
      <c r="F60" s="14"/>
      <c r="J60" s="17" t="s">
        <v>45</v>
      </c>
      <c r="K60" s="81" t="b">
        <f>SNPIsHOMOzygous(J60)</f>
        <v>0</v>
      </c>
      <c r="L60" s="14" t="s">
        <v>353</v>
      </c>
    </row>
    <row r="61" spans="3:14" x14ac:dyDescent="0.15">
      <c r="D61" s="17" t="s">
        <v>350</v>
      </c>
      <c r="E61" s="81" t="b">
        <f>IsHOMOzygous(D61)</f>
        <v>1</v>
      </c>
      <c r="F61" s="14"/>
      <c r="J61" s="17" t="s">
        <v>351</v>
      </c>
      <c r="K61" s="81" t="b">
        <f>SNPIsHOMOzygous(J61)</f>
        <v>1</v>
      </c>
    </row>
    <row r="62" spans="3:14" x14ac:dyDescent="0.15">
      <c r="D62" s="63">
        <v>100</v>
      </c>
      <c r="E62" s="84" t="b">
        <f>IsHOMOzygous(D62)</f>
        <v>1</v>
      </c>
      <c r="F62" s="14"/>
      <c r="J62" s="63" t="s">
        <v>85</v>
      </c>
      <c r="K62" s="84" t="b">
        <f>SNPIsHOMOzygous(J62)</f>
        <v>1</v>
      </c>
      <c r="L62" s="14" t="s">
        <v>352</v>
      </c>
    </row>
    <row r="63" spans="3:14" x14ac:dyDescent="0.15">
      <c r="F63" s="14"/>
      <c r="L63" s="17"/>
    </row>
    <row r="65" spans="1:17" x14ac:dyDescent="0.15">
      <c r="A65" s="66" t="s">
        <v>405</v>
      </c>
      <c r="B65" s="67" t="s">
        <v>407</v>
      </c>
      <c r="C65" s="67"/>
      <c r="D65" s="67"/>
      <c r="E65" s="67"/>
      <c r="F65" s="68"/>
      <c r="G65" s="67"/>
      <c r="H65" s="67"/>
      <c r="I65" s="68"/>
      <c r="J65" s="67"/>
      <c r="K65" s="68"/>
      <c r="L65" s="67"/>
      <c r="M65" s="68"/>
      <c r="N65" s="67"/>
      <c r="O65" s="67"/>
      <c r="P65" s="67"/>
      <c r="Q65" s="67"/>
    </row>
    <row r="66" spans="1:17" x14ac:dyDescent="0.15">
      <c r="B66" s="14" t="s">
        <v>671</v>
      </c>
    </row>
    <row r="67" spans="1:17" ht="60" customHeight="1" x14ac:dyDescent="0.15">
      <c r="B67" s="280" t="s">
        <v>1559</v>
      </c>
      <c r="C67" s="280"/>
      <c r="D67" s="280"/>
      <c r="E67" s="280"/>
      <c r="F67" s="280"/>
      <c r="G67" s="280"/>
      <c r="H67" s="280"/>
      <c r="I67" s="280"/>
      <c r="J67" s="280"/>
      <c r="K67" s="280"/>
      <c r="L67" s="280"/>
    </row>
    <row r="69" spans="1:17" x14ac:dyDescent="0.15">
      <c r="C69" s="69" t="s">
        <v>879</v>
      </c>
      <c r="D69" s="70" t="s">
        <v>1479</v>
      </c>
      <c r="E69" s="59"/>
      <c r="F69" s="58"/>
      <c r="G69" s="71"/>
      <c r="J69" s="69" t="s">
        <v>879</v>
      </c>
      <c r="K69" s="70" t="s">
        <v>1480</v>
      </c>
      <c r="L69" s="59"/>
      <c r="M69" s="58"/>
      <c r="N69" s="71"/>
    </row>
    <row r="70" spans="1:17" x14ac:dyDescent="0.15">
      <c r="C70" s="72" t="s">
        <v>1042</v>
      </c>
      <c r="D70" s="32" t="s">
        <v>1481</v>
      </c>
      <c r="E70" s="61"/>
      <c r="F70" s="32"/>
      <c r="G70" s="73"/>
      <c r="J70" s="72" t="s">
        <v>1042</v>
      </c>
      <c r="K70" s="32" t="s">
        <v>1482</v>
      </c>
      <c r="L70" s="61"/>
      <c r="M70" s="32"/>
      <c r="N70" s="73"/>
    </row>
    <row r="71" spans="1:17" x14ac:dyDescent="0.15">
      <c r="C71" s="72"/>
      <c r="D71" s="32" t="s">
        <v>1558</v>
      </c>
      <c r="E71" s="61"/>
      <c r="F71" s="32"/>
      <c r="G71" s="73"/>
      <c r="J71" s="74" t="s">
        <v>887</v>
      </c>
      <c r="K71" s="62" t="s">
        <v>1043</v>
      </c>
      <c r="L71" s="63"/>
      <c r="M71" s="62"/>
      <c r="N71" s="75"/>
    </row>
    <row r="72" spans="1:17" x14ac:dyDescent="0.15">
      <c r="C72" s="72"/>
      <c r="D72" s="32" t="s">
        <v>1557</v>
      </c>
      <c r="E72" s="61"/>
      <c r="F72" s="32"/>
      <c r="G72" s="73"/>
      <c r="J72" s="32"/>
      <c r="K72" s="32"/>
      <c r="L72" s="61"/>
      <c r="M72" s="32"/>
      <c r="N72" s="32"/>
    </row>
    <row r="73" spans="1:17" x14ac:dyDescent="0.15">
      <c r="C73" s="74" t="s">
        <v>887</v>
      </c>
      <c r="D73" s="62" t="s">
        <v>1043</v>
      </c>
      <c r="E73" s="63"/>
      <c r="F73" s="62"/>
      <c r="G73" s="75"/>
    </row>
    <row r="75" spans="1:17" x14ac:dyDescent="0.15">
      <c r="C75" s="15" t="s">
        <v>356</v>
      </c>
      <c r="J75" s="15" t="s">
        <v>357</v>
      </c>
    </row>
    <row r="76" spans="1:17" x14ac:dyDescent="0.15">
      <c r="D76" s="278" t="s">
        <v>2</v>
      </c>
      <c r="E76" s="278"/>
      <c r="F76" s="278"/>
      <c r="G76" s="278"/>
      <c r="J76" s="278" t="s">
        <v>3</v>
      </c>
      <c r="K76" s="278"/>
      <c r="L76" s="278"/>
    </row>
    <row r="77" spans="1:17" x14ac:dyDescent="0.15">
      <c r="D77" s="129"/>
      <c r="E77" s="129"/>
      <c r="F77" s="182"/>
      <c r="G77" s="129" t="s">
        <v>391</v>
      </c>
      <c r="J77" s="182"/>
      <c r="K77" s="182"/>
      <c r="L77" s="129" t="s">
        <v>392</v>
      </c>
    </row>
    <row r="78" spans="1:17" x14ac:dyDescent="0.15">
      <c r="D78" s="80" t="s">
        <v>55</v>
      </c>
      <c r="E78" s="80" t="s">
        <v>56</v>
      </c>
      <c r="F78" s="80" t="s">
        <v>57</v>
      </c>
      <c r="G78" s="80" t="s">
        <v>169</v>
      </c>
      <c r="J78" s="80" t="s">
        <v>64</v>
      </c>
      <c r="K78" s="80" t="s">
        <v>65</v>
      </c>
      <c r="L78" s="78" t="s">
        <v>169</v>
      </c>
    </row>
    <row r="79" spans="1:17" x14ac:dyDescent="0.15">
      <c r="D79" s="17" t="s">
        <v>58</v>
      </c>
      <c r="E79" s="17" t="s">
        <v>58</v>
      </c>
      <c r="F79" s="17">
        <v>0</v>
      </c>
      <c r="G79" s="17" t="b">
        <f>IsSameSSR(D79,E79,F79)</f>
        <v>1</v>
      </c>
      <c r="J79" s="17" t="s">
        <v>62</v>
      </c>
      <c r="K79" s="17" t="s">
        <v>62</v>
      </c>
      <c r="L79" s="81" t="b">
        <f>SNPmatch(J79,K79)</f>
        <v>1</v>
      </c>
    </row>
    <row r="80" spans="1:17" x14ac:dyDescent="0.15">
      <c r="D80" s="17" t="s">
        <v>59</v>
      </c>
      <c r="E80" s="17" t="s">
        <v>58</v>
      </c>
      <c r="F80" s="17">
        <v>0</v>
      </c>
      <c r="G80" s="17" t="b">
        <f>IsSameSSR(D80,E80,F80)</f>
        <v>0</v>
      </c>
      <c r="J80" s="17" t="s">
        <v>366</v>
      </c>
      <c r="K80" s="17" t="s">
        <v>360</v>
      </c>
      <c r="L80" s="81" t="b">
        <f>SNPmatch(J80,K80)</f>
        <v>0</v>
      </c>
    </row>
    <row r="81" spans="1:17" x14ac:dyDescent="0.15">
      <c r="D81" s="17" t="s">
        <v>60</v>
      </c>
      <c r="E81" s="17" t="s">
        <v>58</v>
      </c>
      <c r="F81" s="17">
        <v>1</v>
      </c>
      <c r="G81" s="17" t="b">
        <f>IsSameSSR(D81,E81,F81)</f>
        <v>0</v>
      </c>
      <c r="H81" s="14" t="s">
        <v>358</v>
      </c>
      <c r="J81" s="17" t="s">
        <v>44</v>
      </c>
      <c r="K81" s="17" t="s">
        <v>42</v>
      </c>
      <c r="L81" s="81" t="b">
        <f>SNPmatch(J81,K81)</f>
        <v>1</v>
      </c>
    </row>
    <row r="82" spans="1:17" x14ac:dyDescent="0.15">
      <c r="D82" s="17" t="s">
        <v>1244</v>
      </c>
      <c r="E82" s="17" t="s">
        <v>1245</v>
      </c>
      <c r="F82" s="17">
        <v>2</v>
      </c>
      <c r="G82" s="17" t="b">
        <f>IsSameSSR(D82,E82,F82)</f>
        <v>1</v>
      </c>
      <c r="J82" s="17" t="s">
        <v>44</v>
      </c>
      <c r="K82" s="17" t="s">
        <v>367</v>
      </c>
      <c r="L82" s="81" t="b">
        <f>SNPmatch(J82,K82)</f>
        <v>1</v>
      </c>
    </row>
    <row r="83" spans="1:17" x14ac:dyDescent="0.15">
      <c r="D83" s="63" t="s">
        <v>61</v>
      </c>
      <c r="E83" s="63" t="s">
        <v>58</v>
      </c>
      <c r="F83" s="63">
        <v>2</v>
      </c>
      <c r="G83" s="63" t="b">
        <f>IsSameSSR(D83,E83,F83)</f>
        <v>0</v>
      </c>
      <c r="H83" s="14" t="s">
        <v>359</v>
      </c>
      <c r="J83" s="63" t="s">
        <v>308</v>
      </c>
      <c r="K83" s="63" t="s">
        <v>368</v>
      </c>
      <c r="L83" s="84" t="b">
        <f>SNPmatch(J83,K83)</f>
        <v>0</v>
      </c>
    </row>
    <row r="84" spans="1:17" x14ac:dyDescent="0.15">
      <c r="F84" s="14"/>
      <c r="G84" s="17"/>
    </row>
    <row r="85" spans="1:17" x14ac:dyDescent="0.15">
      <c r="C85" s="14" t="s">
        <v>1152</v>
      </c>
    </row>
    <row r="86" spans="1:17" x14ac:dyDescent="0.15">
      <c r="C86" s="46" t="s">
        <v>1560</v>
      </c>
    </row>
    <row r="88" spans="1:17" x14ac:dyDescent="0.15">
      <c r="A88" s="66" t="s">
        <v>406</v>
      </c>
      <c r="B88" s="67" t="s">
        <v>1158</v>
      </c>
      <c r="C88" s="67"/>
      <c r="D88" s="67"/>
      <c r="E88" s="67"/>
      <c r="F88" s="68"/>
      <c r="G88" s="67"/>
      <c r="H88" s="67"/>
      <c r="I88" s="68"/>
      <c r="J88" s="67"/>
      <c r="K88" s="68"/>
      <c r="L88" s="67"/>
      <c r="M88" s="68"/>
      <c r="N88" s="67"/>
      <c r="O88" s="67"/>
      <c r="P88" s="67"/>
      <c r="Q88" s="67"/>
    </row>
    <row r="89" spans="1:17" x14ac:dyDescent="0.15">
      <c r="B89" s="14" t="s">
        <v>614</v>
      </c>
    </row>
    <row r="91" spans="1:17" x14ac:dyDescent="0.15">
      <c r="C91" s="69" t="s">
        <v>879</v>
      </c>
      <c r="D91" s="70" t="s">
        <v>1483</v>
      </c>
      <c r="E91" s="59"/>
      <c r="F91" s="58"/>
      <c r="G91" s="71"/>
      <c r="J91" s="69" t="s">
        <v>879</v>
      </c>
      <c r="K91" s="70" t="s">
        <v>1484</v>
      </c>
      <c r="L91" s="59"/>
      <c r="M91" s="58"/>
      <c r="N91" s="71"/>
    </row>
    <row r="92" spans="1:17" x14ac:dyDescent="0.15">
      <c r="C92" s="72" t="s">
        <v>1042</v>
      </c>
      <c r="D92" s="32" t="s">
        <v>1485</v>
      </c>
      <c r="E92" s="61"/>
      <c r="F92" s="32"/>
      <c r="G92" s="73"/>
      <c r="J92" s="72" t="s">
        <v>1042</v>
      </c>
      <c r="K92" s="32" t="s">
        <v>1486</v>
      </c>
      <c r="L92" s="61"/>
      <c r="M92" s="32"/>
      <c r="N92" s="73"/>
    </row>
    <row r="93" spans="1:17" x14ac:dyDescent="0.15">
      <c r="C93" s="72"/>
      <c r="D93" s="32" t="s">
        <v>1487</v>
      </c>
      <c r="E93" s="61"/>
      <c r="F93" s="32"/>
      <c r="G93" s="73"/>
      <c r="J93" s="72"/>
      <c r="K93" s="32" t="s">
        <v>1488</v>
      </c>
      <c r="L93" s="61"/>
      <c r="M93" s="32"/>
      <c r="N93" s="73"/>
    </row>
    <row r="94" spans="1:17" x14ac:dyDescent="0.15">
      <c r="C94" s="74" t="s">
        <v>887</v>
      </c>
      <c r="D94" s="62" t="s">
        <v>1044</v>
      </c>
      <c r="E94" s="63"/>
      <c r="F94" s="62"/>
      <c r="G94" s="75"/>
      <c r="J94" s="74" t="s">
        <v>887</v>
      </c>
      <c r="K94" s="62" t="s">
        <v>1044</v>
      </c>
      <c r="L94" s="63"/>
      <c r="M94" s="62"/>
      <c r="N94" s="75"/>
    </row>
    <row r="95" spans="1:17" x14ac:dyDescent="0.15">
      <c r="C95" s="32"/>
      <c r="D95" s="32"/>
      <c r="E95" s="61"/>
      <c r="F95" s="32"/>
      <c r="G95" s="32"/>
      <c r="J95" s="32"/>
      <c r="K95" s="32"/>
      <c r="L95" s="61"/>
      <c r="M95" s="32"/>
      <c r="N95" s="32"/>
    </row>
    <row r="96" spans="1:17" x14ac:dyDescent="0.15">
      <c r="C96" s="15" t="s">
        <v>361</v>
      </c>
      <c r="J96" s="15" t="s">
        <v>362</v>
      </c>
    </row>
    <row r="97" spans="1:17" x14ac:dyDescent="0.15">
      <c r="D97" s="278" t="s">
        <v>2</v>
      </c>
      <c r="E97" s="278"/>
      <c r="F97" s="278"/>
      <c r="G97" s="278"/>
      <c r="J97" s="278" t="s">
        <v>3</v>
      </c>
      <c r="K97" s="278"/>
      <c r="L97" s="278"/>
    </row>
    <row r="98" spans="1:17" x14ac:dyDescent="0.15">
      <c r="D98" s="129"/>
      <c r="E98" s="182"/>
      <c r="F98" s="129" t="s">
        <v>363</v>
      </c>
      <c r="J98" s="182"/>
      <c r="K98" s="182"/>
      <c r="L98" s="129" t="s">
        <v>364</v>
      </c>
    </row>
    <row r="99" spans="1:17" x14ac:dyDescent="0.15">
      <c r="D99" s="80" t="s">
        <v>2</v>
      </c>
      <c r="E99" s="80" t="s">
        <v>80</v>
      </c>
      <c r="F99" s="80" t="s">
        <v>169</v>
      </c>
      <c r="J99" s="80" t="s">
        <v>64</v>
      </c>
      <c r="K99" s="80" t="s">
        <v>80</v>
      </c>
      <c r="L99" s="78" t="s">
        <v>169</v>
      </c>
    </row>
    <row r="100" spans="1:17" x14ac:dyDescent="0.15">
      <c r="D100" s="17" t="s">
        <v>365</v>
      </c>
      <c r="E100" s="17">
        <v>100</v>
      </c>
      <c r="F100" s="59" t="b">
        <f>IsIncluded(D100,E100)</f>
        <v>1</v>
      </c>
      <c r="J100" s="17" t="s">
        <v>62</v>
      </c>
      <c r="K100" s="17" t="s">
        <v>11</v>
      </c>
      <c r="L100" s="82" t="b">
        <f>SNPIsIncluded(J100,K100)</f>
        <v>1</v>
      </c>
    </row>
    <row r="101" spans="1:17" x14ac:dyDescent="0.15">
      <c r="D101" s="17" t="s">
        <v>365</v>
      </c>
      <c r="E101" s="17">
        <v>110</v>
      </c>
      <c r="F101" s="61" t="b">
        <f>IsIncluded(D101,E101)</f>
        <v>0</v>
      </c>
      <c r="J101" s="17" t="s">
        <v>366</v>
      </c>
      <c r="K101" s="17" t="s">
        <v>584</v>
      </c>
      <c r="L101" s="83" t="b">
        <f>SNPIsIncluded(J101,K101)</f>
        <v>1</v>
      </c>
    </row>
    <row r="102" spans="1:17" x14ac:dyDescent="0.15">
      <c r="D102" s="17" t="s">
        <v>370</v>
      </c>
      <c r="E102" s="17">
        <v>110</v>
      </c>
      <c r="F102" s="61" t="b">
        <f>IsIncluded(D102,E102)</f>
        <v>1</v>
      </c>
      <c r="J102" s="17" t="s">
        <v>44</v>
      </c>
      <c r="K102" s="17" t="s">
        <v>84</v>
      </c>
      <c r="L102" s="83" t="b">
        <f>SNPIsIncluded(J102,K102)</f>
        <v>0</v>
      </c>
    </row>
    <row r="103" spans="1:17" x14ac:dyDescent="0.15">
      <c r="D103" s="17" t="s">
        <v>371</v>
      </c>
      <c r="E103" s="17">
        <v>110</v>
      </c>
      <c r="F103" s="61" t="b">
        <f>IsIncluded(D103,E103)</f>
        <v>1</v>
      </c>
      <c r="J103" s="17" t="s">
        <v>44</v>
      </c>
      <c r="K103" s="17" t="s">
        <v>11</v>
      </c>
      <c r="L103" s="83" t="b">
        <f>SNPIsIncluded(J103,K103)</f>
        <v>1</v>
      </c>
    </row>
    <row r="104" spans="1:17" x14ac:dyDescent="0.15">
      <c r="D104" s="63">
        <v>120</v>
      </c>
      <c r="E104" s="63">
        <v>120</v>
      </c>
      <c r="F104" s="63" t="b">
        <f>IsIncluded(D104,E104)</f>
        <v>1</v>
      </c>
      <c r="J104" s="63" t="s">
        <v>369</v>
      </c>
      <c r="K104" s="63" t="s">
        <v>369</v>
      </c>
      <c r="L104" s="84" t="b">
        <f>SNPIsIncluded(J104,K104)</f>
        <v>1</v>
      </c>
    </row>
    <row r="106" spans="1:17" x14ac:dyDescent="0.15">
      <c r="C106" s="14" t="s">
        <v>372</v>
      </c>
    </row>
    <row r="107" spans="1:17" x14ac:dyDescent="0.15">
      <c r="C107" s="79"/>
      <c r="D107" s="17"/>
    </row>
    <row r="108" spans="1:17" x14ac:dyDescent="0.15">
      <c r="D108" s="17"/>
    </row>
    <row r="109" spans="1:17" x14ac:dyDescent="0.15">
      <c r="A109" s="66" t="s">
        <v>409</v>
      </c>
      <c r="B109" s="67" t="s">
        <v>1561</v>
      </c>
      <c r="C109" s="67"/>
      <c r="D109" s="67"/>
      <c r="E109" s="67"/>
      <c r="F109" s="68"/>
      <c r="G109" s="67"/>
      <c r="H109" s="67"/>
      <c r="I109" s="68"/>
      <c r="J109" s="67"/>
      <c r="K109" s="68"/>
      <c r="L109" s="67"/>
      <c r="M109" s="68"/>
      <c r="N109" s="67"/>
      <c r="O109" s="67"/>
      <c r="P109" s="67"/>
      <c r="Q109" s="67"/>
    </row>
    <row r="110" spans="1:17" x14ac:dyDescent="0.15">
      <c r="B110" s="14" t="s">
        <v>615</v>
      </c>
    </row>
    <row r="111" spans="1:17" x14ac:dyDescent="0.15">
      <c r="B111" s="14" t="s">
        <v>616</v>
      </c>
    </row>
    <row r="112" spans="1:17" x14ac:dyDescent="0.15">
      <c r="C112" s="46"/>
    </row>
    <row r="113" spans="1:17" x14ac:dyDescent="0.15">
      <c r="C113" s="69" t="s">
        <v>879</v>
      </c>
      <c r="D113" s="70" t="s">
        <v>1489</v>
      </c>
      <c r="E113" s="59"/>
      <c r="F113" s="58"/>
      <c r="G113" s="58"/>
      <c r="H113" s="71"/>
    </row>
    <row r="114" spans="1:17" x14ac:dyDescent="0.15">
      <c r="C114" s="72" t="s">
        <v>886</v>
      </c>
      <c r="D114" s="32" t="s">
        <v>1471</v>
      </c>
      <c r="E114" s="61"/>
      <c r="F114" s="32"/>
      <c r="G114" s="32"/>
      <c r="H114" s="73"/>
    </row>
    <row r="115" spans="1:17" x14ac:dyDescent="0.15">
      <c r="C115" s="74" t="s">
        <v>887</v>
      </c>
      <c r="D115" s="62" t="s">
        <v>1045</v>
      </c>
      <c r="E115" s="63"/>
      <c r="F115" s="62"/>
      <c r="G115" s="62"/>
      <c r="H115" s="75"/>
    </row>
    <row r="116" spans="1:17" x14ac:dyDescent="0.15">
      <c r="C116" s="46"/>
    </row>
    <row r="117" spans="1:17" x14ac:dyDescent="0.15">
      <c r="D117" s="182"/>
      <c r="E117" s="185" t="s">
        <v>378</v>
      </c>
      <c r="F117" s="182"/>
    </row>
    <row r="118" spans="1:17" x14ac:dyDescent="0.15">
      <c r="D118" s="80" t="s">
        <v>374</v>
      </c>
      <c r="E118" s="59" t="s">
        <v>169</v>
      </c>
      <c r="F118" s="14"/>
    </row>
    <row r="119" spans="1:17" x14ac:dyDescent="0.15">
      <c r="D119" s="16">
        <v>100</v>
      </c>
      <c r="E119" s="59">
        <f t="shared" ref="E119:E124" si="0">SSRPloidy(D119)</f>
        <v>1</v>
      </c>
      <c r="F119" s="14"/>
    </row>
    <row r="120" spans="1:17" x14ac:dyDescent="0.15">
      <c r="D120" s="16" t="s">
        <v>387</v>
      </c>
      <c r="E120" s="61">
        <f t="shared" si="0"/>
        <v>2</v>
      </c>
      <c r="F120" s="14"/>
    </row>
    <row r="121" spans="1:17" x14ac:dyDescent="0.15">
      <c r="D121" s="16" t="s">
        <v>375</v>
      </c>
      <c r="E121" s="61">
        <f t="shared" si="0"/>
        <v>3</v>
      </c>
      <c r="F121" s="14"/>
      <c r="J121" s="17"/>
    </row>
    <row r="122" spans="1:17" x14ac:dyDescent="0.15">
      <c r="D122" s="16" t="s">
        <v>376</v>
      </c>
      <c r="E122" s="61">
        <f t="shared" si="0"/>
        <v>4</v>
      </c>
      <c r="F122" s="14"/>
      <c r="J122" s="17"/>
    </row>
    <row r="123" spans="1:17" x14ac:dyDescent="0.15">
      <c r="D123" s="16" t="s">
        <v>379</v>
      </c>
      <c r="E123" s="61">
        <f t="shared" si="0"/>
        <v>5</v>
      </c>
      <c r="F123" s="14" t="s">
        <v>380</v>
      </c>
      <c r="J123" s="17"/>
    </row>
    <row r="124" spans="1:17" x14ac:dyDescent="0.15">
      <c r="D124" s="123" t="s">
        <v>377</v>
      </c>
      <c r="E124" s="63">
        <f t="shared" si="0"/>
        <v>5</v>
      </c>
      <c r="F124" s="14"/>
      <c r="J124" s="17"/>
    </row>
    <row r="125" spans="1:17" x14ac:dyDescent="0.15">
      <c r="J125" s="17"/>
      <c r="K125" s="17" t="str">
        <f t="array" ref="K125:O125">SSRAllele(E125)</f>
        <v/>
      </c>
      <c r="L125" s="17" t="str">
        <v/>
      </c>
      <c r="M125" s="17" t="str">
        <v/>
      </c>
      <c r="N125" s="17" t="str">
        <v/>
      </c>
      <c r="O125" s="17" t="str">
        <v/>
      </c>
    </row>
    <row r="127" spans="1:17" x14ac:dyDescent="0.15">
      <c r="A127" s="66" t="s">
        <v>410</v>
      </c>
      <c r="B127" s="67" t="s">
        <v>617</v>
      </c>
      <c r="C127" s="67"/>
      <c r="D127" s="67"/>
      <c r="E127" s="67"/>
      <c r="F127" s="68"/>
      <c r="G127" s="67"/>
      <c r="H127" s="67"/>
      <c r="I127" s="68"/>
      <c r="J127" s="67"/>
      <c r="K127" s="68"/>
      <c r="L127" s="67"/>
      <c r="M127" s="68"/>
      <c r="N127" s="67"/>
      <c r="O127" s="67"/>
      <c r="P127" s="67"/>
      <c r="Q127" s="67"/>
    </row>
    <row r="128" spans="1:17" x14ac:dyDescent="0.15">
      <c r="B128" s="14" t="s">
        <v>618</v>
      </c>
    </row>
    <row r="129" spans="2:14" x14ac:dyDescent="0.15">
      <c r="B129" s="14" t="s">
        <v>619</v>
      </c>
    </row>
    <row r="130" spans="2:14" x14ac:dyDescent="0.15">
      <c r="B130" s="14" t="s">
        <v>620</v>
      </c>
    </row>
    <row r="132" spans="2:14" x14ac:dyDescent="0.15">
      <c r="C132" s="69" t="s">
        <v>879</v>
      </c>
      <c r="D132" s="70" t="s">
        <v>1490</v>
      </c>
      <c r="E132" s="59"/>
      <c r="F132" s="58"/>
      <c r="G132" s="71"/>
      <c r="H132" s="17"/>
      <c r="I132" s="14"/>
      <c r="J132" s="186" t="s">
        <v>879</v>
      </c>
      <c r="K132" s="187" t="s">
        <v>1491</v>
      </c>
      <c r="L132" s="188"/>
      <c r="M132" s="186"/>
      <c r="N132" s="186"/>
    </row>
    <row r="133" spans="2:14" x14ac:dyDescent="0.15">
      <c r="C133" s="72" t="s">
        <v>886</v>
      </c>
      <c r="D133" s="32" t="s">
        <v>1475</v>
      </c>
      <c r="E133" s="61"/>
      <c r="F133" s="32"/>
      <c r="G133" s="73"/>
      <c r="H133" s="17"/>
      <c r="I133" s="14"/>
      <c r="J133" s="51" t="s">
        <v>886</v>
      </c>
      <c r="K133" s="51" t="s">
        <v>1492</v>
      </c>
      <c r="L133" s="52"/>
      <c r="M133" s="51"/>
      <c r="N133" s="51"/>
    </row>
    <row r="134" spans="2:14" x14ac:dyDescent="0.15">
      <c r="C134" s="74" t="s">
        <v>887</v>
      </c>
      <c r="D134" s="62" t="s">
        <v>1049</v>
      </c>
      <c r="E134" s="63"/>
      <c r="F134" s="62"/>
      <c r="G134" s="75"/>
      <c r="H134" s="17"/>
      <c r="I134" s="14"/>
      <c r="J134" s="189" t="s">
        <v>887</v>
      </c>
      <c r="K134" s="189" t="s">
        <v>1049</v>
      </c>
      <c r="L134" s="95"/>
      <c r="M134" s="189"/>
      <c r="N134" s="189"/>
    </row>
    <row r="136" spans="2:14" x14ac:dyDescent="0.15">
      <c r="C136" s="182"/>
      <c r="D136" s="185" t="s">
        <v>386</v>
      </c>
      <c r="E136" s="129"/>
      <c r="I136" s="14"/>
      <c r="J136" s="182"/>
      <c r="K136" s="185" t="s">
        <v>637</v>
      </c>
      <c r="L136" s="129"/>
      <c r="M136" s="14"/>
    </row>
    <row r="137" spans="2:14" x14ac:dyDescent="0.15">
      <c r="C137" s="80" t="s">
        <v>374</v>
      </c>
      <c r="D137" s="80" t="s">
        <v>169</v>
      </c>
      <c r="E137" s="13"/>
      <c r="F137" s="80"/>
      <c r="G137" s="13"/>
      <c r="H137" s="13"/>
      <c r="I137" s="14"/>
      <c r="J137" s="80" t="s">
        <v>388</v>
      </c>
      <c r="K137" s="80" t="s">
        <v>169</v>
      </c>
      <c r="L137" s="13"/>
      <c r="M137" s="80"/>
      <c r="N137" s="13"/>
    </row>
    <row r="138" spans="2:14" x14ac:dyDescent="0.15">
      <c r="C138" s="16">
        <v>100</v>
      </c>
      <c r="D138" s="59" t="str">
        <f t="array" ref="D138:H138">SSRAllele(C138)</f>
        <v>100</v>
      </c>
      <c r="E138" s="59" t="str">
        <v>#N/A</v>
      </c>
      <c r="F138" s="59" t="e">
        <v>#N/A</v>
      </c>
      <c r="G138" s="59" t="e">
        <v>#N/A</v>
      </c>
      <c r="H138" s="59" t="e">
        <v>#N/A</v>
      </c>
      <c r="I138" s="14"/>
      <c r="J138" s="17" t="s">
        <v>384</v>
      </c>
      <c r="K138" s="17" t="str">
        <f t="array" ref="K138:L138">SNPAllele(J138)</f>
        <v>C</v>
      </c>
      <c r="L138" s="17" t="str">
        <v>T</v>
      </c>
    </row>
    <row r="139" spans="2:14" x14ac:dyDescent="0.15">
      <c r="C139" s="16" t="s">
        <v>387</v>
      </c>
      <c r="D139" s="61" t="str">
        <f t="array" ref="D139:H139">SSRAllele(C139)</f>
        <v>110</v>
      </c>
      <c r="E139" s="61" t="str">
        <v>120</v>
      </c>
      <c r="F139" s="61" t="e">
        <v>#N/A</v>
      </c>
      <c r="G139" s="61" t="e">
        <v>#N/A</v>
      </c>
      <c r="H139" s="61" t="e">
        <v>#N/A</v>
      </c>
      <c r="I139" s="14"/>
      <c r="J139" s="17" t="s">
        <v>366</v>
      </c>
      <c r="K139" s="17" t="str">
        <f t="array" ref="K139:L139">SNPAllele(J139)</f>
        <v>A</v>
      </c>
      <c r="L139" s="17" t="str">
        <v>C</v>
      </c>
    </row>
    <row r="140" spans="2:14" x14ac:dyDescent="0.15">
      <c r="C140" s="16" t="s">
        <v>375</v>
      </c>
      <c r="D140" s="61" t="str">
        <f t="array" ref="D140:H140">SSRAllele(C140)</f>
        <v>100</v>
      </c>
      <c r="E140" s="61" t="str">
        <v>110</v>
      </c>
      <c r="F140" s="61" t="str">
        <v>120</v>
      </c>
      <c r="G140" s="61" t="e">
        <v>#N/A</v>
      </c>
      <c r="H140" s="61" t="e">
        <v>#N/A</v>
      </c>
      <c r="I140" s="14"/>
      <c r="J140" s="17" t="s">
        <v>383</v>
      </c>
      <c r="K140" s="17" t="str">
        <f t="array" ref="K140:L140">SNPAllele(J140)</f>
        <v>G</v>
      </c>
      <c r="L140" s="17" t="str">
        <v>A</v>
      </c>
    </row>
    <row r="141" spans="2:14" x14ac:dyDescent="0.15">
      <c r="C141" s="16" t="s">
        <v>376</v>
      </c>
      <c r="D141" s="61" t="str">
        <f t="array" ref="D141:H141">SSRAllele(C141)</f>
        <v>100</v>
      </c>
      <c r="E141" s="61" t="str">
        <v>110</v>
      </c>
      <c r="F141" s="61" t="str">
        <v>120</v>
      </c>
      <c r="G141" s="61" t="str">
        <v>130</v>
      </c>
      <c r="H141" s="61" t="e">
        <v>#N/A</v>
      </c>
      <c r="I141" s="14"/>
      <c r="J141" s="17" t="s">
        <v>44</v>
      </c>
      <c r="K141" s="17" t="str">
        <f t="array" ref="K141:L141">SNPAllele(J141)</f>
        <v>A</v>
      </c>
      <c r="L141" s="17" t="str">
        <v>C</v>
      </c>
    </row>
    <row r="142" spans="2:14" x14ac:dyDescent="0.15">
      <c r="C142" s="16" t="s">
        <v>379</v>
      </c>
      <c r="D142" s="61" t="str">
        <f t="array" ref="D142:H142">SSRAllele(C142)</f>
        <v>100</v>
      </c>
      <c r="E142" s="61" t="str">
        <v>110</v>
      </c>
      <c r="F142" s="61" t="str">
        <v/>
      </c>
      <c r="G142" s="61" t="str">
        <v>120</v>
      </c>
      <c r="H142" s="61" t="str">
        <v>130</v>
      </c>
      <c r="I142" s="14"/>
      <c r="J142" s="17" t="s">
        <v>389</v>
      </c>
      <c r="K142" s="17" t="str">
        <f t="array" ref="K142:N142">SNPAllele(J142)</f>
        <v>A</v>
      </c>
      <c r="L142" s="17" t="str">
        <v>G</v>
      </c>
      <c r="M142" s="17" t="str">
        <v>#N/A</v>
      </c>
      <c r="N142" s="17" t="e">
        <v>#N/A</v>
      </c>
    </row>
    <row r="143" spans="2:14" x14ac:dyDescent="0.15">
      <c r="C143" s="123" t="s">
        <v>377</v>
      </c>
      <c r="D143" s="63" t="str">
        <f t="array" ref="D143:H143">SSRAllele(C143)</f>
        <v>100</v>
      </c>
      <c r="E143" s="63" t="str">
        <v>110</v>
      </c>
      <c r="F143" s="63" t="str">
        <v>120</v>
      </c>
      <c r="G143" s="63" t="str">
        <v>130</v>
      </c>
      <c r="H143" s="63" t="str">
        <v>140</v>
      </c>
      <c r="I143" s="14"/>
      <c r="J143" s="63" t="s">
        <v>385</v>
      </c>
      <c r="K143" s="63" t="str">
        <f t="array" ref="K143:N143">SNPAllele(J143)</f>
        <v>A</v>
      </c>
      <c r="L143" s="63" t="str">
        <v>C</v>
      </c>
      <c r="M143" s="63" t="str">
        <v>G</v>
      </c>
      <c r="N143" s="63" t="str">
        <v>T</v>
      </c>
    </row>
    <row r="144" spans="2:14" x14ac:dyDescent="0.15">
      <c r="D144" s="17"/>
      <c r="E144" s="17"/>
      <c r="G144" s="17"/>
      <c r="I144" s="14"/>
    </row>
    <row r="146" spans="1:17" x14ac:dyDescent="0.15">
      <c r="A146" s="66" t="s">
        <v>452</v>
      </c>
      <c r="B146" s="67" t="s">
        <v>1160</v>
      </c>
      <c r="C146" s="67"/>
      <c r="D146" s="67"/>
      <c r="E146" s="67"/>
      <c r="F146" s="68"/>
      <c r="G146" s="67"/>
      <c r="H146" s="67"/>
      <c r="I146" s="68"/>
      <c r="J146" s="67"/>
      <c r="K146" s="68"/>
      <c r="L146" s="67"/>
      <c r="M146" s="68"/>
      <c r="N146" s="67"/>
      <c r="O146" s="67"/>
      <c r="P146" s="67"/>
      <c r="Q146" s="67"/>
    </row>
    <row r="147" spans="1:17" x14ac:dyDescent="0.15">
      <c r="B147" s="14" t="s">
        <v>672</v>
      </c>
    </row>
    <row r="148" spans="1:17" x14ac:dyDescent="0.15">
      <c r="B148" s="14" t="s">
        <v>673</v>
      </c>
    </row>
    <row r="149" spans="1:17" x14ac:dyDescent="0.15">
      <c r="B149" s="14" t="s">
        <v>674</v>
      </c>
    </row>
    <row r="151" spans="1:17" x14ac:dyDescent="0.15">
      <c r="C151" s="69" t="s">
        <v>879</v>
      </c>
      <c r="D151" s="70" t="s">
        <v>1493</v>
      </c>
      <c r="E151" s="59"/>
      <c r="F151" s="58"/>
      <c r="G151" s="71"/>
      <c r="J151" s="69" t="s">
        <v>879</v>
      </c>
      <c r="K151" s="70" t="s">
        <v>1494</v>
      </c>
      <c r="L151" s="59"/>
      <c r="M151" s="58"/>
      <c r="N151" s="71"/>
    </row>
    <row r="152" spans="1:17" x14ac:dyDescent="0.15">
      <c r="C152" s="72" t="s">
        <v>1042</v>
      </c>
      <c r="D152" s="32" t="s">
        <v>1495</v>
      </c>
      <c r="E152" s="61"/>
      <c r="F152" s="32"/>
      <c r="G152" s="73"/>
      <c r="J152" s="72" t="s">
        <v>1042</v>
      </c>
      <c r="K152" s="32" t="s">
        <v>1496</v>
      </c>
      <c r="L152" s="61"/>
      <c r="M152" s="32"/>
      <c r="N152" s="73"/>
    </row>
    <row r="153" spans="1:17" x14ac:dyDescent="0.15">
      <c r="C153" s="74" t="s">
        <v>887</v>
      </c>
      <c r="D153" s="62" t="s">
        <v>1050</v>
      </c>
      <c r="E153" s="63"/>
      <c r="F153" s="62"/>
      <c r="G153" s="75"/>
      <c r="J153" s="74" t="s">
        <v>887</v>
      </c>
      <c r="K153" s="62" t="s">
        <v>1050</v>
      </c>
      <c r="L153" s="63"/>
      <c r="M153" s="62"/>
      <c r="N153" s="75"/>
    </row>
    <row r="155" spans="1:17" x14ac:dyDescent="0.15">
      <c r="C155" s="112" t="s">
        <v>55</v>
      </c>
      <c r="D155" s="112" t="s">
        <v>55</v>
      </c>
      <c r="E155" s="190" t="s">
        <v>1047</v>
      </c>
      <c r="F155" s="14"/>
      <c r="H155" s="17"/>
      <c r="J155" s="112" t="s">
        <v>64</v>
      </c>
      <c r="K155" s="112" t="s">
        <v>65</v>
      </c>
      <c r="L155" s="190" t="s">
        <v>1048</v>
      </c>
      <c r="M155" s="14"/>
    </row>
    <row r="156" spans="1:17" x14ac:dyDescent="0.15">
      <c r="C156" s="17" t="s">
        <v>7</v>
      </c>
      <c r="D156" s="61" t="s">
        <v>52</v>
      </c>
      <c r="E156" s="191" t="str">
        <f>SSRSharedAllele(C156,D156)</f>
        <v/>
      </c>
      <c r="F156" s="14"/>
      <c r="H156" s="17"/>
      <c r="J156" s="17" t="s">
        <v>96</v>
      </c>
      <c r="K156" s="17" t="s">
        <v>97</v>
      </c>
      <c r="L156" s="192" t="str">
        <f>SNPSharedAllele(J156,K156)</f>
        <v>A</v>
      </c>
      <c r="M156" s="14"/>
    </row>
    <row r="157" spans="1:17" x14ac:dyDescent="0.15">
      <c r="C157" s="17" t="s">
        <v>6</v>
      </c>
      <c r="D157" s="17" t="s">
        <v>7</v>
      </c>
      <c r="E157" s="191" t="str">
        <f t="shared" ref="E157:E162" si="1">SSRSharedAllele(C157,D157)</f>
        <v>100</v>
      </c>
      <c r="F157" s="14"/>
      <c r="H157" s="17"/>
      <c r="J157" s="17" t="s">
        <v>95</v>
      </c>
      <c r="K157" s="17" t="s">
        <v>98</v>
      </c>
      <c r="L157" s="193" t="str">
        <f>SNPSharedAllele(J157,K157)</f>
        <v/>
      </c>
      <c r="M157" s="14"/>
    </row>
    <row r="158" spans="1:17" x14ac:dyDescent="0.15">
      <c r="C158" s="17" t="s">
        <v>50</v>
      </c>
      <c r="D158" s="17" t="s">
        <v>7</v>
      </c>
      <c r="E158" s="191" t="str">
        <f t="shared" si="1"/>
        <v/>
      </c>
      <c r="F158" s="14"/>
      <c r="H158" s="17"/>
      <c r="J158" s="17" t="s">
        <v>8</v>
      </c>
      <c r="K158" s="17" t="s">
        <v>63</v>
      </c>
      <c r="L158" s="193" t="str">
        <f>SNPSharedAllele(J158,K158)</f>
        <v>B</v>
      </c>
      <c r="M158" s="14"/>
    </row>
    <row r="159" spans="1:17" x14ac:dyDescent="0.15">
      <c r="C159" s="17" t="s">
        <v>52</v>
      </c>
      <c r="D159" s="17" t="s">
        <v>50</v>
      </c>
      <c r="E159" s="191" t="str">
        <f t="shared" si="1"/>
        <v>110</v>
      </c>
      <c r="F159" s="14"/>
      <c r="H159" s="17"/>
      <c r="J159" s="17" t="s">
        <v>63</v>
      </c>
      <c r="K159" s="17" t="s">
        <v>8</v>
      </c>
      <c r="L159" s="193" t="str">
        <f>SNPSharedAllele(J159,K159)</f>
        <v>B</v>
      </c>
      <c r="M159" s="14"/>
    </row>
    <row r="160" spans="1:17" x14ac:dyDescent="0.15">
      <c r="C160" s="17" t="s">
        <v>52</v>
      </c>
      <c r="D160" s="17" t="s">
        <v>52</v>
      </c>
      <c r="E160" s="191" t="str">
        <f t="shared" si="1"/>
        <v>110</v>
      </c>
      <c r="F160" s="14"/>
      <c r="H160" s="17"/>
      <c r="J160" s="63" t="s">
        <v>99</v>
      </c>
      <c r="K160" s="63" t="s">
        <v>166</v>
      </c>
      <c r="L160" s="194" t="str">
        <f>SNPSharedAllele(J160,K160)</f>
        <v/>
      </c>
      <c r="M160" s="14"/>
    </row>
    <row r="161" spans="3:13" x14ac:dyDescent="0.15">
      <c r="C161" s="17" t="s">
        <v>52</v>
      </c>
      <c r="D161" s="17" t="s">
        <v>100</v>
      </c>
      <c r="E161" s="191" t="str">
        <f t="shared" si="1"/>
        <v/>
      </c>
      <c r="F161" s="14"/>
      <c r="H161" s="17"/>
      <c r="I161" s="14"/>
      <c r="J161" s="17"/>
      <c r="K161" s="14"/>
      <c r="L161" s="17"/>
      <c r="M161" s="14"/>
    </row>
    <row r="162" spans="3:13" x14ac:dyDescent="0.15">
      <c r="C162" s="63" t="s">
        <v>52</v>
      </c>
      <c r="D162" s="63" t="s">
        <v>52</v>
      </c>
      <c r="E162" s="194" t="str">
        <f t="shared" si="1"/>
        <v>110</v>
      </c>
      <c r="F162" s="14"/>
      <c r="H162" s="17"/>
      <c r="I162" s="14"/>
      <c r="J162" s="17"/>
      <c r="K162" s="14"/>
      <c r="L162" s="17"/>
      <c r="M162" s="14"/>
    </row>
  </sheetData>
  <mergeCells count="12">
    <mergeCell ref="B5:J5"/>
    <mergeCell ref="D17:E17"/>
    <mergeCell ref="J17:K17"/>
    <mergeCell ref="D36:E36"/>
    <mergeCell ref="J36:K36"/>
    <mergeCell ref="D97:G97"/>
    <mergeCell ref="J97:L97"/>
    <mergeCell ref="D55:E55"/>
    <mergeCell ref="J55:K55"/>
    <mergeCell ref="J76:L76"/>
    <mergeCell ref="D76:G76"/>
    <mergeCell ref="B67:L67"/>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182"/>
  <sheetViews>
    <sheetView topLeftCell="A81" workbookViewId="0">
      <selection activeCell="N149" sqref="N149"/>
    </sheetView>
  </sheetViews>
  <sheetFormatPr defaultColWidth="9" defaultRowHeight="15.75" x14ac:dyDescent="0.15"/>
  <cols>
    <col min="1" max="1" width="9" style="16" customWidth="1"/>
    <col min="2" max="5" width="9" style="144"/>
    <col min="6" max="6" width="9" style="17"/>
    <col min="7" max="7" width="11.75" style="144" customWidth="1"/>
    <col min="8" max="8" width="11.375" style="144" customWidth="1"/>
    <col min="9" max="9" width="9" style="17"/>
    <col min="10" max="10" width="9" style="144"/>
    <col min="11" max="11" width="9" style="17"/>
    <col min="12" max="12" width="9" style="144"/>
    <col min="13" max="13" width="9" style="17"/>
    <col min="14" max="14" width="12.625" style="144" customWidth="1"/>
    <col min="15" max="16384" width="9" style="144"/>
  </cols>
  <sheetData>
    <row r="1" spans="1:17" ht="21" x14ac:dyDescent="0.15">
      <c r="A1" s="254" t="s">
        <v>129</v>
      </c>
      <c r="I1" s="17" t="s">
        <v>130</v>
      </c>
      <c r="J1" s="144" t="str">
        <f>GUGS()</f>
        <v>GUGS: ver. 1.00</v>
      </c>
      <c r="K1" s="144"/>
    </row>
    <row r="3" spans="1:17" x14ac:dyDescent="0.15">
      <c r="A3" s="47" t="s">
        <v>1220</v>
      </c>
      <c r="B3" s="145"/>
      <c r="C3" s="145"/>
      <c r="D3" s="145"/>
      <c r="E3" s="145"/>
      <c r="F3" s="49"/>
      <c r="G3" s="145"/>
      <c r="H3" s="145"/>
      <c r="I3" s="49"/>
      <c r="J3" s="145"/>
      <c r="K3" s="49"/>
      <c r="L3" s="145"/>
      <c r="M3" s="49"/>
      <c r="N3" s="145"/>
      <c r="O3" s="145"/>
      <c r="P3" s="145"/>
      <c r="Q3" s="145"/>
    </row>
    <row r="5" spans="1:17" ht="54.75" customHeight="1" x14ac:dyDescent="0.15">
      <c r="B5" s="277" t="s">
        <v>1562</v>
      </c>
      <c r="C5" s="277"/>
      <c r="D5" s="277"/>
      <c r="E5" s="277"/>
      <c r="F5" s="277"/>
      <c r="G5" s="277"/>
      <c r="H5" s="277"/>
      <c r="I5" s="277"/>
      <c r="J5" s="277"/>
      <c r="K5" s="146"/>
    </row>
    <row r="7" spans="1:17" x14ac:dyDescent="0.15">
      <c r="A7" s="144"/>
      <c r="B7" s="144" t="s">
        <v>373</v>
      </c>
      <c r="F7" s="144"/>
      <c r="I7" s="144"/>
      <c r="K7" s="144"/>
      <c r="M7" s="144"/>
    </row>
    <row r="8" spans="1:17" x14ac:dyDescent="0.15">
      <c r="A8" s="66" t="s">
        <v>395</v>
      </c>
      <c r="B8" s="177" t="s">
        <v>1563</v>
      </c>
      <c r="C8" s="177"/>
      <c r="D8" s="177"/>
      <c r="E8" s="177"/>
      <c r="F8" s="68"/>
      <c r="G8" s="177"/>
      <c r="H8" s="177"/>
      <c r="I8" s="68"/>
      <c r="J8" s="177"/>
      <c r="K8" s="68"/>
      <c r="L8" s="177"/>
      <c r="M8" s="68"/>
      <c r="N8" s="177"/>
      <c r="O8" s="177"/>
      <c r="P8" s="177"/>
      <c r="Q8" s="177"/>
    </row>
    <row r="9" spans="1:17" x14ac:dyDescent="0.15">
      <c r="B9" s="144" t="s">
        <v>1177</v>
      </c>
    </row>
    <row r="11" spans="1:17" x14ac:dyDescent="0.15">
      <c r="B11" s="147" t="s">
        <v>879</v>
      </c>
      <c r="C11" s="148"/>
      <c r="D11" s="149" t="s">
        <v>1441</v>
      </c>
      <c r="E11" s="148"/>
      <c r="F11" s="148"/>
      <c r="G11" s="148"/>
      <c r="H11" s="148"/>
      <c r="I11" s="150"/>
    </row>
    <row r="12" spans="1:17" x14ac:dyDescent="0.15">
      <c r="B12" s="151" t="s">
        <v>1042</v>
      </c>
      <c r="C12" s="152"/>
      <c r="D12" s="152" t="s">
        <v>1442</v>
      </c>
      <c r="E12" s="152"/>
      <c r="F12" s="152"/>
      <c r="G12" s="152"/>
      <c r="H12" s="152"/>
      <c r="I12" s="153"/>
    </row>
    <row r="13" spans="1:17" x14ac:dyDescent="0.15">
      <c r="B13" s="154" t="s">
        <v>887</v>
      </c>
      <c r="C13" s="155"/>
      <c r="D13" s="155" t="s">
        <v>1163</v>
      </c>
      <c r="E13" s="155"/>
      <c r="F13" s="155"/>
      <c r="G13" s="155"/>
      <c r="H13" s="155"/>
      <c r="I13" s="156"/>
    </row>
    <row r="14" spans="1:17" x14ac:dyDescent="0.15">
      <c r="I14" s="144"/>
    </row>
    <row r="15" spans="1:17" x14ac:dyDescent="0.15">
      <c r="B15" s="147" t="s">
        <v>879</v>
      </c>
      <c r="C15" s="148"/>
      <c r="D15" s="149" t="s">
        <v>1443</v>
      </c>
      <c r="E15" s="148"/>
      <c r="F15" s="148"/>
      <c r="G15" s="148"/>
      <c r="H15" s="148"/>
      <c r="I15" s="150"/>
    </row>
    <row r="16" spans="1:17" x14ac:dyDescent="0.15">
      <c r="B16" s="151" t="s">
        <v>1042</v>
      </c>
      <c r="C16" s="152"/>
      <c r="D16" s="152" t="s">
        <v>1444</v>
      </c>
      <c r="E16" s="152"/>
      <c r="F16" s="152"/>
      <c r="G16" s="152"/>
      <c r="H16" s="152"/>
      <c r="I16" s="153"/>
    </row>
    <row r="17" spans="1:17" x14ac:dyDescent="0.15">
      <c r="B17" s="154" t="s">
        <v>887</v>
      </c>
      <c r="C17" s="155"/>
      <c r="D17" s="155" t="s">
        <v>1164</v>
      </c>
      <c r="E17" s="155"/>
      <c r="F17" s="155"/>
      <c r="G17" s="155"/>
      <c r="H17" s="155"/>
      <c r="I17" s="156"/>
    </row>
    <row r="18" spans="1:17" x14ac:dyDescent="0.15">
      <c r="D18" s="157"/>
    </row>
    <row r="19" spans="1:17" x14ac:dyDescent="0.15">
      <c r="E19" s="17"/>
      <c r="F19" s="144"/>
      <c r="H19" s="17"/>
      <c r="I19" s="144"/>
      <c r="J19" s="17"/>
    </row>
    <row r="20" spans="1:17" x14ac:dyDescent="0.15">
      <c r="A20" s="66" t="s">
        <v>396</v>
      </c>
      <c r="B20" s="177" t="s">
        <v>1572</v>
      </c>
      <c r="C20" s="177"/>
      <c r="D20" s="177"/>
      <c r="E20" s="68"/>
      <c r="F20" s="177"/>
      <c r="G20" s="177"/>
      <c r="H20" s="68"/>
      <c r="I20" s="177"/>
      <c r="J20" s="68"/>
      <c r="K20" s="68"/>
      <c r="L20" s="177"/>
      <c r="M20" s="68"/>
      <c r="N20" s="177"/>
      <c r="O20" s="177"/>
      <c r="P20" s="177"/>
      <c r="Q20" s="177"/>
    </row>
    <row r="21" spans="1:17" x14ac:dyDescent="0.15">
      <c r="B21" s="144" t="s">
        <v>675</v>
      </c>
      <c r="E21" s="17"/>
      <c r="F21" s="144"/>
      <c r="H21" s="17"/>
      <c r="I21" s="144"/>
      <c r="J21" s="17"/>
    </row>
    <row r="22" spans="1:17" x14ac:dyDescent="0.15">
      <c r="E22" s="17"/>
      <c r="F22" s="144"/>
      <c r="H22" s="17"/>
      <c r="I22" s="144"/>
      <c r="J22" s="17"/>
    </row>
    <row r="23" spans="1:17" x14ac:dyDescent="0.15">
      <c r="B23" s="147" t="s">
        <v>879</v>
      </c>
      <c r="C23" s="148"/>
      <c r="D23" s="149" t="s">
        <v>1445</v>
      </c>
      <c r="E23" s="148"/>
      <c r="F23" s="148"/>
      <c r="G23" s="148"/>
      <c r="H23" s="148"/>
      <c r="I23" s="150"/>
      <c r="J23" s="17"/>
    </row>
    <row r="24" spans="1:17" x14ac:dyDescent="0.15">
      <c r="B24" s="151" t="s">
        <v>1042</v>
      </c>
      <c r="C24" s="152"/>
      <c r="D24" s="152" t="s">
        <v>1446</v>
      </c>
      <c r="E24" s="152"/>
      <c r="F24" s="152"/>
      <c r="G24" s="152"/>
      <c r="H24" s="152"/>
      <c r="I24" s="153"/>
      <c r="J24" s="17"/>
    </row>
    <row r="25" spans="1:17" x14ac:dyDescent="0.15">
      <c r="B25" s="151"/>
      <c r="C25" s="152"/>
      <c r="D25" s="152" t="s">
        <v>1447</v>
      </c>
      <c r="E25" s="152"/>
      <c r="F25" s="61"/>
      <c r="G25" s="152"/>
      <c r="H25" s="152"/>
      <c r="I25" s="153"/>
    </row>
    <row r="26" spans="1:17" x14ac:dyDescent="0.15">
      <c r="B26" s="151"/>
      <c r="C26" s="152"/>
      <c r="D26" s="152" t="s">
        <v>1448</v>
      </c>
      <c r="E26" s="152"/>
      <c r="F26" s="61"/>
      <c r="G26" s="152"/>
      <c r="H26" s="152"/>
      <c r="I26" s="153"/>
    </row>
    <row r="27" spans="1:17" x14ac:dyDescent="0.15">
      <c r="B27" s="154" t="s">
        <v>887</v>
      </c>
      <c r="C27" s="155"/>
      <c r="D27" s="155" t="s">
        <v>1051</v>
      </c>
      <c r="E27" s="155"/>
      <c r="F27" s="155"/>
      <c r="G27" s="155"/>
      <c r="H27" s="155"/>
      <c r="I27" s="156"/>
      <c r="J27" s="17"/>
    </row>
    <row r="28" spans="1:17" x14ac:dyDescent="0.15">
      <c r="I28" s="144"/>
      <c r="J28" s="17"/>
    </row>
    <row r="29" spans="1:17" x14ac:dyDescent="0.15">
      <c r="B29" s="147" t="s">
        <v>879</v>
      </c>
      <c r="C29" s="148"/>
      <c r="D29" s="149" t="s">
        <v>1449</v>
      </c>
      <c r="E29" s="148"/>
      <c r="F29" s="148"/>
      <c r="G29" s="148"/>
      <c r="H29" s="148"/>
      <c r="I29" s="150"/>
      <c r="J29" s="17"/>
    </row>
    <row r="30" spans="1:17" x14ac:dyDescent="0.15">
      <c r="B30" s="151" t="s">
        <v>1042</v>
      </c>
      <c r="C30" s="152"/>
      <c r="D30" s="152" t="s">
        <v>1450</v>
      </c>
      <c r="E30" s="152"/>
      <c r="F30" s="152"/>
      <c r="G30" s="152"/>
      <c r="H30" s="152"/>
      <c r="I30" s="153"/>
      <c r="J30" s="17"/>
    </row>
    <row r="31" spans="1:17" x14ac:dyDescent="0.15">
      <c r="B31" s="151"/>
      <c r="C31" s="152"/>
      <c r="D31" s="152" t="s">
        <v>1447</v>
      </c>
      <c r="E31" s="152"/>
      <c r="F31" s="61"/>
      <c r="G31" s="152"/>
      <c r="H31" s="152"/>
      <c r="I31" s="153"/>
    </row>
    <row r="32" spans="1:17" x14ac:dyDescent="0.15">
      <c r="B32" s="151"/>
      <c r="C32" s="152"/>
      <c r="D32" s="152" t="s">
        <v>1451</v>
      </c>
      <c r="E32" s="61"/>
      <c r="F32" s="152"/>
      <c r="G32" s="152"/>
      <c r="H32" s="61"/>
      <c r="I32" s="158"/>
      <c r="J32" s="17"/>
    </row>
    <row r="33" spans="1:17" x14ac:dyDescent="0.15">
      <c r="B33" s="154" t="s">
        <v>887</v>
      </c>
      <c r="C33" s="155"/>
      <c r="D33" s="155" t="s">
        <v>1052</v>
      </c>
      <c r="E33" s="155"/>
      <c r="F33" s="155"/>
      <c r="G33" s="155"/>
      <c r="H33" s="155"/>
      <c r="I33" s="156"/>
      <c r="J33" s="17"/>
    </row>
    <row r="34" spans="1:17" x14ac:dyDescent="0.15">
      <c r="E34" s="17"/>
      <c r="F34" s="144"/>
      <c r="H34" s="17"/>
      <c r="I34" s="144"/>
      <c r="J34" s="17"/>
    </row>
    <row r="35" spans="1:17" x14ac:dyDescent="0.15">
      <c r="E35" s="17"/>
      <c r="F35" s="144"/>
      <c r="H35" s="17"/>
      <c r="I35" s="144"/>
      <c r="J35" s="17"/>
    </row>
    <row r="36" spans="1:17" x14ac:dyDescent="0.15">
      <c r="A36" s="66" t="s">
        <v>397</v>
      </c>
      <c r="B36" s="177" t="s">
        <v>1564</v>
      </c>
      <c r="C36" s="177"/>
      <c r="D36" s="177"/>
      <c r="E36" s="68"/>
      <c r="F36" s="177"/>
      <c r="G36" s="177"/>
      <c r="H36" s="68"/>
      <c r="I36" s="177"/>
      <c r="J36" s="68"/>
      <c r="K36" s="68"/>
      <c r="L36" s="177"/>
      <c r="M36" s="68"/>
      <c r="N36" s="177"/>
      <c r="O36" s="177"/>
      <c r="P36" s="177"/>
      <c r="Q36" s="177"/>
    </row>
    <row r="37" spans="1:17" x14ac:dyDescent="0.15">
      <c r="B37" s="144" t="s">
        <v>1166</v>
      </c>
      <c r="E37" s="17"/>
      <c r="F37" s="144"/>
      <c r="H37" s="17"/>
      <c r="I37" s="144"/>
      <c r="J37" s="17"/>
    </row>
    <row r="38" spans="1:17" x14ac:dyDescent="0.15">
      <c r="E38" s="17"/>
      <c r="F38" s="144"/>
      <c r="H38" s="17"/>
      <c r="I38" s="144"/>
      <c r="J38" s="17"/>
    </row>
    <row r="39" spans="1:17" x14ac:dyDescent="0.15">
      <c r="B39" s="147" t="s">
        <v>879</v>
      </c>
      <c r="C39" s="148"/>
      <c r="D39" s="149" t="s">
        <v>1452</v>
      </c>
      <c r="E39" s="148"/>
      <c r="F39" s="148"/>
      <c r="G39" s="148"/>
      <c r="H39" s="148"/>
      <c r="I39" s="150"/>
      <c r="J39" s="17"/>
    </row>
    <row r="40" spans="1:17" x14ac:dyDescent="0.15">
      <c r="B40" s="151" t="s">
        <v>1042</v>
      </c>
      <c r="C40" s="152"/>
      <c r="D40" s="152" t="s">
        <v>1446</v>
      </c>
      <c r="E40" s="152"/>
      <c r="F40" s="152"/>
      <c r="G40" s="152"/>
      <c r="H40" s="152"/>
      <c r="I40" s="153"/>
      <c r="J40" s="17"/>
    </row>
    <row r="41" spans="1:17" x14ac:dyDescent="0.15">
      <c r="B41" s="154" t="s">
        <v>887</v>
      </c>
      <c r="C41" s="155"/>
      <c r="D41" s="155" t="s">
        <v>1165</v>
      </c>
      <c r="E41" s="155"/>
      <c r="F41" s="155"/>
      <c r="G41" s="155"/>
      <c r="H41" s="155"/>
      <c r="I41" s="156"/>
      <c r="J41" s="17"/>
    </row>
    <row r="42" spans="1:17" x14ac:dyDescent="0.15">
      <c r="I42" s="144"/>
      <c r="J42" s="17"/>
    </row>
    <row r="43" spans="1:17" x14ac:dyDescent="0.15">
      <c r="B43" s="147" t="s">
        <v>879</v>
      </c>
      <c r="C43" s="148"/>
      <c r="D43" s="149" t="s">
        <v>1453</v>
      </c>
      <c r="E43" s="148"/>
      <c r="F43" s="148"/>
      <c r="G43" s="148"/>
      <c r="H43" s="148"/>
      <c r="I43" s="150"/>
      <c r="J43" s="17"/>
    </row>
    <row r="44" spans="1:17" x14ac:dyDescent="0.15">
      <c r="B44" s="151" t="s">
        <v>1042</v>
      </c>
      <c r="C44" s="152"/>
      <c r="D44" s="152" t="s">
        <v>1444</v>
      </c>
      <c r="E44" s="152"/>
      <c r="F44" s="152"/>
      <c r="G44" s="152"/>
      <c r="H44" s="152"/>
      <c r="I44" s="153"/>
      <c r="J44" s="17"/>
    </row>
    <row r="45" spans="1:17" x14ac:dyDescent="0.15">
      <c r="B45" s="154" t="s">
        <v>887</v>
      </c>
      <c r="C45" s="155"/>
      <c r="D45" s="155" t="s">
        <v>1167</v>
      </c>
      <c r="E45" s="155"/>
      <c r="F45" s="155"/>
      <c r="G45" s="155"/>
      <c r="H45" s="155"/>
      <c r="I45" s="156"/>
      <c r="J45" s="17"/>
    </row>
    <row r="46" spans="1:17" x14ac:dyDescent="0.15">
      <c r="E46" s="17"/>
      <c r="F46" s="144"/>
      <c r="H46" s="17"/>
      <c r="I46" s="144"/>
      <c r="J46" s="17"/>
    </row>
    <row r="47" spans="1:17" x14ac:dyDescent="0.15">
      <c r="E47" s="17"/>
      <c r="F47" s="144"/>
      <c r="H47" s="17"/>
      <c r="I47" s="144"/>
      <c r="J47" s="17"/>
    </row>
    <row r="48" spans="1:17" x14ac:dyDescent="0.15">
      <c r="A48" s="66" t="s">
        <v>398</v>
      </c>
      <c r="B48" s="177" t="s">
        <v>1570</v>
      </c>
      <c r="C48" s="177"/>
      <c r="D48" s="177"/>
      <c r="E48" s="68"/>
      <c r="F48" s="177"/>
      <c r="G48" s="177"/>
      <c r="H48" s="68"/>
      <c r="I48" s="177"/>
      <c r="J48" s="68"/>
      <c r="K48" s="68"/>
      <c r="L48" s="177"/>
      <c r="M48" s="68"/>
      <c r="N48" s="177"/>
      <c r="O48" s="177"/>
      <c r="P48" s="177"/>
      <c r="Q48" s="177"/>
    </row>
    <row r="49" spans="1:17" x14ac:dyDescent="0.15">
      <c r="B49" s="144" t="s">
        <v>676</v>
      </c>
      <c r="E49" s="17"/>
      <c r="F49" s="144"/>
      <c r="H49" s="17"/>
      <c r="I49" s="144"/>
      <c r="J49" s="17"/>
    </row>
    <row r="50" spans="1:17" x14ac:dyDescent="0.15">
      <c r="E50" s="17"/>
      <c r="F50" s="144"/>
      <c r="H50" s="17"/>
      <c r="I50" s="144"/>
      <c r="J50" s="17"/>
    </row>
    <row r="51" spans="1:17" x14ac:dyDescent="0.15">
      <c r="B51" s="147" t="s">
        <v>879</v>
      </c>
      <c r="C51" s="148"/>
      <c r="D51" s="149" t="s">
        <v>1454</v>
      </c>
      <c r="E51" s="148"/>
      <c r="F51" s="148"/>
      <c r="G51" s="148"/>
      <c r="H51" s="148"/>
      <c r="I51" s="150"/>
      <c r="K51" s="144"/>
      <c r="M51" s="144"/>
    </row>
    <row r="52" spans="1:17" x14ac:dyDescent="0.15">
      <c r="B52" s="151" t="s">
        <v>1042</v>
      </c>
      <c r="C52" s="152"/>
      <c r="D52" s="152" t="s">
        <v>1446</v>
      </c>
      <c r="E52" s="152"/>
      <c r="F52" s="152"/>
      <c r="G52" s="152"/>
      <c r="H52" s="152"/>
      <c r="I52" s="153"/>
      <c r="K52" s="144"/>
      <c r="M52" s="144"/>
    </row>
    <row r="53" spans="1:17" x14ac:dyDescent="0.15">
      <c r="B53" s="151"/>
      <c r="C53" s="152"/>
      <c r="D53" s="152" t="s">
        <v>1448</v>
      </c>
      <c r="E53" s="152"/>
      <c r="F53" s="61"/>
      <c r="G53" s="152"/>
      <c r="H53" s="152"/>
      <c r="I53" s="153"/>
      <c r="K53" s="144"/>
      <c r="M53" s="144"/>
    </row>
    <row r="54" spans="1:17" x14ac:dyDescent="0.15">
      <c r="B54" s="154" t="s">
        <v>887</v>
      </c>
      <c r="C54" s="155"/>
      <c r="D54" s="155" t="s">
        <v>1053</v>
      </c>
      <c r="E54" s="155"/>
      <c r="F54" s="155"/>
      <c r="G54" s="155"/>
      <c r="H54" s="155"/>
      <c r="I54" s="156"/>
      <c r="K54" s="144"/>
      <c r="M54" s="144"/>
    </row>
    <row r="55" spans="1:17" x14ac:dyDescent="0.15">
      <c r="I55" s="144"/>
      <c r="K55" s="144"/>
      <c r="M55" s="144"/>
    </row>
    <row r="56" spans="1:17" x14ac:dyDescent="0.15">
      <c r="B56" s="147" t="s">
        <v>879</v>
      </c>
      <c r="C56" s="148"/>
      <c r="D56" s="149" t="s">
        <v>1455</v>
      </c>
      <c r="E56" s="148"/>
      <c r="F56" s="148"/>
      <c r="G56" s="148"/>
      <c r="H56" s="148"/>
      <c r="I56" s="150"/>
      <c r="K56" s="144"/>
      <c r="M56" s="144"/>
    </row>
    <row r="57" spans="1:17" x14ac:dyDescent="0.15">
      <c r="B57" s="151" t="s">
        <v>1042</v>
      </c>
      <c r="C57" s="152"/>
      <c r="D57" s="152" t="s">
        <v>1450</v>
      </c>
      <c r="E57" s="152"/>
      <c r="F57" s="152"/>
      <c r="G57" s="152"/>
      <c r="H57" s="152"/>
      <c r="I57" s="153"/>
      <c r="K57" s="144"/>
      <c r="M57" s="144"/>
    </row>
    <row r="58" spans="1:17" x14ac:dyDescent="0.15">
      <c r="B58" s="151"/>
      <c r="C58" s="152"/>
      <c r="D58" s="152" t="s">
        <v>1456</v>
      </c>
      <c r="E58" s="61"/>
      <c r="F58" s="152"/>
      <c r="G58" s="152"/>
      <c r="H58" s="61"/>
      <c r="I58" s="158"/>
      <c r="K58" s="144"/>
      <c r="M58" s="144"/>
    </row>
    <row r="59" spans="1:17" x14ac:dyDescent="0.15">
      <c r="B59" s="154" t="s">
        <v>887</v>
      </c>
      <c r="C59" s="155"/>
      <c r="D59" s="155" t="s">
        <v>1054</v>
      </c>
      <c r="E59" s="155"/>
      <c r="F59" s="155"/>
      <c r="G59" s="155"/>
      <c r="H59" s="155"/>
      <c r="I59" s="156"/>
      <c r="K59" s="144"/>
      <c r="M59" s="144"/>
    </row>
    <row r="60" spans="1:17" x14ac:dyDescent="0.15">
      <c r="D60" s="159"/>
      <c r="E60" s="17"/>
      <c r="F60" s="144"/>
      <c r="H60" s="17"/>
      <c r="I60" s="144"/>
      <c r="K60" s="144"/>
      <c r="M60" s="144"/>
    </row>
    <row r="61" spans="1:17" x14ac:dyDescent="0.15">
      <c r="D61" s="159"/>
      <c r="E61" s="17"/>
      <c r="F61" s="144"/>
      <c r="H61" s="17"/>
      <c r="I61" s="144"/>
      <c r="K61" s="144"/>
      <c r="M61" s="144"/>
    </row>
    <row r="62" spans="1:17" x14ac:dyDescent="0.15">
      <c r="A62" s="66" t="s">
        <v>399</v>
      </c>
      <c r="B62" s="177" t="s">
        <v>1571</v>
      </c>
      <c r="C62" s="177"/>
      <c r="D62" s="177"/>
      <c r="E62" s="68"/>
      <c r="F62" s="177"/>
      <c r="G62" s="177"/>
      <c r="H62" s="68"/>
      <c r="I62" s="177"/>
      <c r="J62" s="68"/>
      <c r="K62" s="68"/>
      <c r="L62" s="177"/>
      <c r="M62" s="68"/>
      <c r="N62" s="177"/>
      <c r="O62" s="177"/>
      <c r="P62" s="177"/>
      <c r="Q62" s="177"/>
    </row>
    <row r="63" spans="1:17" x14ac:dyDescent="0.15">
      <c r="B63" s="144" t="s">
        <v>677</v>
      </c>
      <c r="E63" s="17"/>
      <c r="F63" s="144"/>
      <c r="H63" s="17"/>
      <c r="I63" s="144"/>
      <c r="J63" s="17"/>
    </row>
    <row r="64" spans="1:17" x14ac:dyDescent="0.15">
      <c r="E64" s="17"/>
      <c r="F64" s="144"/>
      <c r="H64" s="17"/>
      <c r="I64" s="144"/>
      <c r="J64" s="17"/>
    </row>
    <row r="65" spans="1:17" x14ac:dyDescent="0.15">
      <c r="B65" s="147" t="s">
        <v>879</v>
      </c>
      <c r="C65" s="148"/>
      <c r="D65" s="149" t="s">
        <v>1457</v>
      </c>
      <c r="E65" s="148"/>
      <c r="F65" s="148"/>
      <c r="G65" s="148"/>
      <c r="H65" s="148"/>
      <c r="I65" s="150"/>
      <c r="J65" s="17"/>
    </row>
    <row r="66" spans="1:17" x14ac:dyDescent="0.15">
      <c r="B66" s="151" t="s">
        <v>1042</v>
      </c>
      <c r="C66" s="152"/>
      <c r="D66" s="152" t="s">
        <v>1446</v>
      </c>
      <c r="E66" s="152"/>
      <c r="F66" s="152"/>
      <c r="G66" s="152"/>
      <c r="H66" s="152"/>
      <c r="I66" s="153"/>
      <c r="J66" s="17"/>
    </row>
    <row r="67" spans="1:17" x14ac:dyDescent="0.15">
      <c r="B67" s="151"/>
      <c r="C67" s="152"/>
      <c r="D67" s="152" t="s">
        <v>1448</v>
      </c>
      <c r="E67" s="152"/>
      <c r="F67" s="61"/>
      <c r="G67" s="152"/>
      <c r="H67" s="152"/>
      <c r="I67" s="153"/>
      <c r="J67" s="17"/>
    </row>
    <row r="68" spans="1:17" x14ac:dyDescent="0.15">
      <c r="B68" s="154" t="s">
        <v>887</v>
      </c>
      <c r="C68" s="155"/>
      <c r="D68" s="155" t="s">
        <v>1055</v>
      </c>
      <c r="E68" s="155"/>
      <c r="F68" s="155"/>
      <c r="G68" s="155"/>
      <c r="H68" s="155"/>
      <c r="I68" s="156"/>
      <c r="J68" s="17"/>
    </row>
    <row r="69" spans="1:17" x14ac:dyDescent="0.15">
      <c r="I69" s="144"/>
      <c r="J69" s="17"/>
    </row>
    <row r="70" spans="1:17" x14ac:dyDescent="0.15">
      <c r="B70" s="147" t="s">
        <v>879</v>
      </c>
      <c r="C70" s="148"/>
      <c r="D70" s="149" t="s">
        <v>1458</v>
      </c>
      <c r="E70" s="148"/>
      <c r="F70" s="148"/>
      <c r="G70" s="148"/>
      <c r="H70" s="148"/>
      <c r="I70" s="150"/>
      <c r="J70" s="17"/>
    </row>
    <row r="71" spans="1:17" x14ac:dyDescent="0.15">
      <c r="B71" s="151" t="s">
        <v>1042</v>
      </c>
      <c r="C71" s="152"/>
      <c r="D71" s="152" t="s">
        <v>1444</v>
      </c>
      <c r="E71" s="152"/>
      <c r="F71" s="152"/>
      <c r="G71" s="152"/>
      <c r="H71" s="152"/>
      <c r="I71" s="153"/>
      <c r="J71" s="17"/>
    </row>
    <row r="72" spans="1:17" x14ac:dyDescent="0.15">
      <c r="B72" s="151"/>
      <c r="C72" s="152"/>
      <c r="D72" s="152" t="s">
        <v>1456</v>
      </c>
      <c r="E72" s="61"/>
      <c r="F72" s="152"/>
      <c r="G72" s="152"/>
      <c r="H72" s="61"/>
      <c r="I72" s="158"/>
      <c r="J72" s="17"/>
    </row>
    <row r="73" spans="1:17" x14ac:dyDescent="0.15">
      <c r="B73" s="154" t="s">
        <v>887</v>
      </c>
      <c r="C73" s="155"/>
      <c r="D73" s="155" t="s">
        <v>1055</v>
      </c>
      <c r="E73" s="155"/>
      <c r="F73" s="155"/>
      <c r="G73" s="155"/>
      <c r="H73" s="155"/>
      <c r="I73" s="156"/>
      <c r="J73" s="17"/>
    </row>
    <row r="74" spans="1:17" x14ac:dyDescent="0.15">
      <c r="E74" s="17"/>
      <c r="F74" s="144"/>
      <c r="H74" s="17"/>
      <c r="I74" s="144"/>
      <c r="J74" s="17"/>
    </row>
    <row r="75" spans="1:17" x14ac:dyDescent="0.15">
      <c r="D75" s="159"/>
      <c r="E75" s="17"/>
      <c r="F75" s="144"/>
      <c r="H75" s="17"/>
      <c r="I75" s="144"/>
      <c r="J75" s="17"/>
    </row>
    <row r="76" spans="1:17" x14ac:dyDescent="0.15">
      <c r="A76" s="66" t="s">
        <v>541</v>
      </c>
      <c r="B76" s="177" t="s">
        <v>1565</v>
      </c>
      <c r="C76" s="177"/>
      <c r="D76" s="177"/>
      <c r="E76" s="68"/>
      <c r="F76" s="177"/>
      <c r="G76" s="177"/>
      <c r="H76" s="68"/>
      <c r="I76" s="177"/>
      <c r="J76" s="68"/>
      <c r="K76" s="68"/>
      <c r="L76" s="177"/>
      <c r="M76" s="68"/>
      <c r="N76" s="177"/>
      <c r="O76" s="177"/>
      <c r="P76" s="177"/>
      <c r="Q76" s="177"/>
    </row>
    <row r="77" spans="1:17" x14ac:dyDescent="0.15">
      <c r="B77" s="144" t="s">
        <v>678</v>
      </c>
      <c r="E77" s="17"/>
      <c r="F77" s="144"/>
      <c r="H77" s="17"/>
      <c r="I77" s="144"/>
      <c r="J77" s="17"/>
    </row>
    <row r="78" spans="1:17" x14ac:dyDescent="0.15">
      <c r="E78" s="17"/>
      <c r="F78" s="144"/>
      <c r="H78" s="17"/>
      <c r="I78" s="144"/>
      <c r="J78" s="17"/>
    </row>
    <row r="79" spans="1:17" x14ac:dyDescent="0.15">
      <c r="B79" s="147" t="s">
        <v>879</v>
      </c>
      <c r="C79" s="148"/>
      <c r="D79" s="149" t="s">
        <v>1459</v>
      </c>
      <c r="E79" s="148"/>
      <c r="F79" s="148"/>
      <c r="G79" s="148"/>
      <c r="H79" s="148"/>
      <c r="I79" s="150"/>
      <c r="J79" s="17"/>
    </row>
    <row r="80" spans="1:17" x14ac:dyDescent="0.15">
      <c r="B80" s="151" t="s">
        <v>1042</v>
      </c>
      <c r="C80" s="152"/>
      <c r="D80" s="152" t="s">
        <v>1460</v>
      </c>
      <c r="E80" s="152"/>
      <c r="F80" s="152"/>
      <c r="G80" s="152"/>
      <c r="H80" s="152"/>
      <c r="I80" s="153"/>
      <c r="J80" s="17"/>
    </row>
    <row r="81" spans="1:17" x14ac:dyDescent="0.15">
      <c r="B81" s="154" t="s">
        <v>887</v>
      </c>
      <c r="C81" s="155"/>
      <c r="D81" s="160" t="s">
        <v>1151</v>
      </c>
      <c r="E81" s="155"/>
      <c r="F81" s="155"/>
      <c r="G81" s="155"/>
      <c r="H81" s="155"/>
      <c r="I81" s="156"/>
      <c r="J81" s="17"/>
    </row>
    <row r="82" spans="1:17" x14ac:dyDescent="0.15">
      <c r="E82" s="17"/>
      <c r="F82" s="144"/>
      <c r="H82" s="17"/>
      <c r="I82" s="144"/>
      <c r="J82" s="17"/>
    </row>
    <row r="83" spans="1:17" x14ac:dyDescent="0.15">
      <c r="E83" s="17"/>
      <c r="F83" s="144"/>
      <c r="H83" s="17"/>
      <c r="I83" s="144"/>
      <c r="J83" s="17"/>
    </row>
    <row r="84" spans="1:17" x14ac:dyDescent="0.15">
      <c r="A84" s="66" t="s">
        <v>394</v>
      </c>
      <c r="B84" s="177" t="s">
        <v>1566</v>
      </c>
      <c r="C84" s="177"/>
      <c r="D84" s="177"/>
      <c r="E84" s="68"/>
      <c r="F84" s="177"/>
      <c r="G84" s="177"/>
      <c r="H84" s="68"/>
      <c r="I84" s="177"/>
      <c r="J84" s="68"/>
      <c r="K84" s="68"/>
      <c r="L84" s="177"/>
      <c r="M84" s="68"/>
      <c r="N84" s="177"/>
      <c r="O84" s="177"/>
      <c r="P84" s="177"/>
      <c r="Q84" s="177"/>
    </row>
    <row r="85" spans="1:17" x14ac:dyDescent="0.15">
      <c r="B85" s="144" t="s">
        <v>679</v>
      </c>
      <c r="E85" s="17"/>
      <c r="F85" s="144"/>
      <c r="H85" s="17"/>
      <c r="I85" s="144"/>
      <c r="J85" s="17"/>
    </row>
    <row r="86" spans="1:17" x14ac:dyDescent="0.15">
      <c r="E86" s="17"/>
      <c r="F86" s="144"/>
      <c r="H86" s="17"/>
      <c r="I86" s="144"/>
      <c r="J86" s="17"/>
    </row>
    <row r="87" spans="1:17" x14ac:dyDescent="0.15">
      <c r="B87" s="147" t="s">
        <v>879</v>
      </c>
      <c r="C87" s="148"/>
      <c r="D87" s="161" t="s">
        <v>1461</v>
      </c>
      <c r="E87" s="148"/>
      <c r="F87" s="148"/>
      <c r="G87" s="148"/>
      <c r="H87" s="148"/>
      <c r="I87" s="150"/>
      <c r="J87" s="17"/>
    </row>
    <row r="88" spans="1:17" x14ac:dyDescent="0.15">
      <c r="B88" s="151" t="s">
        <v>1042</v>
      </c>
      <c r="C88" s="152"/>
      <c r="D88" s="152" t="s">
        <v>1462</v>
      </c>
      <c r="E88" s="152"/>
      <c r="F88" s="152"/>
      <c r="G88" s="152"/>
      <c r="H88" s="152"/>
      <c r="I88" s="153"/>
      <c r="J88" s="17"/>
    </row>
    <row r="89" spans="1:17" x14ac:dyDescent="0.15">
      <c r="A89" s="144"/>
      <c r="B89" s="154" t="s">
        <v>887</v>
      </c>
      <c r="C89" s="155"/>
      <c r="D89" s="160" t="s">
        <v>1162</v>
      </c>
      <c r="E89" s="155"/>
      <c r="F89" s="155"/>
      <c r="G89" s="155"/>
      <c r="H89" s="155"/>
      <c r="I89" s="156"/>
      <c r="K89" s="144"/>
    </row>
    <row r="90" spans="1:17" x14ac:dyDescent="0.15">
      <c r="A90" s="144"/>
      <c r="F90" s="144"/>
      <c r="I90" s="144"/>
      <c r="K90" s="144"/>
    </row>
    <row r="91" spans="1:17" x14ac:dyDescent="0.15">
      <c r="D91" s="159"/>
      <c r="E91" s="17"/>
      <c r="F91" s="144"/>
      <c r="H91" s="17"/>
      <c r="I91" s="144"/>
      <c r="J91" s="17"/>
    </row>
    <row r="92" spans="1:17" x14ac:dyDescent="0.15">
      <c r="D92" s="159"/>
      <c r="E92" s="17"/>
      <c r="F92" s="144"/>
      <c r="H92" s="17"/>
      <c r="I92" s="144"/>
      <c r="J92" s="17"/>
    </row>
    <row r="93" spans="1:17" x14ac:dyDescent="0.15">
      <c r="A93" s="162" t="s">
        <v>1567</v>
      </c>
      <c r="B93" s="163"/>
      <c r="C93" s="163"/>
      <c r="D93" s="164"/>
      <c r="E93" s="165"/>
      <c r="F93" s="164"/>
      <c r="G93" s="164"/>
      <c r="H93" s="166"/>
      <c r="I93" s="163"/>
      <c r="J93" s="166"/>
      <c r="K93" s="166"/>
      <c r="L93" s="163"/>
      <c r="M93" s="166"/>
      <c r="N93" s="163"/>
      <c r="O93" s="163"/>
      <c r="P93" s="163"/>
      <c r="Q93" s="163"/>
    </row>
    <row r="94" spans="1:17" x14ac:dyDescent="0.15">
      <c r="A94" s="16" t="s">
        <v>524</v>
      </c>
      <c r="B94" s="144" t="s">
        <v>1463</v>
      </c>
    </row>
    <row r="95" spans="1:17" x14ac:dyDescent="0.15">
      <c r="A95" s="16" t="s">
        <v>525</v>
      </c>
      <c r="B95" s="144" t="s">
        <v>1464</v>
      </c>
    </row>
    <row r="97" spans="1:17" x14ac:dyDescent="0.15">
      <c r="C97" s="16" t="s">
        <v>1169</v>
      </c>
      <c r="D97" s="157" t="s">
        <v>1465</v>
      </c>
      <c r="F97" s="144"/>
      <c r="J97" s="16" t="s">
        <v>1169</v>
      </c>
      <c r="K97" s="157" t="s">
        <v>1466</v>
      </c>
    </row>
    <row r="98" spans="1:17" x14ac:dyDescent="0.15">
      <c r="C98" s="16" t="s">
        <v>725</v>
      </c>
      <c r="D98" s="159" t="s">
        <v>1170</v>
      </c>
      <c r="F98" s="144"/>
      <c r="J98" s="16" t="s">
        <v>127</v>
      </c>
      <c r="K98" s="159" t="s">
        <v>1171</v>
      </c>
    </row>
    <row r="99" spans="1:17" x14ac:dyDescent="0.15">
      <c r="C99" s="112" t="s">
        <v>681</v>
      </c>
      <c r="D99" s="112" t="s">
        <v>682</v>
      </c>
      <c r="E99" s="112" t="s">
        <v>680</v>
      </c>
      <c r="F99" s="78" t="s">
        <v>1168</v>
      </c>
      <c r="G99" s="167" t="s">
        <v>127</v>
      </c>
      <c r="J99" s="112" t="s">
        <v>681</v>
      </c>
      <c r="K99" s="112" t="s">
        <v>682</v>
      </c>
      <c r="L99" s="112" t="s">
        <v>680</v>
      </c>
      <c r="M99" s="78" t="s">
        <v>128</v>
      </c>
      <c r="N99" s="167" t="s">
        <v>127</v>
      </c>
    </row>
    <row r="100" spans="1:17" x14ac:dyDescent="0.15">
      <c r="C100" s="17" t="s">
        <v>106</v>
      </c>
      <c r="D100" s="17" t="s">
        <v>106</v>
      </c>
      <c r="E100" s="17" t="s">
        <v>7</v>
      </c>
      <c r="F100" s="82" t="str">
        <f>SSR2CPType(C100,D100)</f>
        <v>&lt;hkxhk&gt;</v>
      </c>
      <c r="G100" s="168" t="str">
        <f>SSR2CPGT(C100,D100,F100,E100)</f>
        <v>hh</v>
      </c>
      <c r="J100" s="17" t="s">
        <v>46</v>
      </c>
      <c r="K100" s="17" t="s">
        <v>46</v>
      </c>
      <c r="L100" s="17" t="s">
        <v>62</v>
      </c>
      <c r="M100" s="82" t="str">
        <f>SNP2CPType(J100,K100)</f>
        <v>&lt;hkxhk&gt;</v>
      </c>
      <c r="N100" s="168" t="str">
        <f>SNP2CPGT(J100,K100,M100,L100)</f>
        <v>hh</v>
      </c>
    </row>
    <row r="101" spans="1:17" x14ac:dyDescent="0.15">
      <c r="C101" s="17" t="s">
        <v>107</v>
      </c>
      <c r="D101" s="17" t="s">
        <v>108</v>
      </c>
      <c r="E101" s="17" t="s">
        <v>119</v>
      </c>
      <c r="F101" s="83" t="str">
        <f t="shared" ref="F101:F108" si="0">SSR2CPType(C101,D101)</f>
        <v>&lt;nnxnp&gt;</v>
      </c>
      <c r="G101" s="169" t="str">
        <f t="shared" ref="G101:G107" si="1">SSR2CPGT(C101,D101,F101,E101)</f>
        <v>np</v>
      </c>
      <c r="J101" s="17" t="s">
        <v>46</v>
      </c>
      <c r="K101" s="17" t="s">
        <v>46</v>
      </c>
      <c r="L101" s="17" t="s">
        <v>46</v>
      </c>
      <c r="M101" s="83" t="str">
        <f t="shared" ref="M101:M108" si="2">SNP2CPType(J101,K101)</f>
        <v>&lt;hkxhk&gt;</v>
      </c>
      <c r="N101" s="169" t="str">
        <f t="shared" ref="N101:N108" si="3">SNP2CPGT(J101,K101,M101,L101)</f>
        <v>hk</v>
      </c>
    </row>
    <row r="102" spans="1:17" x14ac:dyDescent="0.15">
      <c r="C102" s="17" t="s">
        <v>53</v>
      </c>
      <c r="D102" s="17" t="s">
        <v>53</v>
      </c>
      <c r="E102" s="17" t="s">
        <v>67</v>
      </c>
      <c r="F102" s="83" t="str">
        <f t="shared" si="0"/>
        <v>&lt;hkxhk&gt;</v>
      </c>
      <c r="G102" s="169" t="str">
        <f t="shared" si="1"/>
        <v>hk</v>
      </c>
      <c r="J102" s="17" t="s">
        <v>726</v>
      </c>
      <c r="K102" s="17" t="s">
        <v>47</v>
      </c>
      <c r="L102" s="17" t="s">
        <v>10</v>
      </c>
      <c r="M102" s="83" t="str">
        <f t="shared" si="2"/>
        <v>&lt;nnxnp&gt;</v>
      </c>
      <c r="N102" s="169" t="str">
        <f t="shared" si="3"/>
        <v>np</v>
      </c>
    </row>
    <row r="103" spans="1:17" x14ac:dyDescent="0.15">
      <c r="C103" s="17" t="s">
        <v>536</v>
      </c>
      <c r="D103" s="17" t="s">
        <v>537</v>
      </c>
      <c r="E103" s="17" t="s">
        <v>535</v>
      </c>
      <c r="F103" s="83" t="str">
        <f t="shared" si="0"/>
        <v>&lt;lmxll&gt;</v>
      </c>
      <c r="G103" s="169" t="str">
        <f>SSR2CPGT(C103,D103,F103,E103)</f>
        <v>lm</v>
      </c>
      <c r="J103" s="17" t="s">
        <v>62</v>
      </c>
      <c r="K103" s="17" t="s">
        <v>46</v>
      </c>
      <c r="L103" s="17" t="s">
        <v>728</v>
      </c>
      <c r="M103" s="83" t="str">
        <f t="shared" si="2"/>
        <v>&lt;nnxnp&gt;</v>
      </c>
      <c r="N103" s="169" t="str">
        <f>SNP2CPGT(J103,K103,M103,L103)</f>
        <v>nn</v>
      </c>
    </row>
    <row r="104" spans="1:17" x14ac:dyDescent="0.15">
      <c r="C104" s="17" t="s">
        <v>107</v>
      </c>
      <c r="D104" s="17" t="s">
        <v>50</v>
      </c>
      <c r="E104" s="17" t="s">
        <v>109</v>
      </c>
      <c r="F104" s="83" t="str">
        <f t="shared" si="0"/>
        <v>F1</v>
      </c>
      <c r="G104" s="169" t="str">
        <f t="shared" si="1"/>
        <v>-/-</v>
      </c>
      <c r="J104" s="17" t="s">
        <v>46</v>
      </c>
      <c r="K104" s="17" t="s">
        <v>46</v>
      </c>
      <c r="L104" s="17" t="s">
        <v>62</v>
      </c>
      <c r="M104" s="83" t="str">
        <f t="shared" si="2"/>
        <v>&lt;hkxhk&gt;</v>
      </c>
      <c r="N104" s="169" t="str">
        <f t="shared" si="3"/>
        <v>hh</v>
      </c>
    </row>
    <row r="105" spans="1:17" x14ac:dyDescent="0.15">
      <c r="C105" s="170" t="s">
        <v>727</v>
      </c>
      <c r="D105" s="170" t="s">
        <v>534</v>
      </c>
      <c r="E105" s="170" t="s">
        <v>535</v>
      </c>
      <c r="F105" s="171" t="str">
        <f>SSR2CPType(C105,D105)</f>
        <v>&lt;lmxll&gt;</v>
      </c>
      <c r="G105" s="172" t="str">
        <f>SSR2CPGT(C105,D105,F105,E105)</f>
        <v>lm</v>
      </c>
      <c r="J105" s="17" t="s">
        <v>47</v>
      </c>
      <c r="K105" s="17" t="s">
        <v>726</v>
      </c>
      <c r="L105" s="17" t="s">
        <v>729</v>
      </c>
      <c r="M105" s="83" t="str">
        <f t="shared" si="2"/>
        <v>&lt;lmxll&gt;</v>
      </c>
      <c r="N105" s="169" t="str">
        <f>SNP2CPGT(J105,K105,M105,L105)</f>
        <v>lm</v>
      </c>
    </row>
    <row r="106" spans="1:17" x14ac:dyDescent="0.15">
      <c r="C106" s="17" t="s">
        <v>110</v>
      </c>
      <c r="D106" s="17" t="s">
        <v>111</v>
      </c>
      <c r="E106" s="17" t="s">
        <v>112</v>
      </c>
      <c r="F106" s="83" t="str">
        <f t="shared" si="0"/>
        <v>&lt;abxcd&gt;</v>
      </c>
      <c r="G106" s="169" t="str">
        <f t="shared" si="1"/>
        <v>ad</v>
      </c>
      <c r="J106" s="17" t="s">
        <v>46</v>
      </c>
      <c r="K106" s="17" t="s">
        <v>46</v>
      </c>
      <c r="L106" s="17" t="s">
        <v>120</v>
      </c>
      <c r="M106" s="83" t="str">
        <f t="shared" si="2"/>
        <v>&lt;hkxhk&gt;</v>
      </c>
      <c r="N106" s="169" t="str">
        <f t="shared" si="3"/>
        <v>kk</v>
      </c>
    </row>
    <row r="107" spans="1:17" x14ac:dyDescent="0.15">
      <c r="C107" s="17" t="s">
        <v>110</v>
      </c>
      <c r="D107" s="17" t="s">
        <v>112</v>
      </c>
      <c r="E107" s="17" t="s">
        <v>119</v>
      </c>
      <c r="F107" s="83" t="str">
        <f t="shared" si="0"/>
        <v>&lt;efxeg&gt;</v>
      </c>
      <c r="G107" s="169" t="str">
        <f t="shared" si="1"/>
        <v>fg</v>
      </c>
      <c r="J107" s="17" t="s">
        <v>121</v>
      </c>
      <c r="K107" s="17" t="s">
        <v>121</v>
      </c>
      <c r="L107" s="17" t="s">
        <v>121</v>
      </c>
      <c r="M107" s="83" t="str">
        <f t="shared" si="2"/>
        <v>NP</v>
      </c>
      <c r="N107" s="169" t="str">
        <f t="shared" si="3"/>
        <v>-/-</v>
      </c>
    </row>
    <row r="108" spans="1:17" x14ac:dyDescent="0.15">
      <c r="C108" s="63" t="s">
        <v>538</v>
      </c>
      <c r="D108" s="63" t="s">
        <v>539</v>
      </c>
      <c r="E108" s="63" t="s">
        <v>540</v>
      </c>
      <c r="F108" s="84" t="str">
        <f t="shared" si="0"/>
        <v>&lt;nnxnp&gt;</v>
      </c>
      <c r="G108" s="173" t="str">
        <f>SSR2CPGT(C108,D108,F108,E108)</f>
        <v>?/?</v>
      </c>
      <c r="J108" s="63" t="s">
        <v>730</v>
      </c>
      <c r="K108" s="63" t="s">
        <v>46</v>
      </c>
      <c r="L108" s="63" t="s">
        <v>120</v>
      </c>
      <c r="M108" s="84" t="str">
        <f t="shared" si="2"/>
        <v>&lt;nnxnp&gt;</v>
      </c>
      <c r="N108" s="173" t="str">
        <f t="shared" si="3"/>
        <v>nn</v>
      </c>
    </row>
    <row r="109" spans="1:17" x14ac:dyDescent="0.15">
      <c r="F109" s="144"/>
    </row>
    <row r="111" spans="1:17" x14ac:dyDescent="0.15">
      <c r="A111" s="162" t="s">
        <v>1568</v>
      </c>
      <c r="B111" s="163"/>
      <c r="C111" s="163"/>
      <c r="D111" s="164"/>
      <c r="E111" s="165"/>
      <c r="F111" s="164"/>
      <c r="G111" s="164"/>
      <c r="H111" s="166"/>
      <c r="I111" s="163"/>
      <c r="J111" s="166"/>
      <c r="K111" s="166"/>
      <c r="L111" s="163"/>
      <c r="M111" s="166"/>
      <c r="N111" s="163"/>
      <c r="O111" s="163"/>
      <c r="P111" s="163"/>
      <c r="Q111" s="163"/>
    </row>
    <row r="112" spans="1:17" x14ac:dyDescent="0.15">
      <c r="A112" s="16" t="s">
        <v>684</v>
      </c>
      <c r="B112" s="144" t="s">
        <v>1172</v>
      </c>
    </row>
    <row r="113" spans="1:11" x14ac:dyDescent="0.15">
      <c r="A113" s="16" t="s">
        <v>683</v>
      </c>
      <c r="B113" s="144" t="s">
        <v>1467</v>
      </c>
    </row>
    <row r="114" spans="1:11" x14ac:dyDescent="0.15">
      <c r="A114" s="16" t="s">
        <v>529</v>
      </c>
      <c r="B114" s="144" t="s">
        <v>1468</v>
      </c>
    </row>
    <row r="116" spans="1:11" x14ac:dyDescent="0.15">
      <c r="B116" s="17" t="s">
        <v>2</v>
      </c>
      <c r="C116" s="112" t="s">
        <v>681</v>
      </c>
      <c r="D116" s="112" t="s">
        <v>682</v>
      </c>
      <c r="E116" s="112" t="s">
        <v>680</v>
      </c>
      <c r="F116" s="78" t="s">
        <v>124</v>
      </c>
      <c r="G116" s="174" t="s">
        <v>122</v>
      </c>
      <c r="H116" s="174" t="s">
        <v>123</v>
      </c>
      <c r="I116" s="175"/>
      <c r="J116" s="17"/>
      <c r="K116" s="144"/>
    </row>
    <row r="117" spans="1:11" x14ac:dyDescent="0.15">
      <c r="C117" s="17" t="s">
        <v>106</v>
      </c>
      <c r="D117" s="17" t="s">
        <v>106</v>
      </c>
      <c r="E117" s="17" t="s">
        <v>7</v>
      </c>
      <c r="F117" s="81" t="str">
        <f>SSR2SegType(C117,D117)</f>
        <v>F2</v>
      </c>
      <c r="G117" s="176" t="str">
        <f>SSR2BC1GT(C117,D117,E117)</f>
        <v>-</v>
      </c>
      <c r="H117" s="176" t="str">
        <f>SSR2F2GT(C117,D117,E117)</f>
        <v>a</v>
      </c>
      <c r="I117" s="144"/>
      <c r="J117" s="17"/>
      <c r="K117" s="144"/>
    </row>
    <row r="118" spans="1:11" x14ac:dyDescent="0.15">
      <c r="C118" s="17" t="s">
        <v>107</v>
      </c>
      <c r="D118" s="17" t="s">
        <v>108</v>
      </c>
      <c r="E118" s="17" t="s">
        <v>109</v>
      </c>
      <c r="F118" s="81" t="str">
        <f t="shared" ref="F118:F141" si="4">SSR2SegType(C118,D118)</f>
        <v>BC1A</v>
      </c>
      <c r="G118" s="176" t="str">
        <f t="shared" ref="G118:G141" si="5">SSR2BC1GT(C118,D118,E118)</f>
        <v>h</v>
      </c>
      <c r="H118" s="176" t="str">
        <f>SSR2F2GT(C118,D118,E118)</f>
        <v>-</v>
      </c>
      <c r="I118" s="144" t="s">
        <v>526</v>
      </c>
      <c r="J118" s="17"/>
      <c r="K118" s="144"/>
    </row>
    <row r="119" spans="1:11" x14ac:dyDescent="0.15">
      <c r="C119" s="17" t="s">
        <v>53</v>
      </c>
      <c r="D119" s="17" t="s">
        <v>53</v>
      </c>
      <c r="E119" s="17" t="s">
        <v>51</v>
      </c>
      <c r="F119" s="81" t="str">
        <f t="shared" si="4"/>
        <v>F2</v>
      </c>
      <c r="G119" s="176" t="str">
        <f t="shared" si="5"/>
        <v>-</v>
      </c>
      <c r="H119" s="176" t="str">
        <f>SSR2F2GT(C119,D119,E119)</f>
        <v>b</v>
      </c>
      <c r="I119" s="144"/>
      <c r="J119" s="17"/>
      <c r="K119" s="144"/>
    </row>
    <row r="120" spans="1:11" x14ac:dyDescent="0.15">
      <c r="C120" s="17" t="s">
        <v>106</v>
      </c>
      <c r="D120" s="17" t="s">
        <v>106</v>
      </c>
      <c r="E120" s="17" t="s">
        <v>7</v>
      </c>
      <c r="F120" s="81" t="str">
        <f t="shared" si="4"/>
        <v>F2</v>
      </c>
      <c r="G120" s="176" t="str">
        <f t="shared" si="5"/>
        <v>-</v>
      </c>
      <c r="H120" s="176" t="str">
        <f t="shared" ref="H120:H141" si="6">SSR2F2GT(C120,D120,E120)</f>
        <v>a</v>
      </c>
      <c r="I120" s="144"/>
      <c r="J120" s="17"/>
      <c r="K120" s="144"/>
    </row>
    <row r="121" spans="1:11" x14ac:dyDescent="0.15">
      <c r="C121" s="17" t="s">
        <v>107</v>
      </c>
      <c r="D121" s="17" t="s">
        <v>50</v>
      </c>
      <c r="E121" s="17" t="s">
        <v>109</v>
      </c>
      <c r="F121" s="81" t="str">
        <f t="shared" si="4"/>
        <v>-</v>
      </c>
      <c r="G121" s="176" t="str">
        <f t="shared" si="5"/>
        <v>-</v>
      </c>
      <c r="H121" s="176" t="str">
        <f t="shared" si="6"/>
        <v>-</v>
      </c>
      <c r="I121" s="144" t="s">
        <v>527</v>
      </c>
      <c r="J121" s="17"/>
      <c r="K121" s="144"/>
    </row>
    <row r="122" spans="1:11" x14ac:dyDescent="0.15">
      <c r="C122" s="17" t="s">
        <v>53</v>
      </c>
      <c r="D122" s="17" t="s">
        <v>51</v>
      </c>
      <c r="E122" s="17" t="s">
        <v>51</v>
      </c>
      <c r="F122" s="81" t="str">
        <f t="shared" si="4"/>
        <v>BC1B</v>
      </c>
      <c r="G122" s="176" t="str">
        <f t="shared" si="5"/>
        <v>b</v>
      </c>
      <c r="H122" s="176" t="str">
        <f t="shared" si="6"/>
        <v>-</v>
      </c>
      <c r="I122" s="144" t="s">
        <v>528</v>
      </c>
      <c r="J122" s="17"/>
      <c r="K122" s="144"/>
    </row>
    <row r="123" spans="1:11" x14ac:dyDescent="0.15">
      <c r="C123" s="17" t="s">
        <v>110</v>
      </c>
      <c r="D123" s="17" t="s">
        <v>111</v>
      </c>
      <c r="E123" s="17" t="s">
        <v>112</v>
      </c>
      <c r="F123" s="81" t="str">
        <f t="shared" si="4"/>
        <v>F2D</v>
      </c>
      <c r="G123" s="176" t="str">
        <f t="shared" si="5"/>
        <v>-</v>
      </c>
      <c r="H123" s="176" t="str">
        <f>SSR2F2GT(C123,D123,E123)</f>
        <v>-</v>
      </c>
      <c r="I123" s="144" t="s">
        <v>530</v>
      </c>
      <c r="J123" s="17"/>
      <c r="K123" s="144"/>
    </row>
    <row r="124" spans="1:11" x14ac:dyDescent="0.15">
      <c r="C124" s="17" t="s">
        <v>110</v>
      </c>
      <c r="D124" s="17" t="s">
        <v>112</v>
      </c>
      <c r="E124" s="17" t="s">
        <v>119</v>
      </c>
      <c r="F124" s="81" t="str">
        <f t="shared" si="4"/>
        <v>F2D</v>
      </c>
      <c r="G124" s="176" t="str">
        <f t="shared" si="5"/>
        <v>-</v>
      </c>
      <c r="H124" s="176" t="str">
        <f>SSR2F2GT(C124,D124,E124)</f>
        <v>-</v>
      </c>
      <c r="I124" s="144" t="s">
        <v>530</v>
      </c>
      <c r="J124" s="17"/>
      <c r="K124" s="144"/>
    </row>
    <row r="125" spans="1:11" x14ac:dyDescent="0.15">
      <c r="C125" s="63" t="s">
        <v>113</v>
      </c>
      <c r="D125" s="63" t="s">
        <v>114</v>
      </c>
      <c r="E125" s="63" t="s">
        <v>113</v>
      </c>
      <c r="F125" s="84" t="str">
        <f t="shared" si="4"/>
        <v>BC1A</v>
      </c>
      <c r="G125" s="173" t="str">
        <f t="shared" si="5"/>
        <v>a</v>
      </c>
      <c r="H125" s="173" t="str">
        <f t="shared" si="6"/>
        <v>-</v>
      </c>
      <c r="I125" s="144" t="s">
        <v>526</v>
      </c>
      <c r="J125" s="17"/>
      <c r="K125" s="144"/>
    </row>
    <row r="126" spans="1:11" x14ac:dyDescent="0.15">
      <c r="C126" s="61" t="s">
        <v>131</v>
      </c>
      <c r="D126" s="61" t="s">
        <v>132</v>
      </c>
      <c r="E126" s="61" t="s">
        <v>131</v>
      </c>
      <c r="F126" s="81" t="str">
        <f t="shared" si="4"/>
        <v>BC1A</v>
      </c>
      <c r="G126" s="176" t="str">
        <f t="shared" si="5"/>
        <v>a</v>
      </c>
      <c r="H126" s="176" t="str">
        <f t="shared" si="6"/>
        <v>-</v>
      </c>
      <c r="I126" s="152"/>
      <c r="J126" s="17"/>
      <c r="K126" s="144"/>
    </row>
    <row r="127" spans="1:11" x14ac:dyDescent="0.15">
      <c r="C127" s="61" t="s">
        <v>131</v>
      </c>
      <c r="D127" s="61" t="s">
        <v>132</v>
      </c>
      <c r="E127" s="61" t="s">
        <v>132</v>
      </c>
      <c r="F127" s="81" t="str">
        <f t="shared" si="4"/>
        <v>BC1A</v>
      </c>
      <c r="G127" s="176" t="str">
        <f t="shared" si="5"/>
        <v>h</v>
      </c>
      <c r="H127" s="176" t="str">
        <f t="shared" si="6"/>
        <v>-</v>
      </c>
      <c r="I127" s="152"/>
      <c r="J127" s="17"/>
      <c r="K127" s="144"/>
    </row>
    <row r="128" spans="1:11" x14ac:dyDescent="0.15">
      <c r="C128" s="61" t="s">
        <v>131</v>
      </c>
      <c r="D128" s="61" t="s">
        <v>132</v>
      </c>
      <c r="E128" s="61" t="s">
        <v>133</v>
      </c>
      <c r="F128" s="81" t="str">
        <f t="shared" si="4"/>
        <v>BC1A</v>
      </c>
      <c r="G128" s="176" t="str">
        <f t="shared" si="5"/>
        <v>-</v>
      </c>
      <c r="H128" s="176" t="str">
        <f t="shared" si="6"/>
        <v>X</v>
      </c>
      <c r="I128" s="152"/>
      <c r="J128" s="17"/>
      <c r="K128" s="144"/>
    </row>
    <row r="129" spans="3:11" x14ac:dyDescent="0.15">
      <c r="C129" s="63" t="s">
        <v>131</v>
      </c>
      <c r="D129" s="63" t="s">
        <v>132</v>
      </c>
      <c r="E129" s="63" t="s">
        <v>134</v>
      </c>
      <c r="F129" s="84" t="str">
        <f t="shared" si="4"/>
        <v>BC1A</v>
      </c>
      <c r="G129" s="173" t="str">
        <f t="shared" si="5"/>
        <v>X</v>
      </c>
      <c r="H129" s="173" t="str">
        <f t="shared" si="6"/>
        <v>X</v>
      </c>
      <c r="I129" s="155"/>
      <c r="J129" s="17"/>
      <c r="K129" s="144"/>
    </row>
    <row r="130" spans="3:11" x14ac:dyDescent="0.15">
      <c r="C130" s="61" t="s">
        <v>132</v>
      </c>
      <c r="D130" s="61" t="s">
        <v>131</v>
      </c>
      <c r="E130" s="61" t="s">
        <v>131</v>
      </c>
      <c r="F130" s="81" t="str">
        <f t="shared" si="4"/>
        <v>BC1B</v>
      </c>
      <c r="G130" s="176" t="str">
        <f t="shared" si="5"/>
        <v>b</v>
      </c>
      <c r="H130" s="176" t="str">
        <f>SSR2F2GT(C130,D130,E130)</f>
        <v>-</v>
      </c>
      <c r="I130" s="152"/>
      <c r="J130" s="17"/>
      <c r="K130" s="144"/>
    </row>
    <row r="131" spans="3:11" x14ac:dyDescent="0.15">
      <c r="C131" s="61" t="s">
        <v>132</v>
      </c>
      <c r="D131" s="61" t="s">
        <v>131</v>
      </c>
      <c r="E131" s="61" t="s">
        <v>132</v>
      </c>
      <c r="F131" s="81" t="str">
        <f t="shared" si="4"/>
        <v>BC1B</v>
      </c>
      <c r="G131" s="176" t="str">
        <f t="shared" si="5"/>
        <v>h</v>
      </c>
      <c r="H131" s="176" t="str">
        <f t="shared" si="6"/>
        <v>-</v>
      </c>
      <c r="I131" s="152"/>
      <c r="J131" s="17"/>
      <c r="K131" s="144"/>
    </row>
    <row r="132" spans="3:11" x14ac:dyDescent="0.15">
      <c r="C132" s="61" t="s">
        <v>132</v>
      </c>
      <c r="D132" s="61" t="s">
        <v>131</v>
      </c>
      <c r="E132" s="61" t="s">
        <v>133</v>
      </c>
      <c r="F132" s="83" t="str">
        <f t="shared" si="4"/>
        <v>BC1B</v>
      </c>
      <c r="G132" s="176" t="str">
        <f t="shared" si="5"/>
        <v>-</v>
      </c>
      <c r="H132" s="176" t="str">
        <f t="shared" si="6"/>
        <v>X</v>
      </c>
      <c r="I132" s="152"/>
      <c r="J132" s="17"/>
      <c r="K132" s="144"/>
    </row>
    <row r="133" spans="3:11" x14ac:dyDescent="0.15">
      <c r="C133" s="63" t="s">
        <v>132</v>
      </c>
      <c r="D133" s="63" t="s">
        <v>131</v>
      </c>
      <c r="E133" s="63" t="s">
        <v>134</v>
      </c>
      <c r="F133" s="84" t="str">
        <f t="shared" si="4"/>
        <v>BC1B</v>
      </c>
      <c r="G133" s="173" t="str">
        <f t="shared" si="5"/>
        <v>X</v>
      </c>
      <c r="H133" s="173" t="str">
        <f t="shared" si="6"/>
        <v>X</v>
      </c>
      <c r="I133" s="155"/>
      <c r="J133" s="17"/>
      <c r="K133" s="144"/>
    </row>
    <row r="134" spans="3:11" x14ac:dyDescent="0.15">
      <c r="C134" s="61" t="s">
        <v>132</v>
      </c>
      <c r="D134" s="61" t="s">
        <v>137</v>
      </c>
      <c r="E134" s="61" t="s">
        <v>131</v>
      </c>
      <c r="F134" s="81" t="str">
        <f>SSR2SegType(C134,D134)</f>
        <v>F2</v>
      </c>
      <c r="G134" s="176" t="str">
        <f>SSR2BC1GT(C134,D134,E134)</f>
        <v>-</v>
      </c>
      <c r="H134" s="176" t="str">
        <f>SSR2F2GT(C134,D134,E134)</f>
        <v>a</v>
      </c>
      <c r="I134" s="152"/>
      <c r="J134" s="17"/>
      <c r="K134" s="144"/>
    </row>
    <row r="135" spans="3:11" x14ac:dyDescent="0.15">
      <c r="C135" s="61" t="s">
        <v>132</v>
      </c>
      <c r="D135" s="61" t="s">
        <v>137</v>
      </c>
      <c r="E135" s="61" t="s">
        <v>132</v>
      </c>
      <c r="F135" s="81" t="str">
        <f t="shared" si="4"/>
        <v>F2</v>
      </c>
      <c r="G135" s="176" t="str">
        <f t="shared" si="5"/>
        <v>-</v>
      </c>
      <c r="H135" s="176" t="str">
        <f t="shared" si="6"/>
        <v>h</v>
      </c>
      <c r="I135" s="152"/>
      <c r="J135" s="17"/>
      <c r="K135" s="144"/>
    </row>
    <row r="136" spans="3:11" x14ac:dyDescent="0.15">
      <c r="C136" s="61" t="s">
        <v>132</v>
      </c>
      <c r="D136" s="61" t="s">
        <v>137</v>
      </c>
      <c r="E136" s="61" t="s">
        <v>136</v>
      </c>
      <c r="F136" s="81" t="str">
        <f t="shared" si="4"/>
        <v>F2</v>
      </c>
      <c r="G136" s="176" t="str">
        <f t="shared" si="5"/>
        <v>-</v>
      </c>
      <c r="H136" s="176" t="str">
        <f t="shared" si="6"/>
        <v>b</v>
      </c>
      <c r="I136" s="152"/>
      <c r="J136" s="17"/>
      <c r="K136" s="144"/>
    </row>
    <row r="137" spans="3:11" x14ac:dyDescent="0.15">
      <c r="C137" s="63" t="s">
        <v>132</v>
      </c>
      <c r="D137" s="63" t="s">
        <v>137</v>
      </c>
      <c r="E137" s="63" t="s">
        <v>135</v>
      </c>
      <c r="F137" s="84" t="str">
        <f t="shared" si="4"/>
        <v>F2</v>
      </c>
      <c r="G137" s="173" t="str">
        <f t="shared" si="5"/>
        <v>-</v>
      </c>
      <c r="H137" s="173" t="str">
        <f t="shared" si="6"/>
        <v>X</v>
      </c>
      <c r="I137" s="155"/>
      <c r="J137" s="17"/>
      <c r="K137" s="144"/>
    </row>
    <row r="138" spans="3:11" x14ac:dyDescent="0.15">
      <c r="C138" s="61" t="s">
        <v>135</v>
      </c>
      <c r="D138" s="61" t="s">
        <v>132</v>
      </c>
      <c r="E138" s="61" t="s">
        <v>131</v>
      </c>
      <c r="F138" s="81" t="str">
        <f t="shared" si="4"/>
        <v>F2D</v>
      </c>
      <c r="G138" s="176" t="str">
        <f t="shared" si="5"/>
        <v>-</v>
      </c>
      <c r="H138" s="176" t="str">
        <f t="shared" si="6"/>
        <v>-</v>
      </c>
      <c r="I138" s="152"/>
      <c r="J138" s="17"/>
      <c r="K138" s="144"/>
    </row>
    <row r="139" spans="3:11" x14ac:dyDescent="0.15">
      <c r="C139" s="61" t="s">
        <v>135</v>
      </c>
      <c r="D139" s="61" t="s">
        <v>132</v>
      </c>
      <c r="E139" s="61" t="s">
        <v>132</v>
      </c>
      <c r="F139" s="81" t="str">
        <f t="shared" si="4"/>
        <v>F2D</v>
      </c>
      <c r="G139" s="176" t="str">
        <f t="shared" si="5"/>
        <v>-</v>
      </c>
      <c r="H139" s="176" t="str">
        <f t="shared" si="6"/>
        <v>-</v>
      </c>
      <c r="I139" s="152"/>
      <c r="J139" s="17"/>
      <c r="K139" s="144"/>
    </row>
    <row r="140" spans="3:11" x14ac:dyDescent="0.15">
      <c r="C140" s="61" t="s">
        <v>135</v>
      </c>
      <c r="D140" s="61" t="s">
        <v>132</v>
      </c>
      <c r="E140" s="61" t="s">
        <v>136</v>
      </c>
      <c r="F140" s="81" t="str">
        <f t="shared" si="4"/>
        <v>F2D</v>
      </c>
      <c r="G140" s="176" t="str">
        <f t="shared" si="5"/>
        <v>-</v>
      </c>
      <c r="H140" s="176" t="str">
        <f t="shared" si="6"/>
        <v>X</v>
      </c>
      <c r="I140" s="152"/>
      <c r="J140" s="17"/>
      <c r="K140" s="144"/>
    </row>
    <row r="141" spans="3:11" x14ac:dyDescent="0.15">
      <c r="C141" s="63" t="s">
        <v>135</v>
      </c>
      <c r="D141" s="63" t="s">
        <v>132</v>
      </c>
      <c r="E141" s="63" t="s">
        <v>6</v>
      </c>
      <c r="F141" s="84" t="str">
        <f t="shared" si="4"/>
        <v>F2D</v>
      </c>
      <c r="G141" s="173" t="str">
        <f t="shared" si="5"/>
        <v>-</v>
      </c>
      <c r="H141" s="173" t="str">
        <f t="shared" si="6"/>
        <v>X</v>
      </c>
      <c r="I141" s="155"/>
      <c r="J141" s="17"/>
      <c r="K141" s="144"/>
    </row>
    <row r="142" spans="3:11" x14ac:dyDescent="0.15">
      <c r="C142" s="61"/>
      <c r="D142" s="61"/>
      <c r="E142" s="61"/>
      <c r="F142" s="61"/>
      <c r="G142" s="61"/>
      <c r="H142" s="61"/>
      <c r="I142" s="152"/>
      <c r="J142" s="17"/>
      <c r="K142" s="144"/>
    </row>
    <row r="143" spans="3:11" x14ac:dyDescent="0.15">
      <c r="E143" s="17"/>
      <c r="F143" s="144"/>
      <c r="H143" s="17"/>
      <c r="I143" s="144"/>
      <c r="J143" s="17"/>
      <c r="K143" s="144"/>
    </row>
    <row r="144" spans="3:11" x14ac:dyDescent="0.15">
      <c r="E144" s="17"/>
      <c r="F144" s="144"/>
      <c r="H144" s="17"/>
      <c r="I144" s="144"/>
      <c r="J144" s="17"/>
      <c r="K144" s="144"/>
    </row>
    <row r="145" spans="1:17" x14ac:dyDescent="0.15">
      <c r="B145" s="17" t="s">
        <v>3</v>
      </c>
      <c r="C145" s="112" t="s">
        <v>681</v>
      </c>
      <c r="D145" s="112" t="s">
        <v>682</v>
      </c>
      <c r="E145" s="112" t="s">
        <v>680</v>
      </c>
      <c r="F145" s="78" t="s">
        <v>124</v>
      </c>
      <c r="G145" s="174" t="s">
        <v>122</v>
      </c>
      <c r="H145" s="174" t="s">
        <v>123</v>
      </c>
      <c r="I145" s="175"/>
      <c r="J145" s="17"/>
      <c r="K145" s="144"/>
    </row>
    <row r="146" spans="1:17" x14ac:dyDescent="0.15">
      <c r="C146" s="17" t="s">
        <v>62</v>
      </c>
      <c r="D146" s="17" t="s">
        <v>46</v>
      </c>
      <c r="E146" s="17" t="s">
        <v>62</v>
      </c>
      <c r="F146" s="81" t="str">
        <f>SNP2SegType(C146,D146)</f>
        <v>BC1A</v>
      </c>
      <c r="G146" s="168" t="str">
        <f>SNP2BC1GT(C146,D146,E146)</f>
        <v>a</v>
      </c>
      <c r="H146" s="168" t="str">
        <f>SNP2F2GT(C146,D146,E146)</f>
        <v>-</v>
      </c>
      <c r="I146" s="148"/>
      <c r="J146" s="17"/>
      <c r="K146" s="144"/>
    </row>
    <row r="147" spans="1:17" x14ac:dyDescent="0.15">
      <c r="C147" s="17" t="s">
        <v>62</v>
      </c>
      <c r="D147" s="17" t="s">
        <v>46</v>
      </c>
      <c r="E147" s="17" t="s">
        <v>47</v>
      </c>
      <c r="F147" s="81" t="e">
        <f t="shared" ref="F147:F154" ca="1" si="7">SNP2JMmode2(C147,D147)</f>
        <v>#NAME?</v>
      </c>
      <c r="G147" s="169" t="str">
        <f t="shared" ref="G147:G154" si="8">SNP2BC1GT(C147,D147,E147)</f>
        <v>h</v>
      </c>
      <c r="H147" s="169" t="str">
        <f>SNP2F2GT(C147,D147,E147)</f>
        <v>-</v>
      </c>
      <c r="I147" s="152"/>
      <c r="J147" s="17"/>
      <c r="K147" s="144"/>
    </row>
    <row r="148" spans="1:17" x14ac:dyDescent="0.15">
      <c r="C148" s="17" t="s">
        <v>47</v>
      </c>
      <c r="D148" s="17" t="s">
        <v>120</v>
      </c>
      <c r="E148" s="17" t="s">
        <v>120</v>
      </c>
      <c r="F148" s="81" t="e">
        <f t="shared" ca="1" si="7"/>
        <v>#NAME?</v>
      </c>
      <c r="G148" s="169" t="str">
        <f t="shared" si="8"/>
        <v>b</v>
      </c>
      <c r="H148" s="169" t="str">
        <f t="shared" ref="H148:H154" si="9">SNP2F2GT(C148,D148,E148)</f>
        <v>-</v>
      </c>
      <c r="I148" s="144" t="s">
        <v>528</v>
      </c>
      <c r="J148" s="17"/>
      <c r="K148" s="144"/>
    </row>
    <row r="149" spans="1:17" x14ac:dyDescent="0.15">
      <c r="C149" s="17" t="s">
        <v>47</v>
      </c>
      <c r="D149" s="17" t="s">
        <v>120</v>
      </c>
      <c r="E149" s="17" t="s">
        <v>47</v>
      </c>
      <c r="F149" s="81" t="e">
        <f t="shared" ca="1" si="7"/>
        <v>#NAME?</v>
      </c>
      <c r="G149" s="169" t="str">
        <f t="shared" si="8"/>
        <v>h</v>
      </c>
      <c r="H149" s="169" t="str">
        <f t="shared" si="9"/>
        <v>-</v>
      </c>
      <c r="I149" s="144" t="s">
        <v>528</v>
      </c>
      <c r="J149" s="17"/>
      <c r="K149" s="144"/>
    </row>
    <row r="150" spans="1:17" x14ac:dyDescent="0.15">
      <c r="C150" s="17" t="s">
        <v>46</v>
      </c>
      <c r="D150" s="17" t="s">
        <v>46</v>
      </c>
      <c r="E150" s="17" t="s">
        <v>62</v>
      </c>
      <c r="F150" s="81" t="e">
        <f t="shared" ca="1" si="7"/>
        <v>#NAME?</v>
      </c>
      <c r="G150" s="169" t="str">
        <f t="shared" si="8"/>
        <v>-</v>
      </c>
      <c r="H150" s="169" t="str">
        <f t="shared" si="9"/>
        <v>a</v>
      </c>
      <c r="I150" s="152"/>
      <c r="J150" s="17"/>
      <c r="K150" s="144"/>
    </row>
    <row r="151" spans="1:17" x14ac:dyDescent="0.15">
      <c r="C151" s="17" t="s">
        <v>47</v>
      </c>
      <c r="D151" s="17" t="s">
        <v>116</v>
      </c>
      <c r="E151" s="17" t="s">
        <v>116</v>
      </c>
      <c r="F151" s="81" t="e">
        <f t="shared" ca="1" si="7"/>
        <v>#NAME?</v>
      </c>
      <c r="G151" s="169" t="str">
        <f t="shared" si="8"/>
        <v>b</v>
      </c>
      <c r="H151" s="169" t="str">
        <f t="shared" si="9"/>
        <v>-</v>
      </c>
      <c r="I151" s="144" t="s">
        <v>526</v>
      </c>
      <c r="J151" s="17"/>
      <c r="K151" s="144"/>
    </row>
    <row r="152" spans="1:17" x14ac:dyDescent="0.15">
      <c r="C152" s="17" t="s">
        <v>46</v>
      </c>
      <c r="D152" s="17" t="s">
        <v>46</v>
      </c>
      <c r="E152" s="17" t="s">
        <v>120</v>
      </c>
      <c r="F152" s="81" t="e">
        <f t="shared" ca="1" si="7"/>
        <v>#NAME?</v>
      </c>
      <c r="G152" s="169" t="str">
        <f t="shared" si="8"/>
        <v>-</v>
      </c>
      <c r="H152" s="169" t="str">
        <f t="shared" si="9"/>
        <v>b</v>
      </c>
      <c r="I152" s="152"/>
      <c r="J152" s="17"/>
      <c r="K152" s="144"/>
    </row>
    <row r="153" spans="1:17" x14ac:dyDescent="0.15">
      <c r="C153" s="17" t="s">
        <v>121</v>
      </c>
      <c r="D153" s="17" t="s">
        <v>121</v>
      </c>
      <c r="E153" s="17" t="s">
        <v>121</v>
      </c>
      <c r="F153" s="81" t="e">
        <f t="shared" ca="1" si="7"/>
        <v>#NAME?</v>
      </c>
      <c r="G153" s="169" t="str">
        <f t="shared" si="8"/>
        <v>-</v>
      </c>
      <c r="H153" s="169" t="str">
        <f t="shared" si="9"/>
        <v>-</v>
      </c>
      <c r="I153" s="152" t="s">
        <v>527</v>
      </c>
      <c r="J153" s="17"/>
      <c r="K153" s="144"/>
    </row>
    <row r="154" spans="1:17" x14ac:dyDescent="0.15">
      <c r="C154" s="63" t="s">
        <v>46</v>
      </c>
      <c r="D154" s="63" t="s">
        <v>46</v>
      </c>
      <c r="E154" s="63" t="s">
        <v>47</v>
      </c>
      <c r="F154" s="84" t="e">
        <f t="shared" ca="1" si="7"/>
        <v>#NAME?</v>
      </c>
      <c r="G154" s="173" t="str">
        <f t="shared" si="8"/>
        <v>-</v>
      </c>
      <c r="H154" s="173" t="str">
        <f t="shared" si="9"/>
        <v>h</v>
      </c>
      <c r="I154" s="155"/>
      <c r="J154" s="17"/>
      <c r="K154" s="144"/>
    </row>
    <row r="157" spans="1:17" x14ac:dyDescent="0.15">
      <c r="A157" s="177" t="s">
        <v>1569</v>
      </c>
      <c r="B157" s="177"/>
      <c r="C157" s="177"/>
      <c r="D157" s="177"/>
      <c r="E157" s="177"/>
      <c r="F157" s="68"/>
      <c r="G157" s="177"/>
      <c r="H157" s="177"/>
      <c r="I157" s="68"/>
      <c r="J157" s="177"/>
      <c r="K157" s="68"/>
      <c r="L157" s="177"/>
      <c r="M157" s="68"/>
      <c r="N157" s="177"/>
      <c r="O157" s="177"/>
      <c r="P157" s="177"/>
      <c r="Q157" s="177"/>
    </row>
    <row r="159" spans="1:17" x14ac:dyDescent="0.15">
      <c r="A159" s="16" t="s">
        <v>684</v>
      </c>
      <c r="B159" s="144" t="s">
        <v>686</v>
      </c>
    </row>
    <row r="160" spans="1:17" x14ac:dyDescent="0.15">
      <c r="C160" s="159" t="s">
        <v>400</v>
      </c>
    </row>
    <row r="161" spans="1:11" x14ac:dyDescent="0.15">
      <c r="C161" s="159"/>
    </row>
    <row r="162" spans="1:11" x14ac:dyDescent="0.15">
      <c r="A162" s="16" t="s">
        <v>683</v>
      </c>
      <c r="B162" s="144" t="s">
        <v>685</v>
      </c>
    </row>
    <row r="163" spans="1:11" x14ac:dyDescent="0.15">
      <c r="C163" s="159" t="s">
        <v>401</v>
      </c>
    </row>
    <row r="165" spans="1:11" x14ac:dyDescent="0.15">
      <c r="B165" s="17" t="s">
        <v>4</v>
      </c>
      <c r="C165" s="112" t="s">
        <v>164</v>
      </c>
      <c r="D165" s="112" t="s">
        <v>165</v>
      </c>
      <c r="E165" s="112" t="s">
        <v>118</v>
      </c>
      <c r="F165" s="178" t="s">
        <v>125</v>
      </c>
      <c r="G165" s="175"/>
      <c r="H165" s="175" t="s">
        <v>126</v>
      </c>
      <c r="I165" s="175"/>
      <c r="J165" s="17"/>
      <c r="K165" s="144"/>
    </row>
    <row r="166" spans="1:11" x14ac:dyDescent="0.15">
      <c r="C166" s="17" t="s">
        <v>11</v>
      </c>
      <c r="D166" s="17" t="s">
        <v>11</v>
      </c>
      <c r="E166" s="17" t="s">
        <v>11</v>
      </c>
      <c r="F166" s="179" t="b">
        <f>MWillSegregate(C166,D166)</f>
        <v>0</v>
      </c>
      <c r="H166" s="17" t="str">
        <f>MSegregateType(C166,D166)</f>
        <v>-</v>
      </c>
      <c r="I166" s="144"/>
      <c r="J166" s="17"/>
      <c r="K166" s="144"/>
    </row>
    <row r="167" spans="1:11" x14ac:dyDescent="0.15">
      <c r="C167" s="17" t="s">
        <v>11</v>
      </c>
      <c r="D167" s="17" t="s">
        <v>11</v>
      </c>
      <c r="E167" s="17" t="s">
        <v>12</v>
      </c>
      <c r="F167" s="179" t="b">
        <f t="shared" ref="F167:F181" si="10">MWillSegregate(C167,D167)</f>
        <v>0</v>
      </c>
      <c r="H167" s="17" t="str">
        <f t="shared" ref="H167:H181" si="11">MSegregateType(C167,D167)</f>
        <v>-</v>
      </c>
      <c r="I167" s="144"/>
      <c r="J167" s="17"/>
      <c r="K167" s="144"/>
    </row>
    <row r="168" spans="1:11" x14ac:dyDescent="0.15">
      <c r="C168" s="17" t="s">
        <v>11</v>
      </c>
      <c r="D168" s="17" t="s">
        <v>11</v>
      </c>
      <c r="E168" s="17" t="s">
        <v>13</v>
      </c>
      <c r="F168" s="179" t="b">
        <f t="shared" si="10"/>
        <v>0</v>
      </c>
      <c r="H168" s="17" t="str">
        <f t="shared" si="11"/>
        <v>-</v>
      </c>
      <c r="I168" s="144"/>
      <c r="J168" s="17"/>
      <c r="K168" s="144"/>
    </row>
    <row r="169" spans="1:11" x14ac:dyDescent="0.15">
      <c r="C169" s="17" t="s">
        <v>12</v>
      </c>
      <c r="D169" s="17" t="s">
        <v>12</v>
      </c>
      <c r="E169" s="17" t="s">
        <v>12</v>
      </c>
      <c r="F169" s="179" t="b">
        <f t="shared" si="10"/>
        <v>0</v>
      </c>
      <c r="H169" s="17" t="str">
        <f t="shared" si="11"/>
        <v>-</v>
      </c>
      <c r="I169" s="144"/>
      <c r="J169" s="17"/>
      <c r="K169" s="144"/>
    </row>
    <row r="170" spans="1:11" x14ac:dyDescent="0.15">
      <c r="C170" s="17" t="s">
        <v>12</v>
      </c>
      <c r="D170" s="17" t="s">
        <v>11</v>
      </c>
      <c r="E170" s="17" t="s">
        <v>13</v>
      </c>
      <c r="F170" s="179" t="b">
        <f t="shared" si="10"/>
        <v>0</v>
      </c>
      <c r="H170" s="17" t="str">
        <f t="shared" si="11"/>
        <v>F1</v>
      </c>
      <c r="I170" s="144" t="s">
        <v>531</v>
      </c>
      <c r="J170" s="17"/>
      <c r="K170" s="144"/>
    </row>
    <row r="171" spans="1:11" x14ac:dyDescent="0.15">
      <c r="C171" s="17" t="s">
        <v>11</v>
      </c>
      <c r="D171" s="17" t="s">
        <v>12</v>
      </c>
      <c r="E171" s="17" t="s">
        <v>13</v>
      </c>
      <c r="F171" s="179" t="b">
        <f t="shared" si="10"/>
        <v>0</v>
      </c>
      <c r="H171" s="17" t="str">
        <f>MSegregateType(C171,D171)</f>
        <v>F1</v>
      </c>
      <c r="I171" s="144" t="s">
        <v>532</v>
      </c>
      <c r="J171" s="17"/>
      <c r="K171" s="144"/>
    </row>
    <row r="172" spans="1:11" x14ac:dyDescent="0.15">
      <c r="C172" s="17" t="s">
        <v>11</v>
      </c>
      <c r="D172" s="17" t="s">
        <v>12</v>
      </c>
      <c r="E172" s="17" t="s">
        <v>11</v>
      </c>
      <c r="F172" s="179" t="b">
        <f t="shared" si="10"/>
        <v>0</v>
      </c>
      <c r="H172" s="17" t="str">
        <f>MSegregateType(C172,D172)</f>
        <v>F1</v>
      </c>
      <c r="I172" s="144" t="s">
        <v>533</v>
      </c>
      <c r="J172" s="17"/>
      <c r="K172" s="144"/>
    </row>
    <row r="173" spans="1:11" x14ac:dyDescent="0.15">
      <c r="C173" s="17" t="s">
        <v>11</v>
      </c>
      <c r="D173" s="17" t="s">
        <v>13</v>
      </c>
      <c r="E173" s="17" t="s">
        <v>11</v>
      </c>
      <c r="F173" s="179" t="b">
        <f t="shared" si="10"/>
        <v>1</v>
      </c>
      <c r="H173" s="17" t="str">
        <f t="shared" si="11"/>
        <v>BC1B</v>
      </c>
      <c r="I173" s="144" t="s">
        <v>528</v>
      </c>
      <c r="J173" s="17"/>
      <c r="K173" s="144"/>
    </row>
    <row r="174" spans="1:11" x14ac:dyDescent="0.15">
      <c r="C174" s="17" t="s">
        <v>11</v>
      </c>
      <c r="D174" s="17" t="s">
        <v>13</v>
      </c>
      <c r="E174" s="17" t="s">
        <v>12</v>
      </c>
      <c r="F174" s="179" t="b">
        <f t="shared" si="10"/>
        <v>1</v>
      </c>
      <c r="H174" s="17" t="str">
        <f t="shared" si="11"/>
        <v>BC1B</v>
      </c>
      <c r="I174" s="144" t="s">
        <v>528</v>
      </c>
      <c r="J174" s="17"/>
      <c r="K174" s="144"/>
    </row>
    <row r="175" spans="1:11" x14ac:dyDescent="0.15">
      <c r="C175" s="17" t="s">
        <v>12</v>
      </c>
      <c r="D175" s="17" t="s">
        <v>13</v>
      </c>
      <c r="E175" s="17" t="s">
        <v>13</v>
      </c>
      <c r="F175" s="179" t="b">
        <f t="shared" si="10"/>
        <v>1</v>
      </c>
      <c r="H175" s="17" t="str">
        <f t="shared" si="11"/>
        <v>BC1A</v>
      </c>
      <c r="I175" s="144" t="s">
        <v>526</v>
      </c>
      <c r="J175" s="17"/>
      <c r="K175" s="144"/>
    </row>
    <row r="176" spans="1:11" x14ac:dyDescent="0.15">
      <c r="C176" s="17" t="s">
        <v>13</v>
      </c>
      <c r="D176" s="17" t="s">
        <v>12</v>
      </c>
      <c r="E176" s="17" t="s">
        <v>11</v>
      </c>
      <c r="F176" s="179" t="b">
        <f t="shared" si="10"/>
        <v>1</v>
      </c>
      <c r="H176" s="17" t="str">
        <f t="shared" si="11"/>
        <v>BC1A</v>
      </c>
      <c r="I176" s="144" t="s">
        <v>526</v>
      </c>
      <c r="J176" s="17"/>
      <c r="K176" s="144"/>
    </row>
    <row r="177" spans="3:11" x14ac:dyDescent="0.15">
      <c r="C177" s="17" t="s">
        <v>13</v>
      </c>
      <c r="D177" s="17" t="s">
        <v>11</v>
      </c>
      <c r="E177" s="17" t="s">
        <v>13</v>
      </c>
      <c r="F177" s="179" t="b">
        <f t="shared" si="10"/>
        <v>1</v>
      </c>
      <c r="H177" s="17" t="str">
        <f t="shared" si="11"/>
        <v>BC1B</v>
      </c>
      <c r="I177" s="144" t="s">
        <v>528</v>
      </c>
      <c r="J177" s="17"/>
      <c r="K177" s="144"/>
    </row>
    <row r="178" spans="3:11" x14ac:dyDescent="0.15">
      <c r="C178" s="17" t="s">
        <v>13</v>
      </c>
      <c r="D178" s="17" t="s">
        <v>13</v>
      </c>
      <c r="E178" s="17" t="s">
        <v>11</v>
      </c>
      <c r="F178" s="179" t="b">
        <f t="shared" si="10"/>
        <v>1</v>
      </c>
      <c r="H178" s="17" t="str">
        <f t="shared" si="11"/>
        <v>F2</v>
      </c>
      <c r="I178" s="144"/>
      <c r="J178" s="17"/>
      <c r="K178" s="144"/>
    </row>
    <row r="179" spans="3:11" x14ac:dyDescent="0.15">
      <c r="C179" s="17" t="s">
        <v>13</v>
      </c>
      <c r="D179" s="17" t="s">
        <v>13</v>
      </c>
      <c r="E179" s="17" t="s">
        <v>12</v>
      </c>
      <c r="F179" s="179" t="b">
        <f t="shared" si="10"/>
        <v>1</v>
      </c>
      <c r="H179" s="17" t="str">
        <f t="shared" si="11"/>
        <v>F2</v>
      </c>
      <c r="I179" s="144"/>
      <c r="J179" s="17"/>
      <c r="K179" s="144"/>
    </row>
    <row r="180" spans="3:11" x14ac:dyDescent="0.15">
      <c r="C180" s="61" t="s">
        <v>13</v>
      </c>
      <c r="D180" s="61" t="s">
        <v>13</v>
      </c>
      <c r="E180" s="61" t="s">
        <v>13</v>
      </c>
      <c r="F180" s="180" t="b">
        <f t="shared" si="10"/>
        <v>1</v>
      </c>
      <c r="G180" s="152"/>
      <c r="H180" s="61" t="str">
        <f t="shared" si="11"/>
        <v>F2</v>
      </c>
      <c r="I180" s="144"/>
      <c r="J180" s="17"/>
      <c r="K180" s="144"/>
    </row>
    <row r="181" spans="3:11" x14ac:dyDescent="0.15">
      <c r="C181" s="63" t="s">
        <v>13</v>
      </c>
      <c r="D181" s="63" t="s">
        <v>117</v>
      </c>
      <c r="E181" s="63" t="s">
        <v>11</v>
      </c>
      <c r="F181" s="181" t="b">
        <f t="shared" si="10"/>
        <v>1</v>
      </c>
      <c r="G181" s="155"/>
      <c r="H181" s="63" t="str">
        <f t="shared" si="11"/>
        <v>-</v>
      </c>
      <c r="I181" s="155"/>
      <c r="J181" s="17"/>
      <c r="K181" s="144"/>
    </row>
    <row r="182" spans="3:11" x14ac:dyDescent="0.15">
      <c r="E182" s="17"/>
      <c r="F182" s="144"/>
      <c r="H182" s="17"/>
      <c r="I182" s="144"/>
      <c r="J182" s="17"/>
      <c r="K182" s="144"/>
    </row>
  </sheetData>
  <mergeCells count="1">
    <mergeCell ref="B5:J5"/>
  </mergeCells>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45"/>
  <sheetViews>
    <sheetView workbookViewId="0">
      <selection activeCell="F33" sqref="F33"/>
    </sheetView>
  </sheetViews>
  <sheetFormatPr defaultColWidth="9" defaultRowHeight="15.75" x14ac:dyDescent="0.15"/>
  <cols>
    <col min="1" max="1" width="9" style="14" customWidth="1"/>
    <col min="2" max="2" width="15.75" style="14" customWidth="1"/>
    <col min="3" max="3" width="9.5" style="14" bestFit="1" customWidth="1"/>
    <col min="4" max="10" width="9" style="14"/>
    <col min="11" max="11" width="16.125" style="14" customWidth="1"/>
    <col min="12" max="16384" width="9" style="14"/>
  </cols>
  <sheetData>
    <row r="1" spans="1:17" ht="21" x14ac:dyDescent="0.15">
      <c r="A1" s="254" t="s">
        <v>129</v>
      </c>
      <c r="F1" s="17"/>
      <c r="I1" s="17" t="s">
        <v>130</v>
      </c>
      <c r="J1" s="14" t="str">
        <f>GUGS()</f>
        <v>GUGS: ver. 1.00</v>
      </c>
      <c r="M1" s="17"/>
    </row>
    <row r="3" spans="1:17" x14ac:dyDescent="0.15">
      <c r="A3" s="47" t="s">
        <v>1255</v>
      </c>
      <c r="B3" s="48"/>
      <c r="C3" s="48"/>
      <c r="D3" s="48"/>
      <c r="E3" s="48"/>
      <c r="F3" s="49"/>
      <c r="G3" s="48"/>
      <c r="H3" s="48"/>
      <c r="I3" s="49"/>
      <c r="J3" s="48"/>
      <c r="K3" s="49"/>
      <c r="L3" s="48"/>
      <c r="M3" s="49"/>
      <c r="N3" s="48"/>
      <c r="O3" s="48"/>
      <c r="P3" s="48"/>
      <c r="Q3" s="48"/>
    </row>
    <row r="4" spans="1:17" s="53" customFormat="1" x14ac:dyDescent="0.15">
      <c r="A4" s="50"/>
      <c r="B4" s="51"/>
      <c r="C4" s="51"/>
      <c r="D4" s="51"/>
      <c r="E4" s="51"/>
      <c r="F4" s="52"/>
      <c r="G4" s="51"/>
      <c r="H4" s="51"/>
      <c r="I4" s="52"/>
      <c r="J4" s="51"/>
      <c r="K4" s="52"/>
      <c r="L4" s="51"/>
      <c r="M4" s="52"/>
      <c r="N4" s="51"/>
      <c r="O4" s="51"/>
      <c r="P4" s="51"/>
      <c r="Q4" s="51"/>
    </row>
    <row r="5" spans="1:17" s="53" customFormat="1" ht="59.25" customHeight="1" x14ac:dyDescent="0.15">
      <c r="A5" s="50"/>
      <c r="B5" s="277" t="s">
        <v>1573</v>
      </c>
      <c r="C5" s="277"/>
      <c r="D5" s="277"/>
      <c r="E5" s="277"/>
      <c r="F5" s="277"/>
      <c r="G5" s="277"/>
      <c r="H5" s="277"/>
      <c r="I5" s="277"/>
      <c r="J5" s="277"/>
      <c r="K5" s="54"/>
      <c r="L5" s="54"/>
      <c r="M5" s="52"/>
      <c r="N5" s="51"/>
      <c r="O5" s="51"/>
      <c r="P5" s="51"/>
      <c r="Q5" s="51"/>
    </row>
    <row r="6" spans="1:17" s="53" customFormat="1" x14ac:dyDescent="0.15">
      <c r="A6" s="50"/>
      <c r="B6" s="51"/>
      <c r="C6" s="51"/>
      <c r="D6" s="51"/>
      <c r="E6" s="51"/>
      <c r="F6" s="52"/>
      <c r="G6" s="51"/>
      <c r="H6" s="51"/>
      <c r="I6" s="52"/>
      <c r="J6" s="51"/>
      <c r="K6" s="52"/>
      <c r="L6" s="51"/>
      <c r="M6" s="52"/>
      <c r="N6" s="51"/>
      <c r="O6" s="51"/>
      <c r="P6" s="51"/>
      <c r="Q6" s="51"/>
    </row>
    <row r="7" spans="1:17" x14ac:dyDescent="0.15">
      <c r="B7" s="55" t="s">
        <v>1287</v>
      </c>
      <c r="C7" s="56"/>
      <c r="D7" s="56"/>
      <c r="E7" s="56"/>
      <c r="K7" s="55" t="s">
        <v>1288</v>
      </c>
      <c r="L7" s="56"/>
      <c r="M7" s="56"/>
      <c r="N7" s="56"/>
      <c r="O7" s="56"/>
      <c r="P7" s="56"/>
    </row>
    <row r="9" spans="1:17" x14ac:dyDescent="0.15">
      <c r="B9" s="13" t="s">
        <v>687</v>
      </c>
      <c r="C9" s="57" t="s">
        <v>188</v>
      </c>
      <c r="D9" s="57" t="s">
        <v>189</v>
      </c>
      <c r="E9" s="57" t="s">
        <v>190</v>
      </c>
      <c r="K9" s="13" t="s">
        <v>687</v>
      </c>
      <c r="L9" s="57" t="s">
        <v>188</v>
      </c>
      <c r="M9" s="57" t="s">
        <v>189</v>
      </c>
      <c r="N9" s="57" t="s">
        <v>190</v>
      </c>
      <c r="O9" s="57" t="s">
        <v>210</v>
      </c>
      <c r="P9" s="57" t="s">
        <v>211</v>
      </c>
    </row>
    <row r="10" spans="1:17" x14ac:dyDescent="0.25">
      <c r="B10" s="58" t="s">
        <v>191</v>
      </c>
      <c r="C10" s="59" t="s">
        <v>543</v>
      </c>
      <c r="D10" s="59" t="s">
        <v>174</v>
      </c>
      <c r="E10" s="59" t="s">
        <v>6</v>
      </c>
      <c r="K10" s="58" t="s">
        <v>191</v>
      </c>
      <c r="L10" s="60" t="s">
        <v>116</v>
      </c>
      <c r="M10" s="60" t="s">
        <v>204</v>
      </c>
      <c r="N10" s="60" t="s">
        <v>121</v>
      </c>
      <c r="O10" s="60" t="s">
        <v>62</v>
      </c>
      <c r="P10" s="60" t="s">
        <v>206</v>
      </c>
    </row>
    <row r="11" spans="1:17" x14ac:dyDescent="0.25">
      <c r="B11" s="32" t="s">
        <v>192</v>
      </c>
      <c r="C11" s="61" t="s">
        <v>175</v>
      </c>
      <c r="D11" s="61" t="s">
        <v>176</v>
      </c>
      <c r="E11" s="61" t="s">
        <v>7</v>
      </c>
      <c r="K11" s="32" t="s">
        <v>192</v>
      </c>
      <c r="L11" s="60" t="s">
        <v>46</v>
      </c>
      <c r="M11" s="60" t="s">
        <v>207</v>
      </c>
      <c r="N11" s="60" t="s">
        <v>116</v>
      </c>
      <c r="O11" s="60" t="s">
        <v>62</v>
      </c>
      <c r="P11" s="60" t="s">
        <v>116</v>
      </c>
    </row>
    <row r="12" spans="1:17" x14ac:dyDescent="0.25">
      <c r="B12" s="32" t="s">
        <v>193</v>
      </c>
      <c r="C12" s="61" t="s">
        <v>177</v>
      </c>
      <c r="D12" s="61" t="s">
        <v>178</v>
      </c>
      <c r="E12" s="61" t="s">
        <v>7</v>
      </c>
      <c r="K12" s="32" t="s">
        <v>193</v>
      </c>
      <c r="L12" s="60" t="s">
        <v>46</v>
      </c>
      <c r="M12" s="60" t="s">
        <v>207</v>
      </c>
      <c r="N12" s="60" t="s">
        <v>46</v>
      </c>
      <c r="O12" s="60" t="s">
        <v>62</v>
      </c>
      <c r="P12" s="60" t="s">
        <v>116</v>
      </c>
    </row>
    <row r="13" spans="1:17" x14ac:dyDescent="0.25">
      <c r="B13" s="32" t="s">
        <v>194</v>
      </c>
      <c r="C13" s="61" t="s">
        <v>179</v>
      </c>
      <c r="D13" s="61" t="s">
        <v>180</v>
      </c>
      <c r="E13" s="61" t="s">
        <v>7</v>
      </c>
      <c r="K13" s="32" t="s">
        <v>194</v>
      </c>
      <c r="L13" s="60" t="s">
        <v>46</v>
      </c>
      <c r="M13" s="60" t="s">
        <v>204</v>
      </c>
      <c r="N13" s="60" t="s">
        <v>46</v>
      </c>
      <c r="O13" s="60" t="s">
        <v>62</v>
      </c>
      <c r="P13" s="60" t="s">
        <v>206</v>
      </c>
    </row>
    <row r="14" spans="1:17" x14ac:dyDescent="0.25">
      <c r="B14" s="32" t="s">
        <v>195</v>
      </c>
      <c r="C14" s="61" t="s">
        <v>174</v>
      </c>
      <c r="D14" s="61" t="s">
        <v>181</v>
      </c>
      <c r="E14" s="61" t="s">
        <v>7</v>
      </c>
      <c r="K14" s="32" t="s">
        <v>195</v>
      </c>
      <c r="L14" s="60" t="s">
        <v>120</v>
      </c>
      <c r="M14" s="60" t="s">
        <v>208</v>
      </c>
      <c r="N14" s="60" t="s">
        <v>116</v>
      </c>
      <c r="O14" s="60" t="s">
        <v>62</v>
      </c>
      <c r="P14" s="60" t="s">
        <v>10</v>
      </c>
    </row>
    <row r="15" spans="1:17" x14ac:dyDescent="0.25">
      <c r="B15" s="32" t="s">
        <v>196</v>
      </c>
      <c r="C15" s="61" t="s">
        <v>176</v>
      </c>
      <c r="D15" s="61" t="s">
        <v>182</v>
      </c>
      <c r="E15" s="61" t="s">
        <v>418</v>
      </c>
      <c r="K15" s="32" t="s">
        <v>196</v>
      </c>
      <c r="L15" s="60" t="s">
        <v>46</v>
      </c>
      <c r="M15" s="60" t="s">
        <v>204</v>
      </c>
      <c r="N15" s="60" t="s">
        <v>209</v>
      </c>
      <c r="O15" s="60" t="s">
        <v>62</v>
      </c>
      <c r="P15" s="60" t="s">
        <v>116</v>
      </c>
    </row>
    <row r="16" spans="1:17" x14ac:dyDescent="0.25">
      <c r="B16" s="32" t="s">
        <v>197</v>
      </c>
      <c r="C16" s="61" t="s">
        <v>544</v>
      </c>
      <c r="D16" s="61" t="s">
        <v>183</v>
      </c>
      <c r="E16" s="61" t="s">
        <v>6</v>
      </c>
      <c r="K16" s="32" t="s">
        <v>197</v>
      </c>
      <c r="L16" s="60" t="s">
        <v>46</v>
      </c>
      <c r="M16" s="60" t="s">
        <v>204</v>
      </c>
      <c r="N16" s="60" t="s">
        <v>116</v>
      </c>
      <c r="O16" s="60" t="s">
        <v>62</v>
      </c>
      <c r="P16" s="60" t="s">
        <v>116</v>
      </c>
    </row>
    <row r="17" spans="2:16" x14ac:dyDescent="0.25">
      <c r="B17" s="32" t="s">
        <v>198</v>
      </c>
      <c r="C17" s="61" t="s">
        <v>184</v>
      </c>
      <c r="D17" s="61" t="s">
        <v>185</v>
      </c>
      <c r="E17" s="61" t="s">
        <v>50</v>
      </c>
      <c r="K17" s="32" t="s">
        <v>198</v>
      </c>
      <c r="L17" s="60" t="s">
        <v>46</v>
      </c>
      <c r="M17" s="60" t="s">
        <v>207</v>
      </c>
      <c r="N17" s="60" t="s">
        <v>46</v>
      </c>
      <c r="O17" s="60" t="s">
        <v>453</v>
      </c>
      <c r="P17" s="60" t="s">
        <v>116</v>
      </c>
    </row>
    <row r="18" spans="2:16" x14ac:dyDescent="0.25">
      <c r="B18" s="32" t="s">
        <v>199</v>
      </c>
      <c r="C18" s="61" t="s">
        <v>542</v>
      </c>
      <c r="D18" s="61" t="s">
        <v>178</v>
      </c>
      <c r="E18" s="61" t="s">
        <v>7</v>
      </c>
      <c r="K18" s="32" t="s">
        <v>199</v>
      </c>
      <c r="L18" s="60" t="s">
        <v>46</v>
      </c>
      <c r="M18" s="60" t="s">
        <v>204</v>
      </c>
      <c r="N18" s="60" t="s">
        <v>116</v>
      </c>
      <c r="O18" s="60" t="s">
        <v>62</v>
      </c>
      <c r="P18" s="60" t="s">
        <v>206</v>
      </c>
    </row>
    <row r="19" spans="2:16" x14ac:dyDescent="0.25">
      <c r="B19" s="32" t="s">
        <v>200</v>
      </c>
      <c r="C19" s="61" t="s">
        <v>182</v>
      </c>
      <c r="D19" s="61" t="s">
        <v>180</v>
      </c>
      <c r="E19" s="61" t="s">
        <v>7</v>
      </c>
      <c r="K19" s="32" t="s">
        <v>200</v>
      </c>
      <c r="L19" s="60" t="s">
        <v>46</v>
      </c>
      <c r="M19" s="60" t="s">
        <v>207</v>
      </c>
      <c r="N19" s="60" t="s">
        <v>116</v>
      </c>
      <c r="O19" s="60" t="s">
        <v>453</v>
      </c>
      <c r="P19" s="60" t="s">
        <v>206</v>
      </c>
    </row>
    <row r="20" spans="2:16" x14ac:dyDescent="0.25">
      <c r="B20" s="32" t="s">
        <v>201</v>
      </c>
      <c r="C20" s="61" t="s">
        <v>183</v>
      </c>
      <c r="D20" s="61" t="s">
        <v>186</v>
      </c>
      <c r="E20" s="61" t="s">
        <v>7</v>
      </c>
      <c r="K20" s="32" t="s">
        <v>201</v>
      </c>
      <c r="L20" s="60" t="s">
        <v>46</v>
      </c>
      <c r="M20" s="60" t="s">
        <v>208</v>
      </c>
      <c r="N20" s="60" t="s">
        <v>46</v>
      </c>
      <c r="O20" s="60" t="s">
        <v>454</v>
      </c>
      <c r="P20" s="60" t="s">
        <v>116</v>
      </c>
    </row>
    <row r="21" spans="2:16" x14ac:dyDescent="0.25">
      <c r="B21" s="62" t="s">
        <v>202</v>
      </c>
      <c r="C21" s="63" t="s">
        <v>185</v>
      </c>
      <c r="D21" s="63" t="s">
        <v>179</v>
      </c>
      <c r="E21" s="63" t="s">
        <v>187</v>
      </c>
      <c r="K21" s="62" t="s">
        <v>202</v>
      </c>
      <c r="L21" s="64" t="s">
        <v>121</v>
      </c>
      <c r="M21" s="64" t="s">
        <v>207</v>
      </c>
      <c r="N21" s="64" t="s">
        <v>116</v>
      </c>
      <c r="O21" s="64" t="s">
        <v>62</v>
      </c>
      <c r="P21" s="64" t="s">
        <v>116</v>
      </c>
    </row>
    <row r="22" spans="2:16" x14ac:dyDescent="0.25">
      <c r="B22" s="32"/>
      <c r="C22" s="61"/>
      <c r="D22" s="61"/>
      <c r="E22" s="61"/>
      <c r="K22" s="32"/>
      <c r="L22" s="65"/>
      <c r="M22" s="65"/>
      <c r="N22" s="65"/>
      <c r="O22" s="65"/>
      <c r="P22" s="65"/>
    </row>
    <row r="23" spans="2:16" x14ac:dyDescent="0.25">
      <c r="B23" s="55" t="s">
        <v>1289</v>
      </c>
      <c r="C23" s="56"/>
      <c r="D23" s="56"/>
      <c r="E23" s="56"/>
      <c r="K23" s="55" t="s">
        <v>1290</v>
      </c>
      <c r="L23" s="56"/>
      <c r="M23" s="56"/>
      <c r="N23" s="56"/>
      <c r="O23" s="65"/>
      <c r="P23" s="65"/>
    </row>
    <row r="24" spans="2:16" x14ac:dyDescent="0.25">
      <c r="O24" s="65"/>
      <c r="P24" s="65"/>
    </row>
    <row r="25" spans="2:16" x14ac:dyDescent="0.15">
      <c r="B25" s="13" t="s">
        <v>687</v>
      </c>
      <c r="C25" s="57" t="s">
        <v>188</v>
      </c>
      <c r="D25" s="57" t="s">
        <v>189</v>
      </c>
      <c r="E25" s="57" t="s">
        <v>190</v>
      </c>
      <c r="K25" s="13" t="s">
        <v>687</v>
      </c>
      <c r="L25" s="57" t="s">
        <v>188</v>
      </c>
      <c r="M25" s="57" t="s">
        <v>189</v>
      </c>
      <c r="N25" s="57" t="s">
        <v>190</v>
      </c>
      <c r="O25" s="57" t="s">
        <v>210</v>
      </c>
      <c r="P25" s="57" t="s">
        <v>211</v>
      </c>
    </row>
    <row r="26" spans="2:16" x14ac:dyDescent="0.25">
      <c r="B26" s="58" t="s">
        <v>191</v>
      </c>
      <c r="C26" s="17" t="s">
        <v>11</v>
      </c>
      <c r="D26" s="17" t="s">
        <v>11</v>
      </c>
      <c r="E26" s="61" t="s">
        <v>12</v>
      </c>
      <c r="K26" s="58" t="s">
        <v>191</v>
      </c>
      <c r="L26" s="59">
        <v>110</v>
      </c>
      <c r="M26" s="59">
        <v>151</v>
      </c>
      <c r="N26" s="59">
        <v>250</v>
      </c>
      <c r="O26" s="65">
        <v>327</v>
      </c>
      <c r="P26" s="65">
        <v>129</v>
      </c>
    </row>
    <row r="27" spans="2:16" x14ac:dyDescent="0.25">
      <c r="B27" s="32" t="s">
        <v>192</v>
      </c>
      <c r="C27" s="17" t="s">
        <v>11</v>
      </c>
      <c r="D27" s="17" t="s">
        <v>11</v>
      </c>
      <c r="E27" s="61" t="s">
        <v>12</v>
      </c>
      <c r="K27" s="32" t="s">
        <v>192</v>
      </c>
      <c r="L27" s="61">
        <v>98</v>
      </c>
      <c r="M27" s="61">
        <v>104</v>
      </c>
      <c r="N27" s="61">
        <v>239</v>
      </c>
      <c r="O27" s="65">
        <v>298</v>
      </c>
      <c r="P27" s="65">
        <v>127</v>
      </c>
    </row>
    <row r="28" spans="2:16" x14ac:dyDescent="0.25">
      <c r="B28" s="32" t="s">
        <v>193</v>
      </c>
      <c r="C28" s="17" t="s">
        <v>11</v>
      </c>
      <c r="D28" s="17" t="s">
        <v>11</v>
      </c>
      <c r="E28" s="61" t="s">
        <v>12</v>
      </c>
      <c r="K28" s="32" t="s">
        <v>193</v>
      </c>
      <c r="L28" s="61">
        <v>98</v>
      </c>
      <c r="M28" s="61">
        <v>134</v>
      </c>
      <c r="N28" s="61">
        <v>223</v>
      </c>
      <c r="O28" s="65">
        <v>260</v>
      </c>
      <c r="P28" s="65">
        <v>125</v>
      </c>
    </row>
    <row r="29" spans="2:16" x14ac:dyDescent="0.25">
      <c r="B29" s="32" t="s">
        <v>194</v>
      </c>
      <c r="C29" s="17" t="s">
        <v>12</v>
      </c>
      <c r="D29" s="17" t="s">
        <v>13</v>
      </c>
      <c r="E29" s="61" t="s">
        <v>12</v>
      </c>
      <c r="K29" s="32" t="s">
        <v>194</v>
      </c>
      <c r="L29" s="61">
        <v>116</v>
      </c>
      <c r="M29" s="61">
        <v>114</v>
      </c>
      <c r="N29" s="61">
        <v>239</v>
      </c>
      <c r="O29" s="65">
        <v>315</v>
      </c>
      <c r="P29" s="65">
        <v>122</v>
      </c>
    </row>
    <row r="30" spans="2:16" x14ac:dyDescent="0.25">
      <c r="B30" s="32" t="s">
        <v>195</v>
      </c>
      <c r="C30" s="17" t="s">
        <v>12</v>
      </c>
      <c r="D30" s="17" t="s">
        <v>11</v>
      </c>
      <c r="E30" s="61" t="s">
        <v>12</v>
      </c>
      <c r="K30" s="32" t="s">
        <v>195</v>
      </c>
      <c r="L30" s="61">
        <v>117</v>
      </c>
      <c r="M30" s="61">
        <v>114</v>
      </c>
      <c r="N30" s="61">
        <v>198</v>
      </c>
      <c r="O30" s="65">
        <v>340</v>
      </c>
      <c r="P30" s="65">
        <v>120</v>
      </c>
    </row>
    <row r="31" spans="2:16" x14ac:dyDescent="0.25">
      <c r="B31" s="32" t="s">
        <v>196</v>
      </c>
      <c r="C31" s="17" t="s">
        <v>11</v>
      </c>
      <c r="D31" s="17" t="s">
        <v>11</v>
      </c>
      <c r="E31" s="61" t="s">
        <v>12</v>
      </c>
      <c r="K31" s="32" t="s">
        <v>196</v>
      </c>
      <c r="L31" s="61">
        <v>117</v>
      </c>
      <c r="M31" s="61">
        <v>123</v>
      </c>
      <c r="N31" s="61">
        <v>251</v>
      </c>
      <c r="O31" s="65">
        <v>348</v>
      </c>
      <c r="P31" s="65">
        <v>128</v>
      </c>
    </row>
    <row r="32" spans="2:16" x14ac:dyDescent="0.25">
      <c r="B32" s="32" t="s">
        <v>197</v>
      </c>
      <c r="C32" s="17" t="s">
        <v>11</v>
      </c>
      <c r="D32" s="17" t="s">
        <v>1178</v>
      </c>
      <c r="E32" s="61" t="s">
        <v>12</v>
      </c>
      <c r="K32" s="32" t="s">
        <v>197</v>
      </c>
      <c r="L32" s="61">
        <v>113</v>
      </c>
      <c r="M32" s="61">
        <v>101</v>
      </c>
      <c r="N32" s="61">
        <v>239</v>
      </c>
      <c r="O32" s="65">
        <v>246</v>
      </c>
      <c r="P32" s="65">
        <v>126</v>
      </c>
    </row>
    <row r="33" spans="1:18" x14ac:dyDescent="0.25">
      <c r="B33" s="32" t="s">
        <v>198</v>
      </c>
      <c r="C33" s="17" t="s">
        <v>11</v>
      </c>
      <c r="D33" s="17" t="s">
        <v>13</v>
      </c>
      <c r="E33" s="61" t="s">
        <v>12</v>
      </c>
      <c r="K33" s="32" t="s">
        <v>198</v>
      </c>
      <c r="L33" s="61">
        <v>95</v>
      </c>
      <c r="M33" s="61">
        <v>124</v>
      </c>
      <c r="N33" s="61">
        <v>258</v>
      </c>
      <c r="O33" s="65">
        <v>293</v>
      </c>
      <c r="P33" s="65">
        <v>124</v>
      </c>
    </row>
    <row r="34" spans="1:18" x14ac:dyDescent="0.25">
      <c r="B34" s="32" t="s">
        <v>199</v>
      </c>
      <c r="C34" s="17" t="s">
        <v>11</v>
      </c>
      <c r="D34" s="17" t="s">
        <v>13</v>
      </c>
      <c r="E34" s="61" t="s">
        <v>12</v>
      </c>
      <c r="K34" s="32" t="s">
        <v>199</v>
      </c>
      <c r="L34" s="61">
        <v>106</v>
      </c>
      <c r="M34" s="61">
        <v>104</v>
      </c>
      <c r="N34" s="61">
        <v>250</v>
      </c>
      <c r="O34" s="65">
        <v>346</v>
      </c>
      <c r="P34" s="65">
        <v>122</v>
      </c>
    </row>
    <row r="35" spans="1:18" x14ac:dyDescent="0.25">
      <c r="B35" s="32" t="s">
        <v>200</v>
      </c>
      <c r="C35" s="17" t="s">
        <v>12</v>
      </c>
      <c r="D35" s="17" t="s">
        <v>13</v>
      </c>
      <c r="E35" s="61" t="s">
        <v>12</v>
      </c>
      <c r="K35" s="32" t="s">
        <v>200</v>
      </c>
      <c r="L35" s="61">
        <v>119</v>
      </c>
      <c r="M35" s="61">
        <v>125</v>
      </c>
      <c r="N35" s="61">
        <v>192</v>
      </c>
      <c r="O35" s="65">
        <v>260</v>
      </c>
      <c r="P35" s="65">
        <v>129</v>
      </c>
    </row>
    <row r="36" spans="1:18" x14ac:dyDescent="0.25">
      <c r="B36" s="32" t="s">
        <v>201</v>
      </c>
      <c r="C36" s="17" t="s">
        <v>13</v>
      </c>
      <c r="D36" s="17" t="s">
        <v>11</v>
      </c>
      <c r="E36" s="61" t="s">
        <v>12</v>
      </c>
      <c r="K36" s="32" t="s">
        <v>201</v>
      </c>
      <c r="L36" s="61">
        <v>96</v>
      </c>
      <c r="M36" s="61">
        <v>112</v>
      </c>
      <c r="N36" s="61">
        <v>211</v>
      </c>
      <c r="O36" s="65">
        <v>307</v>
      </c>
      <c r="P36" s="65">
        <v>125</v>
      </c>
    </row>
    <row r="37" spans="1:18" x14ac:dyDescent="0.25">
      <c r="B37" s="62" t="s">
        <v>202</v>
      </c>
      <c r="C37" s="63" t="s">
        <v>13</v>
      </c>
      <c r="D37" s="63" t="s">
        <v>11</v>
      </c>
      <c r="E37" s="63" t="s">
        <v>12</v>
      </c>
      <c r="K37" s="62" t="s">
        <v>202</v>
      </c>
      <c r="L37" s="63">
        <v>95</v>
      </c>
      <c r="M37" s="63">
        <v>146</v>
      </c>
      <c r="N37" s="63">
        <v>211</v>
      </c>
      <c r="O37" s="64">
        <v>260</v>
      </c>
      <c r="P37" s="64">
        <v>122</v>
      </c>
    </row>
    <row r="38" spans="1:18" x14ac:dyDescent="0.25">
      <c r="B38" s="32"/>
      <c r="C38" s="61"/>
      <c r="D38" s="61"/>
      <c r="E38" s="61"/>
      <c r="K38" s="32"/>
      <c r="L38" s="65"/>
      <c r="M38" s="65"/>
      <c r="N38" s="65"/>
      <c r="O38" s="65"/>
      <c r="P38" s="65"/>
    </row>
    <row r="39" spans="1:18" x14ac:dyDescent="0.25">
      <c r="B39" s="32"/>
      <c r="C39" s="61"/>
      <c r="D39" s="61"/>
      <c r="E39" s="61"/>
      <c r="K39" s="32"/>
      <c r="L39" s="65"/>
      <c r="M39" s="65"/>
      <c r="N39" s="65"/>
      <c r="O39" s="65"/>
      <c r="P39" s="65"/>
    </row>
    <row r="40" spans="1:18" x14ac:dyDescent="0.15">
      <c r="A40" s="66" t="s">
        <v>395</v>
      </c>
      <c r="B40" s="67" t="s">
        <v>1291</v>
      </c>
      <c r="C40" s="67"/>
      <c r="D40" s="67"/>
      <c r="E40" s="67"/>
      <c r="F40" s="68"/>
      <c r="G40" s="67"/>
      <c r="H40" s="67"/>
      <c r="I40" s="68"/>
      <c r="J40" s="67"/>
      <c r="K40" s="68"/>
      <c r="L40" s="67"/>
      <c r="M40" s="68"/>
      <c r="N40" s="67"/>
      <c r="O40" s="67"/>
      <c r="P40" s="67"/>
      <c r="Q40" s="67"/>
    </row>
    <row r="41" spans="1:18" x14ac:dyDescent="0.15">
      <c r="B41" s="14" t="s">
        <v>688</v>
      </c>
    </row>
    <row r="43" spans="1:18" x14ac:dyDescent="0.15">
      <c r="B43" s="69" t="s">
        <v>879</v>
      </c>
      <c r="C43" s="70" t="s">
        <v>1256</v>
      </c>
      <c r="D43" s="58"/>
      <c r="E43" s="59"/>
      <c r="F43" s="58"/>
      <c r="G43" s="58"/>
      <c r="H43" s="58"/>
      <c r="I43" s="71"/>
      <c r="K43" s="69" t="s">
        <v>879</v>
      </c>
      <c r="L43" s="70" t="s">
        <v>1257</v>
      </c>
      <c r="M43" s="58"/>
      <c r="N43" s="59"/>
      <c r="O43" s="58"/>
      <c r="P43" s="58"/>
      <c r="Q43" s="58"/>
      <c r="R43" s="71"/>
    </row>
    <row r="44" spans="1:18" x14ac:dyDescent="0.15">
      <c r="B44" s="72" t="s">
        <v>886</v>
      </c>
      <c r="C44" s="32" t="s">
        <v>1258</v>
      </c>
      <c r="D44" s="32"/>
      <c r="E44" s="61"/>
      <c r="F44" s="32"/>
      <c r="G44" s="32"/>
      <c r="H44" s="32"/>
      <c r="I44" s="73"/>
      <c r="K44" s="72" t="s">
        <v>886</v>
      </c>
      <c r="L44" s="32" t="s">
        <v>1259</v>
      </c>
      <c r="M44" s="32"/>
      <c r="N44" s="61"/>
      <c r="O44" s="32"/>
      <c r="P44" s="32"/>
      <c r="Q44" s="32"/>
      <c r="R44" s="73"/>
    </row>
    <row r="45" spans="1:18" x14ac:dyDescent="0.15">
      <c r="B45" s="74" t="s">
        <v>887</v>
      </c>
      <c r="C45" s="62" t="s">
        <v>1057</v>
      </c>
      <c r="D45" s="62"/>
      <c r="E45" s="63"/>
      <c r="F45" s="62"/>
      <c r="G45" s="62"/>
      <c r="H45" s="62"/>
      <c r="I45" s="75"/>
      <c r="K45" s="74" t="s">
        <v>887</v>
      </c>
      <c r="L45" s="62" t="s">
        <v>1056</v>
      </c>
      <c r="M45" s="62"/>
      <c r="N45" s="63"/>
      <c r="O45" s="62"/>
      <c r="P45" s="62"/>
      <c r="Q45" s="62"/>
      <c r="R45" s="75"/>
    </row>
    <row r="47" spans="1:18" x14ac:dyDescent="0.15">
      <c r="B47" s="76" t="s">
        <v>1292</v>
      </c>
      <c r="K47" s="76" t="s">
        <v>1293</v>
      </c>
    </row>
    <row r="49" spans="1:18" x14ac:dyDescent="0.15">
      <c r="B49" s="77" t="s">
        <v>416</v>
      </c>
      <c r="C49" s="78">
        <f>UniqSSRAlleles(C10:C21)</f>
        <v>13</v>
      </c>
      <c r="D49" s="78">
        <f>UniqSSRAlleles(D10:D21)</f>
        <v>8</v>
      </c>
      <c r="E49" s="78">
        <f>UniqSSRAlleles(E10:E21)</f>
        <v>3</v>
      </c>
      <c r="F49" s="79" t="s">
        <v>1182</v>
      </c>
      <c r="K49" s="77" t="s">
        <v>416</v>
      </c>
      <c r="L49" s="78">
        <f>UniqSNPAlleles(L10:L21)</f>
        <v>2</v>
      </c>
      <c r="M49" s="78">
        <f>UniqSNPAlleles(M10:M21)</f>
        <v>2</v>
      </c>
      <c r="N49" s="78">
        <f>UniqSNPAlleles(N10:N21)</f>
        <v>3</v>
      </c>
      <c r="O49" s="78">
        <f>UniqSNPAlleles(O10:O21)</f>
        <v>2</v>
      </c>
      <c r="P49" s="78">
        <f>UniqSNPAlleles(P10:P21)</f>
        <v>4</v>
      </c>
      <c r="Q49" s="79" t="s">
        <v>1183</v>
      </c>
    </row>
    <row r="52" spans="1:18" x14ac:dyDescent="0.15">
      <c r="B52" s="69" t="s">
        <v>879</v>
      </c>
      <c r="C52" s="70" t="s">
        <v>1260</v>
      </c>
      <c r="D52" s="58"/>
      <c r="E52" s="59"/>
      <c r="F52" s="58"/>
      <c r="G52" s="58"/>
      <c r="H52" s="58"/>
      <c r="I52" s="71"/>
      <c r="K52" s="69" t="s">
        <v>879</v>
      </c>
      <c r="L52" s="70" t="s">
        <v>1261</v>
      </c>
      <c r="M52" s="58"/>
      <c r="N52" s="59"/>
      <c r="O52" s="58"/>
      <c r="P52" s="58"/>
      <c r="Q52" s="58"/>
      <c r="R52" s="71"/>
    </row>
    <row r="53" spans="1:18" x14ac:dyDescent="0.15">
      <c r="B53" s="72" t="s">
        <v>886</v>
      </c>
      <c r="C53" s="32" t="s">
        <v>1262</v>
      </c>
      <c r="D53" s="32"/>
      <c r="E53" s="61"/>
      <c r="F53" s="32"/>
      <c r="G53" s="32"/>
      <c r="H53" s="32"/>
      <c r="I53" s="73"/>
      <c r="K53" s="72" t="s">
        <v>886</v>
      </c>
      <c r="L53" s="32" t="s">
        <v>1263</v>
      </c>
      <c r="M53" s="32"/>
      <c r="N53" s="61"/>
      <c r="O53" s="32"/>
      <c r="P53" s="32"/>
      <c r="Q53" s="32"/>
      <c r="R53" s="73"/>
    </row>
    <row r="54" spans="1:18" x14ac:dyDescent="0.15">
      <c r="B54" s="74" t="s">
        <v>887</v>
      </c>
      <c r="C54" s="62" t="s">
        <v>1179</v>
      </c>
      <c r="D54" s="62"/>
      <c r="E54" s="63"/>
      <c r="F54" s="62"/>
      <c r="G54" s="62"/>
      <c r="H54" s="62"/>
      <c r="I54" s="75"/>
      <c r="K54" s="74" t="s">
        <v>887</v>
      </c>
      <c r="L54" s="62" t="s">
        <v>1180</v>
      </c>
      <c r="M54" s="62"/>
      <c r="N54" s="63"/>
      <c r="O54" s="62"/>
      <c r="P54" s="62"/>
      <c r="Q54" s="62"/>
      <c r="R54" s="75"/>
    </row>
    <row r="56" spans="1:18" x14ac:dyDescent="0.15">
      <c r="B56" s="76" t="s">
        <v>1294</v>
      </c>
      <c r="K56" s="76" t="s">
        <v>1295</v>
      </c>
    </row>
    <row r="58" spans="1:18" x14ac:dyDescent="0.15">
      <c r="B58" s="77" t="s">
        <v>416</v>
      </c>
      <c r="C58" s="78">
        <f>UniqMAlleles(C26:C37)</f>
        <v>2</v>
      </c>
      <c r="D58" s="78">
        <f t="shared" ref="D58:E58" si="0">UniqMAlleles(D26:D37)</f>
        <v>2</v>
      </c>
      <c r="E58" s="78">
        <f t="shared" si="0"/>
        <v>1</v>
      </c>
      <c r="F58" s="79" t="s">
        <v>1181</v>
      </c>
      <c r="K58" s="77" t="s">
        <v>416</v>
      </c>
      <c r="L58" s="78">
        <f>UniqAlleles(L26:L37)</f>
        <v>9</v>
      </c>
      <c r="M58" s="78">
        <f t="shared" ref="M58:P58" si="1">UniqAlleles(M26:M37)</f>
        <v>10</v>
      </c>
      <c r="N58" s="78">
        <f t="shared" si="1"/>
        <v>8</v>
      </c>
      <c r="O58" s="78">
        <f t="shared" si="1"/>
        <v>10</v>
      </c>
      <c r="P58" s="78">
        <f t="shared" si="1"/>
        <v>8</v>
      </c>
      <c r="Q58" s="79" t="s">
        <v>1184</v>
      </c>
    </row>
    <row r="61" spans="1:18" x14ac:dyDescent="0.15">
      <c r="A61" s="66" t="s">
        <v>415</v>
      </c>
      <c r="B61" s="67" t="s">
        <v>1296</v>
      </c>
      <c r="C61" s="67"/>
      <c r="D61" s="67"/>
      <c r="E61" s="67"/>
      <c r="F61" s="68"/>
      <c r="G61" s="67"/>
      <c r="H61" s="67"/>
      <c r="I61" s="68"/>
      <c r="J61" s="67"/>
      <c r="K61" s="68"/>
      <c r="L61" s="67"/>
      <c r="M61" s="68"/>
      <c r="N61" s="67"/>
      <c r="O61" s="67"/>
      <c r="P61" s="67"/>
      <c r="Q61" s="67"/>
    </row>
    <row r="62" spans="1:18" x14ac:dyDescent="0.15">
      <c r="B62" s="14" t="s">
        <v>689</v>
      </c>
    </row>
    <row r="64" spans="1:18" x14ac:dyDescent="0.15">
      <c r="B64" s="69" t="s">
        <v>879</v>
      </c>
      <c r="C64" s="70" t="s">
        <v>1264</v>
      </c>
      <c r="D64" s="58"/>
      <c r="E64" s="59"/>
      <c r="F64" s="58"/>
      <c r="G64" s="58"/>
      <c r="H64" s="58"/>
      <c r="I64" s="71"/>
      <c r="K64" s="69" t="s">
        <v>879</v>
      </c>
      <c r="L64" s="70" t="s">
        <v>1265</v>
      </c>
      <c r="M64" s="58"/>
      <c r="N64" s="59"/>
      <c r="O64" s="58"/>
      <c r="P64" s="58"/>
      <c r="Q64" s="58"/>
      <c r="R64" s="71"/>
    </row>
    <row r="65" spans="2:18" x14ac:dyDescent="0.15">
      <c r="B65" s="72" t="s">
        <v>886</v>
      </c>
      <c r="C65" s="32" t="s">
        <v>1297</v>
      </c>
      <c r="D65" s="32"/>
      <c r="E65" s="61"/>
      <c r="F65" s="32"/>
      <c r="G65" s="32"/>
      <c r="H65" s="32"/>
      <c r="I65" s="73"/>
      <c r="K65" s="72" t="s">
        <v>886</v>
      </c>
      <c r="L65" s="32" t="s">
        <v>1298</v>
      </c>
      <c r="M65" s="32"/>
      <c r="N65" s="61"/>
      <c r="O65" s="32"/>
      <c r="P65" s="32"/>
      <c r="Q65" s="32"/>
      <c r="R65" s="73"/>
    </row>
    <row r="66" spans="2:18" x14ac:dyDescent="0.15">
      <c r="B66" s="74" t="s">
        <v>887</v>
      </c>
      <c r="C66" s="62" t="s">
        <v>1058</v>
      </c>
      <c r="D66" s="62"/>
      <c r="E66" s="63"/>
      <c r="F66" s="62"/>
      <c r="G66" s="62"/>
      <c r="H66" s="62"/>
      <c r="I66" s="75"/>
      <c r="K66" s="74" t="s">
        <v>887</v>
      </c>
      <c r="L66" s="62" t="s">
        <v>1059</v>
      </c>
      <c r="M66" s="62"/>
      <c r="N66" s="63"/>
      <c r="O66" s="62"/>
      <c r="P66" s="62"/>
      <c r="Q66" s="62"/>
      <c r="R66" s="75"/>
    </row>
    <row r="68" spans="2:18" x14ac:dyDescent="0.15">
      <c r="B68" s="76" t="s">
        <v>1292</v>
      </c>
      <c r="K68" s="76" t="s">
        <v>1293</v>
      </c>
    </row>
    <row r="70" spans="2:18" x14ac:dyDescent="0.15">
      <c r="B70" s="77" t="s">
        <v>417</v>
      </c>
      <c r="C70" s="78">
        <f>UniqSSRGTs(C10:C21)</f>
        <v>10</v>
      </c>
      <c r="D70" s="78">
        <f>UniqSSRGTs(D10:D21)</f>
        <v>10</v>
      </c>
      <c r="E70" s="78">
        <f>UniqSSRGTs(E10:E21)</f>
        <v>4</v>
      </c>
      <c r="F70" s="79" t="s">
        <v>203</v>
      </c>
      <c r="K70" s="77" t="s">
        <v>417</v>
      </c>
      <c r="L70" s="78">
        <f>UniqSNPGTs(L10:L21)</f>
        <v>3</v>
      </c>
      <c r="M70" s="78">
        <f>UniqSNPGTs(M10:M21)</f>
        <v>3</v>
      </c>
      <c r="N70" s="78">
        <f>UniqSNPGTs(N10:N21)</f>
        <v>4</v>
      </c>
      <c r="O70" s="78">
        <f>UniqSNPGTs(O10:O21)</f>
        <v>2</v>
      </c>
      <c r="P70" s="78">
        <f>UniqSNPGTs(P10:P21)</f>
        <v>3</v>
      </c>
      <c r="Q70" s="79" t="s">
        <v>212</v>
      </c>
    </row>
    <row r="73" spans="2:18" x14ac:dyDescent="0.15">
      <c r="B73" s="69" t="s">
        <v>879</v>
      </c>
      <c r="C73" s="70" t="s">
        <v>1266</v>
      </c>
      <c r="D73" s="58"/>
      <c r="E73" s="59"/>
      <c r="F73" s="58"/>
      <c r="G73" s="58"/>
      <c r="H73" s="58"/>
      <c r="I73" s="71"/>
    </row>
    <row r="74" spans="2:18" x14ac:dyDescent="0.15">
      <c r="B74" s="72" t="s">
        <v>886</v>
      </c>
      <c r="C74" s="32" t="s">
        <v>1299</v>
      </c>
      <c r="D74" s="32"/>
      <c r="E74" s="61"/>
      <c r="F74" s="32"/>
      <c r="G74" s="32"/>
      <c r="H74" s="32"/>
      <c r="I74" s="73"/>
    </row>
    <row r="75" spans="2:18" x14ac:dyDescent="0.15">
      <c r="B75" s="74" t="s">
        <v>887</v>
      </c>
      <c r="C75" s="62" t="s">
        <v>1185</v>
      </c>
      <c r="D75" s="62"/>
      <c r="E75" s="63"/>
      <c r="F75" s="62"/>
      <c r="G75" s="62"/>
      <c r="H75" s="62"/>
      <c r="I75" s="75"/>
    </row>
    <row r="77" spans="2:18" x14ac:dyDescent="0.15">
      <c r="B77" s="76" t="s">
        <v>1294</v>
      </c>
    </row>
    <row r="79" spans="2:18" x14ac:dyDescent="0.15">
      <c r="B79" s="77" t="s">
        <v>417</v>
      </c>
      <c r="C79" s="78">
        <f>UniqMGTs(C26:C37)</f>
        <v>3</v>
      </c>
      <c r="D79" s="78">
        <f t="shared" ref="D79:E79" si="2">UniqMGTs(D26:D37)</f>
        <v>2</v>
      </c>
      <c r="E79" s="78">
        <f t="shared" si="2"/>
        <v>1</v>
      </c>
      <c r="F79" s="79" t="s">
        <v>1186</v>
      </c>
    </row>
    <row r="83" spans="1:18" x14ac:dyDescent="0.15">
      <c r="A83" s="66" t="s">
        <v>413</v>
      </c>
      <c r="B83" s="67" t="s">
        <v>1300</v>
      </c>
      <c r="C83" s="67"/>
      <c r="D83" s="67"/>
      <c r="E83" s="67"/>
      <c r="F83" s="68"/>
      <c r="G83" s="67"/>
      <c r="H83" s="67"/>
      <c r="I83" s="68"/>
      <c r="J83" s="67"/>
      <c r="K83" s="68"/>
      <c r="L83" s="67"/>
      <c r="M83" s="68"/>
      <c r="N83" s="67"/>
      <c r="O83" s="67"/>
      <c r="P83" s="67"/>
      <c r="Q83" s="67"/>
    </row>
    <row r="84" spans="1:18" x14ac:dyDescent="0.15">
      <c r="B84" s="14" t="s">
        <v>1145</v>
      </c>
    </row>
    <row r="85" spans="1:18" x14ac:dyDescent="0.15">
      <c r="B85" s="14" t="s">
        <v>1142</v>
      </c>
    </row>
    <row r="86" spans="1:18" x14ac:dyDescent="0.15">
      <c r="B86" s="14" t="s">
        <v>690</v>
      </c>
    </row>
    <row r="88" spans="1:18" x14ac:dyDescent="0.15">
      <c r="B88" s="69" t="s">
        <v>879</v>
      </c>
      <c r="C88" s="70" t="s">
        <v>1267</v>
      </c>
      <c r="D88" s="58"/>
      <c r="E88" s="59"/>
      <c r="F88" s="58"/>
      <c r="G88" s="58"/>
      <c r="H88" s="58"/>
      <c r="I88" s="71"/>
      <c r="K88" s="69" t="s">
        <v>879</v>
      </c>
      <c r="L88" s="70" t="s">
        <v>1268</v>
      </c>
      <c r="M88" s="58"/>
      <c r="N88" s="59"/>
      <c r="O88" s="58"/>
      <c r="P88" s="58"/>
      <c r="Q88" s="58"/>
      <c r="R88" s="71"/>
    </row>
    <row r="89" spans="1:18" x14ac:dyDescent="0.15">
      <c r="B89" s="72" t="s">
        <v>1060</v>
      </c>
      <c r="C89" s="32" t="s">
        <v>1297</v>
      </c>
      <c r="D89" s="32"/>
      <c r="E89" s="61"/>
      <c r="F89" s="32"/>
      <c r="G89" s="32"/>
      <c r="H89" s="32"/>
      <c r="I89" s="73"/>
      <c r="K89" s="72" t="s">
        <v>1061</v>
      </c>
      <c r="L89" s="32" t="s">
        <v>1298</v>
      </c>
      <c r="M89" s="32"/>
      <c r="N89" s="61"/>
      <c r="O89" s="32"/>
      <c r="P89" s="32"/>
      <c r="Q89" s="32"/>
      <c r="R89" s="73"/>
    </row>
    <row r="90" spans="1:18" x14ac:dyDescent="0.15">
      <c r="B90" s="72"/>
      <c r="C90" s="32" t="s">
        <v>1269</v>
      </c>
      <c r="D90" s="32"/>
      <c r="E90" s="32"/>
      <c r="F90" s="32"/>
      <c r="G90" s="32"/>
      <c r="H90" s="32"/>
      <c r="I90" s="73"/>
      <c r="K90" s="72"/>
      <c r="L90" s="32" t="s">
        <v>1269</v>
      </c>
      <c r="M90" s="32"/>
      <c r="N90" s="32"/>
      <c r="O90" s="32"/>
      <c r="P90" s="32"/>
      <c r="Q90" s="32"/>
      <c r="R90" s="73"/>
    </row>
    <row r="91" spans="1:18" x14ac:dyDescent="0.15">
      <c r="B91" s="74" t="s">
        <v>887</v>
      </c>
      <c r="C91" s="62" t="s">
        <v>1141</v>
      </c>
      <c r="D91" s="62"/>
      <c r="E91" s="63"/>
      <c r="F91" s="62"/>
      <c r="G91" s="62"/>
      <c r="H91" s="62"/>
      <c r="I91" s="75"/>
      <c r="K91" s="74" t="s">
        <v>887</v>
      </c>
      <c r="L91" s="62" t="s">
        <v>1141</v>
      </c>
      <c r="M91" s="62"/>
      <c r="N91" s="63"/>
      <c r="O91" s="62"/>
      <c r="P91" s="62"/>
      <c r="Q91" s="62"/>
      <c r="R91" s="75"/>
    </row>
    <row r="93" spans="1:18" x14ac:dyDescent="0.15">
      <c r="B93" s="76" t="s">
        <v>1292</v>
      </c>
      <c r="K93" s="76" t="s">
        <v>1293</v>
      </c>
    </row>
    <row r="95" spans="1:18" x14ac:dyDescent="0.15">
      <c r="B95" s="80" t="s">
        <v>1147</v>
      </c>
      <c r="C95" s="13" t="s">
        <v>1148</v>
      </c>
      <c r="D95" s="13"/>
      <c r="E95" s="13"/>
      <c r="K95" s="80" t="s">
        <v>1147</v>
      </c>
      <c r="L95" s="13" t="s">
        <v>1148</v>
      </c>
      <c r="M95" s="13"/>
      <c r="N95" s="13"/>
      <c r="O95" s="13"/>
      <c r="P95" s="13"/>
    </row>
    <row r="96" spans="1:18" x14ac:dyDescent="0.15">
      <c r="B96" s="17">
        <v>1</v>
      </c>
      <c r="C96" s="81" t="str">
        <f>GetUniqSSRAllele(C$10:C$21,$B96)</f>
        <v>122</v>
      </c>
      <c r="D96" s="81" t="str">
        <f t="shared" ref="D96:E109" si="3">GetUniqSSRAllele(D$10:D$21,$B96)</f>
        <v>100</v>
      </c>
      <c r="E96" s="81" t="str">
        <f t="shared" si="3"/>
        <v>100</v>
      </c>
      <c r="F96" s="79" t="s">
        <v>1189</v>
      </c>
      <c r="K96" s="17">
        <v>1</v>
      </c>
      <c r="L96" s="82" t="str">
        <f>GetUniqSNPAllele(L$10:L$21,$K96)</f>
        <v>A</v>
      </c>
      <c r="M96" s="82" t="str">
        <f t="shared" ref="M96:P99" si="4">GetUniqSNPAllele(M$10:M$21,$K96)</f>
        <v>T</v>
      </c>
      <c r="N96" s="82" t="str">
        <f t="shared" si="4"/>
        <v>G</v>
      </c>
      <c r="O96" s="82" t="str">
        <f t="shared" si="4"/>
        <v>A</v>
      </c>
      <c r="P96" s="82" t="str">
        <f t="shared" si="4"/>
        <v>T</v>
      </c>
      <c r="Q96" s="79" t="s">
        <v>1190</v>
      </c>
    </row>
    <row r="97" spans="2:18" x14ac:dyDescent="0.15">
      <c r="B97" s="17">
        <v>2</v>
      </c>
      <c r="C97" s="81" t="str">
        <f t="shared" ref="C97:C109" si="5">GetUniqSSRAllele(C$10:C$21,$B97)</f>
        <v>140</v>
      </c>
      <c r="D97" s="81" t="str">
        <f t="shared" si="3"/>
        <v>110</v>
      </c>
      <c r="E97" s="81" t="str">
        <f t="shared" si="3"/>
        <v>110</v>
      </c>
      <c r="K97" s="17">
        <v>2</v>
      </c>
      <c r="L97" s="83" t="str">
        <f>GetUniqSNPAllele(L$10:L$21,$K97)</f>
        <v>G</v>
      </c>
      <c r="M97" s="83" t="str">
        <f t="shared" si="4"/>
        <v>C</v>
      </c>
      <c r="N97" s="83" t="str">
        <f t="shared" si="4"/>
        <v>A</v>
      </c>
      <c r="O97" s="83" t="str">
        <f t="shared" si="4"/>
        <v>T</v>
      </c>
      <c r="P97" s="83" t="str">
        <f t="shared" si="4"/>
        <v>A</v>
      </c>
    </row>
    <row r="98" spans="2:18" x14ac:dyDescent="0.15">
      <c r="B98" s="17">
        <v>3</v>
      </c>
      <c r="C98" s="81" t="str">
        <f t="shared" si="5"/>
        <v>150</v>
      </c>
      <c r="D98" s="81" t="str">
        <f t="shared" si="3"/>
        <v>120</v>
      </c>
      <c r="E98" s="81" t="str">
        <f t="shared" si="3"/>
        <v>115</v>
      </c>
      <c r="K98" s="61">
        <v>3</v>
      </c>
      <c r="L98" s="83" t="str">
        <f>GetUniqSNPAllele(L$10:L$21,$K98)</f>
        <v/>
      </c>
      <c r="M98" s="83" t="str">
        <f t="shared" si="4"/>
        <v/>
      </c>
      <c r="N98" s="83" t="str">
        <f t="shared" si="4"/>
        <v>N</v>
      </c>
      <c r="O98" s="83" t="str">
        <f t="shared" si="4"/>
        <v/>
      </c>
      <c r="P98" s="83" t="str">
        <f t="shared" si="4"/>
        <v>C</v>
      </c>
    </row>
    <row r="99" spans="2:18" x14ac:dyDescent="0.15">
      <c r="B99" s="17">
        <v>4</v>
      </c>
      <c r="C99" s="81" t="str">
        <f t="shared" si="5"/>
        <v>160</v>
      </c>
      <c r="D99" s="81" t="str">
        <f t="shared" si="3"/>
        <v>130</v>
      </c>
      <c r="E99" s="81" t="str">
        <f t="shared" si="3"/>
        <v/>
      </c>
      <c r="K99" s="63">
        <v>4</v>
      </c>
      <c r="L99" s="84" t="str">
        <f>GetUniqSNPAllele(L$10:L$21,$K99)</f>
        <v/>
      </c>
      <c r="M99" s="84" t="str">
        <f t="shared" si="4"/>
        <v/>
      </c>
      <c r="N99" s="84" t="str">
        <f t="shared" si="4"/>
        <v/>
      </c>
      <c r="O99" s="84" t="str">
        <f t="shared" si="4"/>
        <v/>
      </c>
      <c r="P99" s="84" t="str">
        <f t="shared" si="4"/>
        <v>G</v>
      </c>
    </row>
    <row r="100" spans="2:18" x14ac:dyDescent="0.15">
      <c r="B100" s="17">
        <v>5</v>
      </c>
      <c r="C100" s="81" t="str">
        <f t="shared" si="5"/>
        <v>100</v>
      </c>
      <c r="D100" s="81" t="str">
        <f t="shared" si="3"/>
        <v>140</v>
      </c>
      <c r="E100" s="81" t="str">
        <f t="shared" si="3"/>
        <v/>
      </c>
      <c r="K100" s="17"/>
      <c r="L100" s="85"/>
      <c r="M100" s="85"/>
      <c r="N100" s="85"/>
      <c r="O100" s="53"/>
    </row>
    <row r="101" spans="2:18" x14ac:dyDescent="0.15">
      <c r="B101" s="17">
        <v>6</v>
      </c>
      <c r="C101" s="81" t="str">
        <f t="shared" si="5"/>
        <v>110</v>
      </c>
      <c r="D101" s="81" t="str">
        <f t="shared" si="3"/>
        <v>150</v>
      </c>
      <c r="E101" s="81" t="str">
        <f t="shared" si="3"/>
        <v/>
      </c>
      <c r="K101" s="17"/>
      <c r="L101" s="85"/>
      <c r="M101" s="85"/>
      <c r="N101" s="85"/>
      <c r="O101" s="53"/>
    </row>
    <row r="102" spans="2:18" x14ac:dyDescent="0.15">
      <c r="B102" s="17">
        <v>7</v>
      </c>
      <c r="C102" s="81" t="str">
        <f t="shared" si="5"/>
        <v>130</v>
      </c>
      <c r="D102" s="81" t="str">
        <f t="shared" si="3"/>
        <v>160</v>
      </c>
      <c r="E102" s="81" t="str">
        <f t="shared" si="3"/>
        <v/>
      </c>
      <c r="K102" s="17"/>
      <c r="L102" s="85"/>
      <c r="M102" s="85"/>
      <c r="N102" s="85"/>
      <c r="O102" s="53"/>
    </row>
    <row r="103" spans="2:18" x14ac:dyDescent="0.15">
      <c r="B103" s="17">
        <v>8</v>
      </c>
      <c r="C103" s="81" t="str">
        <f t="shared" si="5"/>
        <v>120</v>
      </c>
      <c r="D103" s="81" t="str">
        <f t="shared" si="3"/>
        <v>105</v>
      </c>
      <c r="E103" s="81" t="str">
        <f t="shared" si="3"/>
        <v/>
      </c>
      <c r="K103" s="17"/>
      <c r="L103" s="85"/>
      <c r="M103" s="85"/>
      <c r="N103" s="85"/>
      <c r="O103" s="53"/>
    </row>
    <row r="104" spans="2:18" x14ac:dyDescent="0.15">
      <c r="B104" s="17">
        <v>9</v>
      </c>
      <c r="C104" s="81" t="str">
        <f t="shared" si="5"/>
        <v>180</v>
      </c>
      <c r="D104" s="81" t="str">
        <f t="shared" si="3"/>
        <v/>
      </c>
      <c r="E104" s="81" t="str">
        <f t="shared" si="3"/>
        <v/>
      </c>
      <c r="K104" s="17"/>
      <c r="L104" s="85"/>
      <c r="M104" s="85"/>
      <c r="N104" s="85"/>
      <c r="O104" s="53"/>
    </row>
    <row r="105" spans="2:18" x14ac:dyDescent="0.15">
      <c r="B105" s="17">
        <v>10</v>
      </c>
      <c r="C105" s="81" t="str">
        <f t="shared" si="5"/>
        <v>182</v>
      </c>
      <c r="D105" s="81" t="str">
        <f t="shared" si="3"/>
        <v/>
      </c>
      <c r="E105" s="81" t="str">
        <f t="shared" si="3"/>
        <v/>
      </c>
      <c r="K105" s="17"/>
      <c r="L105" s="85"/>
      <c r="M105" s="85"/>
      <c r="N105" s="85"/>
      <c r="O105" s="53"/>
    </row>
    <row r="106" spans="2:18" x14ac:dyDescent="0.15">
      <c r="B106" s="17">
        <v>11</v>
      </c>
      <c r="C106" s="81" t="str">
        <f t="shared" si="5"/>
        <v>155</v>
      </c>
      <c r="D106" s="81" t="str">
        <f t="shared" si="3"/>
        <v/>
      </c>
      <c r="E106" s="81" t="str">
        <f t="shared" si="3"/>
        <v/>
      </c>
      <c r="K106" s="61"/>
      <c r="L106" s="52"/>
      <c r="M106" s="52"/>
      <c r="N106" s="52"/>
      <c r="O106" s="51"/>
    </row>
    <row r="107" spans="2:18" x14ac:dyDescent="0.15">
      <c r="B107" s="17">
        <v>12</v>
      </c>
      <c r="C107" s="81" t="str">
        <f t="shared" si="5"/>
        <v>112</v>
      </c>
      <c r="D107" s="81" t="str">
        <f t="shared" si="3"/>
        <v/>
      </c>
      <c r="E107" s="81" t="str">
        <f t="shared" si="3"/>
        <v/>
      </c>
      <c r="K107" s="61"/>
      <c r="L107" s="52"/>
      <c r="M107" s="52"/>
      <c r="N107" s="52"/>
      <c r="O107" s="51"/>
    </row>
    <row r="108" spans="2:18" x14ac:dyDescent="0.15">
      <c r="B108" s="17">
        <v>13</v>
      </c>
      <c r="C108" s="81" t="str">
        <f t="shared" si="5"/>
        <v>105</v>
      </c>
      <c r="D108" s="81" t="str">
        <f t="shared" si="3"/>
        <v/>
      </c>
      <c r="E108" s="81" t="str">
        <f t="shared" si="3"/>
        <v/>
      </c>
      <c r="K108" s="61"/>
      <c r="L108" s="52"/>
      <c r="M108" s="52"/>
      <c r="N108" s="52"/>
      <c r="O108" s="51"/>
    </row>
    <row r="109" spans="2:18" x14ac:dyDescent="0.15">
      <c r="B109" s="63">
        <v>14</v>
      </c>
      <c r="C109" s="84" t="str">
        <f t="shared" si="5"/>
        <v/>
      </c>
      <c r="D109" s="84" t="str">
        <f t="shared" si="3"/>
        <v/>
      </c>
      <c r="E109" s="84" t="str">
        <f t="shared" si="3"/>
        <v/>
      </c>
      <c r="K109" s="61"/>
      <c r="L109" s="52"/>
      <c r="M109" s="52"/>
      <c r="N109" s="52"/>
      <c r="O109" s="51"/>
    </row>
    <row r="110" spans="2:18" x14ac:dyDescent="0.15">
      <c r="K110" s="32"/>
      <c r="L110" s="32"/>
      <c r="M110" s="32"/>
      <c r="N110" s="32"/>
      <c r="O110" s="32"/>
    </row>
    <row r="111" spans="2:18" x14ac:dyDescent="0.15">
      <c r="K111" s="32"/>
      <c r="L111" s="32"/>
      <c r="M111" s="32"/>
      <c r="N111" s="32"/>
      <c r="O111" s="32"/>
    </row>
    <row r="112" spans="2:18" x14ac:dyDescent="0.15">
      <c r="B112" s="69" t="s">
        <v>879</v>
      </c>
      <c r="C112" s="70" t="s">
        <v>1270</v>
      </c>
      <c r="D112" s="58"/>
      <c r="E112" s="59"/>
      <c r="F112" s="58"/>
      <c r="G112" s="58"/>
      <c r="H112" s="58"/>
      <c r="I112" s="71"/>
      <c r="K112" s="69" t="s">
        <v>879</v>
      </c>
      <c r="L112" s="70" t="s">
        <v>1271</v>
      </c>
      <c r="M112" s="58"/>
      <c r="N112" s="59"/>
      <c r="O112" s="58"/>
      <c r="P112" s="58"/>
      <c r="Q112" s="58"/>
      <c r="R112" s="71"/>
    </row>
    <row r="113" spans="2:18" x14ac:dyDescent="0.15">
      <c r="B113" s="72" t="s">
        <v>1060</v>
      </c>
      <c r="C113" s="32" t="s">
        <v>1299</v>
      </c>
      <c r="D113" s="32"/>
      <c r="E113" s="61"/>
      <c r="F113" s="32"/>
      <c r="G113" s="32"/>
      <c r="H113" s="32"/>
      <c r="I113" s="73"/>
      <c r="K113" s="72" t="s">
        <v>1061</v>
      </c>
      <c r="L113" s="32" t="s">
        <v>1298</v>
      </c>
      <c r="M113" s="32"/>
      <c r="N113" s="61"/>
      <c r="O113" s="32"/>
      <c r="P113" s="32"/>
      <c r="Q113" s="32"/>
      <c r="R113" s="73"/>
    </row>
    <row r="114" spans="2:18" x14ac:dyDescent="0.15">
      <c r="B114" s="72"/>
      <c r="C114" s="32" t="s">
        <v>1269</v>
      </c>
      <c r="D114" s="32"/>
      <c r="E114" s="32"/>
      <c r="F114" s="32"/>
      <c r="G114" s="32"/>
      <c r="H114" s="32"/>
      <c r="I114" s="73"/>
      <c r="K114" s="72"/>
      <c r="L114" s="32" t="s">
        <v>1269</v>
      </c>
      <c r="M114" s="32"/>
      <c r="N114" s="32"/>
      <c r="O114" s="32"/>
      <c r="P114" s="32"/>
      <c r="Q114" s="32"/>
      <c r="R114" s="73"/>
    </row>
    <row r="115" spans="2:18" x14ac:dyDescent="0.15">
      <c r="B115" s="74" t="s">
        <v>887</v>
      </c>
      <c r="C115" s="62" t="s">
        <v>1141</v>
      </c>
      <c r="D115" s="62"/>
      <c r="E115" s="63"/>
      <c r="F115" s="62"/>
      <c r="G115" s="62"/>
      <c r="H115" s="62"/>
      <c r="I115" s="75"/>
      <c r="K115" s="74" t="s">
        <v>887</v>
      </c>
      <c r="L115" s="62" t="s">
        <v>1141</v>
      </c>
      <c r="M115" s="62"/>
      <c r="N115" s="63"/>
      <c r="O115" s="62"/>
      <c r="P115" s="62"/>
      <c r="Q115" s="62"/>
      <c r="R115" s="75"/>
    </row>
    <row r="117" spans="2:18" x14ac:dyDescent="0.15">
      <c r="B117" s="76" t="s">
        <v>1294</v>
      </c>
      <c r="K117" s="76" t="s">
        <v>1293</v>
      </c>
    </row>
    <row r="119" spans="2:18" x14ac:dyDescent="0.15">
      <c r="B119" s="80" t="s">
        <v>1147</v>
      </c>
      <c r="C119" s="13" t="s">
        <v>1148</v>
      </c>
      <c r="D119" s="13"/>
      <c r="E119" s="13"/>
      <c r="K119" s="80" t="s">
        <v>1147</v>
      </c>
      <c r="L119" s="13" t="s">
        <v>1148</v>
      </c>
      <c r="M119" s="13"/>
      <c r="N119" s="13"/>
      <c r="O119" s="13"/>
      <c r="P119" s="13"/>
    </row>
    <row r="120" spans="2:18" x14ac:dyDescent="0.15">
      <c r="B120" s="59">
        <v>1</v>
      </c>
      <c r="C120" s="82" t="str">
        <f>GetUniqMAllele(C$26:C$37,$B120)</f>
        <v>A</v>
      </c>
      <c r="D120" s="82" t="str">
        <f t="shared" ref="D120:E121" si="6">GetUniqMAllele(D$26:D$37,$B120)</f>
        <v>A</v>
      </c>
      <c r="E120" s="82" t="str">
        <f t="shared" si="6"/>
        <v>B</v>
      </c>
      <c r="F120" s="79" t="s">
        <v>1188</v>
      </c>
      <c r="K120" s="17">
        <v>1</v>
      </c>
      <c r="L120" s="83" t="str">
        <f>GetUniqAllele(L$26:L$37,$K120)</f>
        <v>110</v>
      </c>
      <c r="M120" s="83" t="str">
        <f t="shared" ref="M120:P120" si="7">GetUniqAllele(M$26:M$37,$K120)</f>
        <v>151</v>
      </c>
      <c r="N120" s="83" t="str">
        <f t="shared" si="7"/>
        <v>250</v>
      </c>
      <c r="O120" s="83" t="str">
        <f t="shared" si="7"/>
        <v>327</v>
      </c>
      <c r="P120" s="83" t="str">
        <f t="shared" si="7"/>
        <v>129</v>
      </c>
      <c r="Q120" s="79" t="s">
        <v>1187</v>
      </c>
    </row>
    <row r="121" spans="2:18" x14ac:dyDescent="0.15">
      <c r="B121" s="63">
        <v>2</v>
      </c>
      <c r="C121" s="84" t="str">
        <f t="shared" ref="C121" si="8">GetUniqMAllele(C$26:C$37,$B121)</f>
        <v>B</v>
      </c>
      <c r="D121" s="84" t="str">
        <f t="shared" si="6"/>
        <v>B</v>
      </c>
      <c r="E121" s="84" t="str">
        <f t="shared" si="6"/>
        <v/>
      </c>
      <c r="K121" s="17">
        <v>2</v>
      </c>
      <c r="L121" s="83" t="str">
        <f t="shared" ref="L121:P130" si="9">GetUniqAllele(L$26:L$37,$K121)</f>
        <v>98</v>
      </c>
      <c r="M121" s="83" t="str">
        <f t="shared" si="9"/>
        <v>104</v>
      </c>
      <c r="N121" s="83" t="str">
        <f t="shared" si="9"/>
        <v>239</v>
      </c>
      <c r="O121" s="83" t="str">
        <f t="shared" si="9"/>
        <v>298</v>
      </c>
      <c r="P121" s="83" t="str">
        <f t="shared" si="9"/>
        <v>127</v>
      </c>
    </row>
    <row r="122" spans="2:18" x14ac:dyDescent="0.15">
      <c r="K122" s="61">
        <v>3</v>
      </c>
      <c r="L122" s="83" t="str">
        <f t="shared" si="9"/>
        <v>116</v>
      </c>
      <c r="M122" s="83" t="str">
        <f t="shared" si="9"/>
        <v>134</v>
      </c>
      <c r="N122" s="83" t="str">
        <f t="shared" si="9"/>
        <v>223</v>
      </c>
      <c r="O122" s="83" t="str">
        <f t="shared" si="9"/>
        <v>260</v>
      </c>
      <c r="P122" s="83" t="str">
        <f t="shared" si="9"/>
        <v>125</v>
      </c>
    </row>
    <row r="123" spans="2:18" x14ac:dyDescent="0.15">
      <c r="K123" s="61">
        <v>4</v>
      </c>
      <c r="L123" s="83" t="str">
        <f t="shared" si="9"/>
        <v>117</v>
      </c>
      <c r="M123" s="83" t="str">
        <f t="shared" si="9"/>
        <v>114</v>
      </c>
      <c r="N123" s="83" t="str">
        <f t="shared" si="9"/>
        <v>198</v>
      </c>
      <c r="O123" s="83" t="str">
        <f t="shared" si="9"/>
        <v>315</v>
      </c>
      <c r="P123" s="83" t="str">
        <f t="shared" si="9"/>
        <v>122</v>
      </c>
      <c r="Q123" s="32"/>
    </row>
    <row r="124" spans="2:18" x14ac:dyDescent="0.15">
      <c r="K124" s="61">
        <v>5</v>
      </c>
      <c r="L124" s="83" t="str">
        <f t="shared" si="9"/>
        <v>113</v>
      </c>
      <c r="M124" s="83" t="str">
        <f t="shared" si="9"/>
        <v>123</v>
      </c>
      <c r="N124" s="83" t="str">
        <f t="shared" si="9"/>
        <v>251</v>
      </c>
      <c r="O124" s="83" t="str">
        <f t="shared" si="9"/>
        <v>340</v>
      </c>
      <c r="P124" s="83" t="str">
        <f t="shared" si="9"/>
        <v>120</v>
      </c>
      <c r="Q124" s="32"/>
    </row>
    <row r="125" spans="2:18" x14ac:dyDescent="0.15">
      <c r="K125" s="17">
        <v>6</v>
      </c>
      <c r="L125" s="83" t="str">
        <f t="shared" si="9"/>
        <v>95</v>
      </c>
      <c r="M125" s="83" t="str">
        <f t="shared" si="9"/>
        <v>101</v>
      </c>
      <c r="N125" s="83" t="str">
        <f t="shared" si="9"/>
        <v>258</v>
      </c>
      <c r="O125" s="83" t="str">
        <f t="shared" si="9"/>
        <v>348</v>
      </c>
      <c r="P125" s="83" t="str">
        <f t="shared" si="9"/>
        <v>128</v>
      </c>
    </row>
    <row r="126" spans="2:18" x14ac:dyDescent="0.15">
      <c r="K126" s="17">
        <v>7</v>
      </c>
      <c r="L126" s="83" t="str">
        <f t="shared" si="9"/>
        <v>106</v>
      </c>
      <c r="M126" s="83" t="str">
        <f t="shared" si="9"/>
        <v>124</v>
      </c>
      <c r="N126" s="83" t="str">
        <f t="shared" si="9"/>
        <v>192</v>
      </c>
      <c r="O126" s="83" t="str">
        <f t="shared" si="9"/>
        <v>246</v>
      </c>
      <c r="P126" s="83" t="str">
        <f t="shared" si="9"/>
        <v>126</v>
      </c>
    </row>
    <row r="127" spans="2:18" x14ac:dyDescent="0.15">
      <c r="K127" s="17">
        <v>8</v>
      </c>
      <c r="L127" s="83" t="str">
        <f t="shared" si="9"/>
        <v>119</v>
      </c>
      <c r="M127" s="83" t="str">
        <f t="shared" si="9"/>
        <v>125</v>
      </c>
      <c r="N127" s="83" t="str">
        <f t="shared" si="9"/>
        <v>211</v>
      </c>
      <c r="O127" s="83" t="str">
        <f t="shared" si="9"/>
        <v>293</v>
      </c>
      <c r="P127" s="83" t="str">
        <f t="shared" si="9"/>
        <v>124</v>
      </c>
    </row>
    <row r="128" spans="2:18" x14ac:dyDescent="0.15">
      <c r="K128" s="17">
        <v>9</v>
      </c>
      <c r="L128" s="83" t="str">
        <f t="shared" si="9"/>
        <v>96</v>
      </c>
      <c r="M128" s="83" t="str">
        <f t="shared" si="9"/>
        <v>112</v>
      </c>
      <c r="N128" s="83" t="str">
        <f t="shared" si="9"/>
        <v/>
      </c>
      <c r="O128" s="83" t="str">
        <f t="shared" si="9"/>
        <v>346</v>
      </c>
      <c r="P128" s="83" t="str">
        <f t="shared" si="9"/>
        <v/>
      </c>
    </row>
    <row r="129" spans="1:18" x14ac:dyDescent="0.15">
      <c r="K129" s="61">
        <v>10</v>
      </c>
      <c r="L129" s="83" t="str">
        <f t="shared" si="9"/>
        <v/>
      </c>
      <c r="M129" s="83" t="str">
        <f t="shared" si="9"/>
        <v>146</v>
      </c>
      <c r="N129" s="83" t="str">
        <f t="shared" si="9"/>
        <v/>
      </c>
      <c r="O129" s="83" t="str">
        <f t="shared" si="9"/>
        <v>307</v>
      </c>
      <c r="P129" s="83" t="str">
        <f t="shared" si="9"/>
        <v/>
      </c>
    </row>
    <row r="130" spans="1:18" x14ac:dyDescent="0.15">
      <c r="K130" s="63">
        <v>11</v>
      </c>
      <c r="L130" s="84" t="str">
        <f t="shared" si="9"/>
        <v/>
      </c>
      <c r="M130" s="84" t="str">
        <f t="shared" si="9"/>
        <v/>
      </c>
      <c r="N130" s="84" t="str">
        <f t="shared" si="9"/>
        <v/>
      </c>
      <c r="O130" s="84" t="str">
        <f t="shared" si="9"/>
        <v/>
      </c>
      <c r="P130" s="84" t="str">
        <f t="shared" si="9"/>
        <v/>
      </c>
    </row>
    <row r="131" spans="1:18" x14ac:dyDescent="0.15">
      <c r="K131" s="52"/>
      <c r="L131" s="52"/>
      <c r="M131" s="52"/>
      <c r="N131" s="52"/>
      <c r="O131" s="52"/>
      <c r="P131" s="52"/>
    </row>
    <row r="132" spans="1:18" x14ac:dyDescent="0.15">
      <c r="K132" s="52"/>
      <c r="L132" s="52"/>
      <c r="M132" s="52"/>
      <c r="N132" s="52"/>
      <c r="O132" s="52"/>
      <c r="P132" s="52"/>
    </row>
    <row r="133" spans="1:18" x14ac:dyDescent="0.15">
      <c r="A133" s="66" t="s">
        <v>398</v>
      </c>
      <c r="B133" s="67" t="s">
        <v>1301</v>
      </c>
      <c r="C133" s="67"/>
      <c r="D133" s="67"/>
      <c r="E133" s="67"/>
      <c r="F133" s="68"/>
      <c r="G133" s="67"/>
      <c r="H133" s="67"/>
      <c r="I133" s="68"/>
      <c r="J133" s="67"/>
      <c r="K133" s="68"/>
      <c r="L133" s="67"/>
      <c r="M133" s="68"/>
      <c r="N133" s="67"/>
      <c r="O133" s="67"/>
      <c r="P133" s="67"/>
      <c r="Q133" s="67"/>
    </row>
    <row r="134" spans="1:18" x14ac:dyDescent="0.15">
      <c r="B134" s="86" t="s">
        <v>1144</v>
      </c>
    </row>
    <row r="135" spans="1:18" x14ac:dyDescent="0.15">
      <c r="B135" s="14" t="s">
        <v>1143</v>
      </c>
    </row>
    <row r="136" spans="1:18" x14ac:dyDescent="0.15">
      <c r="B136" s="86" t="s">
        <v>691</v>
      </c>
    </row>
    <row r="137" spans="1:18" x14ac:dyDescent="0.15">
      <c r="B137" s="86"/>
    </row>
    <row r="138" spans="1:18" x14ac:dyDescent="0.15">
      <c r="B138" s="69" t="s">
        <v>879</v>
      </c>
      <c r="C138" s="70" t="s">
        <v>1272</v>
      </c>
      <c r="D138" s="58"/>
      <c r="E138" s="59"/>
      <c r="F138" s="58"/>
      <c r="G138" s="58"/>
      <c r="H138" s="58"/>
      <c r="I138" s="71"/>
      <c r="K138" s="69" t="s">
        <v>879</v>
      </c>
      <c r="L138" s="70" t="s">
        <v>1273</v>
      </c>
      <c r="M138" s="58"/>
      <c r="N138" s="59"/>
      <c r="O138" s="58"/>
      <c r="P138" s="58"/>
      <c r="Q138" s="58"/>
      <c r="R138" s="71"/>
    </row>
    <row r="139" spans="1:18" x14ac:dyDescent="0.15">
      <c r="B139" s="72" t="s">
        <v>1060</v>
      </c>
      <c r="C139" s="32" t="s">
        <v>1297</v>
      </c>
      <c r="D139" s="32"/>
      <c r="E139" s="61"/>
      <c r="F139" s="32"/>
      <c r="G139" s="32"/>
      <c r="H139" s="32"/>
      <c r="I139" s="73"/>
      <c r="K139" s="72" t="s">
        <v>1061</v>
      </c>
      <c r="L139" s="32" t="s">
        <v>1298</v>
      </c>
      <c r="M139" s="32"/>
      <c r="N139" s="61"/>
      <c r="O139" s="32"/>
      <c r="P139" s="32"/>
      <c r="Q139" s="32"/>
      <c r="R139" s="73"/>
    </row>
    <row r="140" spans="1:18" x14ac:dyDescent="0.15">
      <c r="B140" s="72"/>
      <c r="C140" s="32" t="s">
        <v>1274</v>
      </c>
      <c r="D140" s="32"/>
      <c r="E140" s="32"/>
      <c r="F140" s="32"/>
      <c r="G140" s="32"/>
      <c r="H140" s="32"/>
      <c r="I140" s="73"/>
      <c r="K140" s="72"/>
      <c r="L140" s="32" t="s">
        <v>1274</v>
      </c>
      <c r="M140" s="32"/>
      <c r="N140" s="32"/>
      <c r="O140" s="32"/>
      <c r="P140" s="32"/>
      <c r="Q140" s="32"/>
      <c r="R140" s="73"/>
    </row>
    <row r="141" spans="1:18" x14ac:dyDescent="0.15">
      <c r="B141" s="74" t="s">
        <v>887</v>
      </c>
      <c r="C141" s="62" t="s">
        <v>1146</v>
      </c>
      <c r="D141" s="62"/>
      <c r="E141" s="63"/>
      <c r="F141" s="62"/>
      <c r="G141" s="62"/>
      <c r="H141" s="62"/>
      <c r="I141" s="75"/>
      <c r="K141" s="74" t="s">
        <v>887</v>
      </c>
      <c r="L141" s="62" t="s">
        <v>1146</v>
      </c>
      <c r="M141" s="62"/>
      <c r="N141" s="63"/>
      <c r="O141" s="62"/>
      <c r="P141" s="62"/>
      <c r="Q141" s="62"/>
      <c r="R141" s="75"/>
    </row>
    <row r="142" spans="1:18" x14ac:dyDescent="0.15">
      <c r="B142" s="86"/>
    </row>
    <row r="143" spans="1:18" x14ac:dyDescent="0.15">
      <c r="B143" s="76" t="s">
        <v>1292</v>
      </c>
      <c r="K143" s="76" t="s">
        <v>1293</v>
      </c>
    </row>
    <row r="145" spans="2:17" x14ac:dyDescent="0.15">
      <c r="B145" s="80" t="s">
        <v>1150</v>
      </c>
      <c r="C145" s="13" t="s">
        <v>1149</v>
      </c>
      <c r="D145" s="13"/>
      <c r="E145" s="13"/>
      <c r="K145" s="80" t="s">
        <v>1150</v>
      </c>
      <c r="L145" s="13" t="s">
        <v>1149</v>
      </c>
      <c r="M145" s="13"/>
      <c r="N145" s="13"/>
      <c r="O145" s="13"/>
      <c r="P145" s="13"/>
    </row>
    <row r="146" spans="2:17" x14ac:dyDescent="0.15">
      <c r="B146" s="17">
        <v>1</v>
      </c>
      <c r="C146" s="82" t="str">
        <f t="shared" ref="C146:E156" si="10">GetUniqSSRGT(C$10:C$21,$B146)</f>
        <v>122/180</v>
      </c>
      <c r="D146" s="82" t="str">
        <f t="shared" si="10"/>
        <v>100/140</v>
      </c>
      <c r="E146" s="82" t="str">
        <f t="shared" si="10"/>
        <v>100/110</v>
      </c>
      <c r="F146" s="79" t="s">
        <v>1192</v>
      </c>
      <c r="K146" s="17">
        <v>1</v>
      </c>
      <c r="L146" s="82" t="str">
        <f t="shared" ref="L146:P149" si="11">GetUniqSNPGT(L$10:L$21,$K146)</f>
        <v>AA</v>
      </c>
      <c r="M146" s="82" t="str">
        <f t="shared" si="11"/>
        <v>CT</v>
      </c>
      <c r="N146" s="82" t="str">
        <f t="shared" si="11"/>
        <v>GG</v>
      </c>
      <c r="O146" s="82" t="str">
        <f t="shared" si="11"/>
        <v>AA</v>
      </c>
      <c r="P146" s="82" t="str">
        <f t="shared" si="11"/>
        <v>AT</v>
      </c>
      <c r="Q146" s="79" t="s">
        <v>1193</v>
      </c>
    </row>
    <row r="147" spans="2:17" x14ac:dyDescent="0.15">
      <c r="B147" s="17">
        <v>2</v>
      </c>
      <c r="C147" s="83" t="str">
        <f t="shared" si="10"/>
        <v>140/182</v>
      </c>
      <c r="D147" s="83" t="str">
        <f t="shared" si="10"/>
        <v>110/150</v>
      </c>
      <c r="E147" s="83" t="str">
        <f t="shared" si="10"/>
        <v>100/100</v>
      </c>
      <c r="K147" s="17">
        <v>2</v>
      </c>
      <c r="L147" s="83" t="str">
        <f t="shared" si="11"/>
        <v>AG</v>
      </c>
      <c r="M147" s="83" t="str">
        <f t="shared" si="11"/>
        <v>TT</v>
      </c>
      <c r="N147" s="83" t="str">
        <f t="shared" si="11"/>
        <v>AA</v>
      </c>
      <c r="O147" s="83" t="str">
        <f t="shared" si="11"/>
        <v>TT</v>
      </c>
      <c r="P147" s="83" t="str">
        <f t="shared" si="11"/>
        <v>AA</v>
      </c>
    </row>
    <row r="148" spans="2:17" x14ac:dyDescent="0.15">
      <c r="B148" s="17">
        <v>3</v>
      </c>
      <c r="C148" s="83" t="str">
        <f t="shared" si="10"/>
        <v>150/155</v>
      </c>
      <c r="D148" s="83" t="str">
        <f t="shared" si="10"/>
        <v>100/120</v>
      </c>
      <c r="E148" s="83" t="str">
        <f t="shared" si="10"/>
        <v>110/110</v>
      </c>
      <c r="K148" s="17">
        <v>3</v>
      </c>
      <c r="L148" s="83" t="str">
        <f t="shared" si="11"/>
        <v>GG</v>
      </c>
      <c r="M148" s="83" t="str">
        <f t="shared" si="11"/>
        <v>CC</v>
      </c>
      <c r="N148" s="83" t="str">
        <f t="shared" si="11"/>
        <v>AG</v>
      </c>
      <c r="O148" s="83" t="str">
        <f t="shared" si="11"/>
        <v/>
      </c>
      <c r="P148" s="83" t="str">
        <f t="shared" si="11"/>
        <v>CG</v>
      </c>
    </row>
    <row r="149" spans="2:17" x14ac:dyDescent="0.15">
      <c r="B149" s="17">
        <v>4</v>
      </c>
      <c r="C149" s="83" t="str">
        <f t="shared" si="10"/>
        <v>160/160</v>
      </c>
      <c r="D149" s="83" t="str">
        <f t="shared" si="10"/>
        <v>110/130</v>
      </c>
      <c r="E149" s="83" t="str">
        <f t="shared" si="10"/>
        <v>110/115</v>
      </c>
      <c r="K149" s="63">
        <v>4</v>
      </c>
      <c r="L149" s="84" t="str">
        <f t="shared" si="11"/>
        <v/>
      </c>
      <c r="M149" s="84" t="str">
        <f t="shared" si="11"/>
        <v/>
      </c>
      <c r="N149" s="84" t="str">
        <f t="shared" si="11"/>
        <v>NN</v>
      </c>
      <c r="O149" s="84" t="str">
        <f t="shared" si="11"/>
        <v/>
      </c>
      <c r="P149" s="84" t="str">
        <f t="shared" si="11"/>
        <v/>
      </c>
    </row>
    <row r="150" spans="2:17" x14ac:dyDescent="0.15">
      <c r="B150" s="17">
        <v>5</v>
      </c>
      <c r="C150" s="83" t="str">
        <f t="shared" si="10"/>
        <v>100/140</v>
      </c>
      <c r="D150" s="83" t="str">
        <f t="shared" si="10"/>
        <v>120/140</v>
      </c>
      <c r="E150" s="83" t="str">
        <f t="shared" si="10"/>
        <v/>
      </c>
    </row>
    <row r="151" spans="2:17" x14ac:dyDescent="0.15">
      <c r="B151" s="17">
        <v>6</v>
      </c>
      <c r="C151" s="83" t="str">
        <f t="shared" si="10"/>
        <v>110/150</v>
      </c>
      <c r="D151" s="83" t="str">
        <f t="shared" si="10"/>
        <v>100/150</v>
      </c>
      <c r="E151" s="83" t="str">
        <f t="shared" si="10"/>
        <v/>
      </c>
    </row>
    <row r="152" spans="2:17" x14ac:dyDescent="0.15">
      <c r="B152" s="17">
        <v>7</v>
      </c>
      <c r="C152" s="83" t="str">
        <f t="shared" si="10"/>
        <v>112/130</v>
      </c>
      <c r="D152" s="83" t="str">
        <f t="shared" si="10"/>
        <v>110/160</v>
      </c>
      <c r="E152" s="83" t="str">
        <f t="shared" si="10"/>
        <v/>
      </c>
    </row>
    <row r="153" spans="2:17" x14ac:dyDescent="0.15">
      <c r="B153" s="17">
        <v>8</v>
      </c>
      <c r="C153" s="83" t="str">
        <f t="shared" si="10"/>
        <v>100/150</v>
      </c>
      <c r="D153" s="83" t="str">
        <f t="shared" si="10"/>
        <v>105/120</v>
      </c>
      <c r="E153" s="83" t="str">
        <f t="shared" si="10"/>
        <v/>
      </c>
    </row>
    <row r="154" spans="2:17" x14ac:dyDescent="0.15">
      <c r="B154" s="17">
        <v>9</v>
      </c>
      <c r="C154" s="83" t="str">
        <f t="shared" si="10"/>
        <v>110/160</v>
      </c>
      <c r="D154" s="83" t="str">
        <f t="shared" si="10"/>
        <v>150/150</v>
      </c>
      <c r="E154" s="83" t="str">
        <f t="shared" si="10"/>
        <v/>
      </c>
    </row>
    <row r="155" spans="2:17" x14ac:dyDescent="0.15">
      <c r="B155" s="17">
        <v>10</v>
      </c>
      <c r="C155" s="83" t="str">
        <f t="shared" si="10"/>
        <v>105/120</v>
      </c>
      <c r="D155" s="83" t="str">
        <f t="shared" si="10"/>
        <v>160/160</v>
      </c>
      <c r="E155" s="83" t="str">
        <f t="shared" si="10"/>
        <v/>
      </c>
    </row>
    <row r="156" spans="2:17" x14ac:dyDescent="0.15">
      <c r="B156" s="63">
        <v>11</v>
      </c>
      <c r="C156" s="84" t="str">
        <f t="shared" si="10"/>
        <v/>
      </c>
      <c r="D156" s="84" t="str">
        <f t="shared" si="10"/>
        <v/>
      </c>
      <c r="E156" s="84" t="str">
        <f t="shared" si="10"/>
        <v/>
      </c>
    </row>
    <row r="159" spans="2:17" x14ac:dyDescent="0.15">
      <c r="B159" s="69" t="s">
        <v>879</v>
      </c>
      <c r="C159" s="70" t="s">
        <v>1275</v>
      </c>
      <c r="D159" s="58"/>
      <c r="E159" s="59"/>
      <c r="F159" s="58"/>
      <c r="G159" s="58"/>
      <c r="H159" s="58"/>
      <c r="I159" s="71"/>
    </row>
    <row r="160" spans="2:17" x14ac:dyDescent="0.15">
      <c r="B160" s="72" t="s">
        <v>1060</v>
      </c>
      <c r="C160" s="32" t="s">
        <v>1299</v>
      </c>
      <c r="D160" s="32"/>
      <c r="E160" s="61"/>
      <c r="F160" s="32"/>
      <c r="G160" s="32"/>
      <c r="H160" s="32"/>
      <c r="I160" s="73"/>
    </row>
    <row r="161" spans="1:17" x14ac:dyDescent="0.15">
      <c r="B161" s="72"/>
      <c r="C161" s="32" t="s">
        <v>1274</v>
      </c>
      <c r="D161" s="32"/>
      <c r="E161" s="32"/>
      <c r="F161" s="32"/>
      <c r="G161" s="32"/>
      <c r="H161" s="32"/>
      <c r="I161" s="73"/>
    </row>
    <row r="162" spans="1:17" x14ac:dyDescent="0.15">
      <c r="B162" s="74" t="s">
        <v>887</v>
      </c>
      <c r="C162" s="62" t="s">
        <v>1146</v>
      </c>
      <c r="D162" s="62"/>
      <c r="E162" s="63"/>
      <c r="F162" s="62"/>
      <c r="G162" s="62"/>
      <c r="H162" s="62"/>
      <c r="I162" s="75"/>
    </row>
    <row r="163" spans="1:17" x14ac:dyDescent="0.15">
      <c r="B163" s="86"/>
    </row>
    <row r="164" spans="1:17" x14ac:dyDescent="0.15">
      <c r="B164" s="76" t="s">
        <v>1292</v>
      </c>
    </row>
    <row r="166" spans="1:17" x14ac:dyDescent="0.15">
      <c r="B166" s="80" t="s">
        <v>1150</v>
      </c>
      <c r="C166" s="13" t="s">
        <v>1149</v>
      </c>
      <c r="D166" s="13"/>
      <c r="E166" s="13"/>
    </row>
    <row r="167" spans="1:17" x14ac:dyDescent="0.15">
      <c r="B167" s="17">
        <v>1</v>
      </c>
      <c r="C167" s="82" t="str">
        <f>GetUniqMGT(C$26:C$37,$B167)</f>
        <v>A</v>
      </c>
      <c r="D167" s="82" t="str">
        <f t="shared" ref="D167:E167" si="12">GetUniqMGT(D$26:D$37,$B167)</f>
        <v>A</v>
      </c>
      <c r="E167" s="82" t="str">
        <f t="shared" si="12"/>
        <v>B</v>
      </c>
      <c r="F167" s="79" t="s">
        <v>1191</v>
      </c>
    </row>
    <row r="168" spans="1:17" x14ac:dyDescent="0.15">
      <c r="B168" s="17">
        <v>2</v>
      </c>
      <c r="C168" s="83" t="str">
        <f t="shared" ref="C168:E170" si="13">GetUniqMGT(C$26:C$37,$B168)</f>
        <v>B</v>
      </c>
      <c r="D168" s="83" t="str">
        <f t="shared" si="13"/>
        <v>H</v>
      </c>
      <c r="E168" s="83" t="str">
        <f t="shared" si="13"/>
        <v/>
      </c>
    </row>
    <row r="169" spans="1:17" x14ac:dyDescent="0.15">
      <c r="B169" s="17">
        <v>3</v>
      </c>
      <c r="C169" s="83" t="str">
        <f t="shared" si="13"/>
        <v>H</v>
      </c>
      <c r="D169" s="83" t="str">
        <f t="shared" si="13"/>
        <v/>
      </c>
      <c r="E169" s="83" t="str">
        <f t="shared" si="13"/>
        <v/>
      </c>
    </row>
    <row r="170" spans="1:17" x14ac:dyDescent="0.15">
      <c r="B170" s="63">
        <v>4</v>
      </c>
      <c r="C170" s="84" t="str">
        <f t="shared" si="13"/>
        <v/>
      </c>
      <c r="D170" s="84" t="str">
        <f t="shared" si="13"/>
        <v/>
      </c>
      <c r="E170" s="84" t="str">
        <f t="shared" si="13"/>
        <v/>
      </c>
    </row>
    <row r="171" spans="1:17" x14ac:dyDescent="0.15">
      <c r="B171" s="32"/>
    </row>
    <row r="173" spans="1:17" x14ac:dyDescent="0.15">
      <c r="A173" s="66" t="s">
        <v>414</v>
      </c>
      <c r="B173" s="67" t="s">
        <v>1302</v>
      </c>
      <c r="C173" s="67"/>
      <c r="D173" s="67"/>
      <c r="E173" s="67"/>
      <c r="F173" s="68"/>
      <c r="G173" s="67"/>
      <c r="H173" s="67"/>
      <c r="I173" s="68"/>
      <c r="J173" s="67"/>
      <c r="K173" s="68"/>
      <c r="L173" s="67"/>
      <c r="M173" s="68"/>
      <c r="N173" s="67"/>
      <c r="O173" s="67"/>
      <c r="P173" s="67"/>
      <c r="Q173" s="67"/>
    </row>
    <row r="174" spans="1:17" x14ac:dyDescent="0.15">
      <c r="B174" s="14" t="s">
        <v>621</v>
      </c>
    </row>
    <row r="175" spans="1:17" x14ac:dyDescent="0.15">
      <c r="B175" s="14" t="s">
        <v>622</v>
      </c>
    </row>
    <row r="177" spans="2:14" x14ac:dyDescent="0.15">
      <c r="B177" s="55" t="s">
        <v>1303</v>
      </c>
      <c r="C177" s="56"/>
      <c r="D177" s="56"/>
      <c r="E177" s="56"/>
      <c r="K177" s="55" t="s">
        <v>1304</v>
      </c>
      <c r="L177" s="56"/>
      <c r="M177" s="56"/>
      <c r="N177" s="56"/>
    </row>
    <row r="179" spans="2:14" x14ac:dyDescent="0.15">
      <c r="B179" s="13" t="s">
        <v>692</v>
      </c>
      <c r="C179" s="57" t="s">
        <v>545</v>
      </c>
      <c r="D179" s="57" t="s">
        <v>192</v>
      </c>
      <c r="E179" s="57" t="s">
        <v>193</v>
      </c>
      <c r="K179" s="13" t="s">
        <v>692</v>
      </c>
      <c r="L179" s="57" t="s">
        <v>545</v>
      </c>
      <c r="M179" s="57" t="s">
        <v>192</v>
      </c>
      <c r="N179" s="57" t="s">
        <v>193</v>
      </c>
    </row>
    <row r="180" spans="2:14" x14ac:dyDescent="0.25">
      <c r="B180" s="58" t="s">
        <v>546</v>
      </c>
      <c r="C180" s="59" t="s">
        <v>542</v>
      </c>
      <c r="D180" s="59" t="s">
        <v>558</v>
      </c>
      <c r="E180" s="59" t="s">
        <v>568</v>
      </c>
      <c r="K180" s="58" t="s">
        <v>546</v>
      </c>
      <c r="L180" s="60" t="s">
        <v>116</v>
      </c>
      <c r="M180" s="60" t="s">
        <v>574</v>
      </c>
      <c r="N180" s="60" t="s">
        <v>572</v>
      </c>
    </row>
    <row r="181" spans="2:14" x14ac:dyDescent="0.25">
      <c r="B181" s="32" t="s">
        <v>554</v>
      </c>
      <c r="C181" s="61" t="s">
        <v>175</v>
      </c>
      <c r="D181" s="61" t="s">
        <v>175</v>
      </c>
      <c r="E181" s="61" t="s">
        <v>175</v>
      </c>
      <c r="K181" s="32" t="s">
        <v>554</v>
      </c>
      <c r="L181" s="60" t="s">
        <v>569</v>
      </c>
      <c r="M181" s="60" t="s">
        <v>580</v>
      </c>
      <c r="N181" s="60" t="s">
        <v>575</v>
      </c>
    </row>
    <row r="182" spans="2:14" x14ac:dyDescent="0.25">
      <c r="B182" s="32" t="s">
        <v>547</v>
      </c>
      <c r="C182" s="61" t="s">
        <v>177</v>
      </c>
      <c r="D182" s="61" t="s">
        <v>177</v>
      </c>
      <c r="E182" s="61" t="s">
        <v>177</v>
      </c>
      <c r="K182" s="32" t="s">
        <v>547</v>
      </c>
      <c r="L182" s="60" t="s">
        <v>46</v>
      </c>
      <c r="M182" s="60" t="s">
        <v>46</v>
      </c>
      <c r="N182" s="60" t="s">
        <v>46</v>
      </c>
    </row>
    <row r="183" spans="2:14" x14ac:dyDescent="0.25">
      <c r="B183" s="32" t="s">
        <v>210</v>
      </c>
      <c r="C183" s="61" t="s">
        <v>179</v>
      </c>
      <c r="D183" s="61" t="s">
        <v>559</v>
      </c>
      <c r="E183" s="61" t="s">
        <v>179</v>
      </c>
      <c r="K183" s="32" t="s">
        <v>210</v>
      </c>
      <c r="L183" s="60" t="s">
        <v>570</v>
      </c>
      <c r="M183" s="60" t="s">
        <v>576</v>
      </c>
      <c r="N183" s="60" t="s">
        <v>577</v>
      </c>
    </row>
    <row r="184" spans="2:14" x14ac:dyDescent="0.25">
      <c r="B184" s="32" t="s">
        <v>211</v>
      </c>
      <c r="C184" s="61" t="s">
        <v>181</v>
      </c>
      <c r="D184" s="61" t="s">
        <v>174</v>
      </c>
      <c r="E184" s="61" t="s">
        <v>174</v>
      </c>
      <c r="K184" s="32" t="s">
        <v>211</v>
      </c>
      <c r="L184" s="60" t="s">
        <v>120</v>
      </c>
      <c r="M184" s="60" t="s">
        <v>578</v>
      </c>
      <c r="N184" s="60" t="s">
        <v>120</v>
      </c>
    </row>
    <row r="185" spans="2:14" x14ac:dyDescent="0.25">
      <c r="B185" s="32" t="s">
        <v>548</v>
      </c>
      <c r="C185" s="61" t="s">
        <v>176</v>
      </c>
      <c r="D185" s="61" t="s">
        <v>560</v>
      </c>
      <c r="E185" s="61" t="s">
        <v>176</v>
      </c>
      <c r="K185" s="32" t="s">
        <v>548</v>
      </c>
      <c r="L185" s="60" t="s">
        <v>46</v>
      </c>
      <c r="M185" s="60" t="s">
        <v>46</v>
      </c>
      <c r="N185" s="60" t="s">
        <v>576</v>
      </c>
    </row>
    <row r="186" spans="2:14" x14ac:dyDescent="0.25">
      <c r="B186" s="32" t="s">
        <v>549</v>
      </c>
      <c r="C186" s="61" t="s">
        <v>542</v>
      </c>
      <c r="D186" s="61" t="s">
        <v>542</v>
      </c>
      <c r="E186" s="61" t="s">
        <v>542</v>
      </c>
      <c r="K186" s="32" t="s">
        <v>549</v>
      </c>
      <c r="L186" s="60" t="s">
        <v>571</v>
      </c>
      <c r="M186" s="60" t="s">
        <v>572</v>
      </c>
      <c r="N186" s="60" t="s">
        <v>571</v>
      </c>
    </row>
    <row r="187" spans="2:14" x14ac:dyDescent="0.25">
      <c r="B187" s="32" t="s">
        <v>550</v>
      </c>
      <c r="C187" s="61" t="s">
        <v>184</v>
      </c>
      <c r="D187" s="61" t="s">
        <v>556</v>
      </c>
      <c r="E187" s="61" t="s">
        <v>557</v>
      </c>
      <c r="K187" s="32" t="s">
        <v>550</v>
      </c>
      <c r="L187" s="60" t="s">
        <v>572</v>
      </c>
      <c r="M187" s="60" t="s">
        <v>576</v>
      </c>
      <c r="N187" s="60" t="s">
        <v>572</v>
      </c>
    </row>
    <row r="188" spans="2:14" x14ac:dyDescent="0.25">
      <c r="B188" s="32" t="s">
        <v>551</v>
      </c>
      <c r="C188" s="61" t="s">
        <v>542</v>
      </c>
      <c r="D188" s="61" t="s">
        <v>561</v>
      </c>
      <c r="E188" s="61" t="s">
        <v>542</v>
      </c>
      <c r="K188" s="32" t="s">
        <v>551</v>
      </c>
      <c r="L188" s="60" t="s">
        <v>573</v>
      </c>
      <c r="M188" s="60" t="s">
        <v>573</v>
      </c>
      <c r="N188" s="60" t="s">
        <v>570</v>
      </c>
    </row>
    <row r="189" spans="2:14" x14ac:dyDescent="0.25">
      <c r="B189" s="32" t="s">
        <v>552</v>
      </c>
      <c r="C189" s="61" t="s">
        <v>182</v>
      </c>
      <c r="D189" s="61" t="s">
        <v>562</v>
      </c>
      <c r="E189" s="61" t="s">
        <v>182</v>
      </c>
      <c r="K189" s="32" t="s">
        <v>552</v>
      </c>
      <c r="L189" s="60" t="s">
        <v>46</v>
      </c>
      <c r="M189" s="60" t="s">
        <v>46</v>
      </c>
      <c r="N189" s="60" t="s">
        <v>576</v>
      </c>
    </row>
    <row r="190" spans="2:14" x14ac:dyDescent="0.25">
      <c r="B190" s="32" t="s">
        <v>553</v>
      </c>
      <c r="C190" s="61" t="s">
        <v>183</v>
      </c>
      <c r="D190" s="61" t="s">
        <v>563</v>
      </c>
      <c r="E190" s="61" t="s">
        <v>183</v>
      </c>
      <c r="K190" s="32" t="s">
        <v>553</v>
      </c>
      <c r="L190" s="60" t="s">
        <v>570</v>
      </c>
      <c r="M190" s="60" t="s">
        <v>581</v>
      </c>
      <c r="N190" s="60" t="s">
        <v>579</v>
      </c>
    </row>
    <row r="191" spans="2:14" x14ac:dyDescent="0.25">
      <c r="B191" s="62" t="s">
        <v>555</v>
      </c>
      <c r="C191" s="63" t="s">
        <v>185</v>
      </c>
      <c r="D191" s="63" t="s">
        <v>564</v>
      </c>
      <c r="E191" s="63" t="s">
        <v>185</v>
      </c>
      <c r="K191" s="62" t="s">
        <v>555</v>
      </c>
      <c r="L191" s="64" t="s">
        <v>121</v>
      </c>
      <c r="M191" s="64" t="s">
        <v>582</v>
      </c>
      <c r="N191" s="64" t="s">
        <v>583</v>
      </c>
    </row>
    <row r="193" spans="2:18" x14ac:dyDescent="0.15">
      <c r="B193" s="76" t="s">
        <v>1305</v>
      </c>
      <c r="K193" s="76" t="s">
        <v>1306</v>
      </c>
    </row>
    <row r="194" spans="2:18" x14ac:dyDescent="0.15">
      <c r="B194" s="76"/>
      <c r="K194" s="76"/>
    </row>
    <row r="195" spans="2:18" x14ac:dyDescent="0.15">
      <c r="B195" s="69" t="s">
        <v>879</v>
      </c>
      <c r="C195" s="70" t="s">
        <v>1276</v>
      </c>
      <c r="D195" s="58"/>
      <c r="E195" s="59"/>
      <c r="F195" s="58"/>
      <c r="G195" s="58"/>
      <c r="H195" s="58"/>
      <c r="I195" s="71"/>
      <c r="K195" s="69" t="s">
        <v>879</v>
      </c>
      <c r="L195" s="70" t="s">
        <v>1277</v>
      </c>
      <c r="M195" s="58"/>
      <c r="N195" s="59"/>
      <c r="O195" s="58"/>
      <c r="P195" s="58"/>
      <c r="Q195" s="58"/>
      <c r="R195" s="71"/>
    </row>
    <row r="196" spans="2:18" x14ac:dyDescent="0.15">
      <c r="B196" s="72" t="s">
        <v>1060</v>
      </c>
      <c r="C196" s="32" t="s">
        <v>1278</v>
      </c>
      <c r="D196" s="32"/>
      <c r="E196" s="61"/>
      <c r="F196" s="32"/>
      <c r="G196" s="32"/>
      <c r="H196" s="32"/>
      <c r="I196" s="73"/>
      <c r="K196" s="72" t="s">
        <v>1061</v>
      </c>
      <c r="L196" s="32" t="s">
        <v>1279</v>
      </c>
      <c r="M196" s="32"/>
      <c r="N196" s="61"/>
      <c r="O196" s="32"/>
      <c r="P196" s="32"/>
      <c r="Q196" s="32"/>
      <c r="R196" s="73"/>
    </row>
    <row r="197" spans="2:18" x14ac:dyDescent="0.15">
      <c r="B197" s="74" t="s">
        <v>887</v>
      </c>
      <c r="C197" s="62" t="s">
        <v>1064</v>
      </c>
      <c r="D197" s="62"/>
      <c r="E197" s="63"/>
      <c r="F197" s="62"/>
      <c r="G197" s="62"/>
      <c r="H197" s="62"/>
      <c r="I197" s="75"/>
      <c r="K197" s="74" t="s">
        <v>887</v>
      </c>
      <c r="L197" s="62" t="s">
        <v>1065</v>
      </c>
      <c r="M197" s="62"/>
      <c r="N197" s="63"/>
      <c r="O197" s="62"/>
      <c r="P197" s="62"/>
      <c r="Q197" s="62"/>
      <c r="R197" s="75"/>
    </row>
    <row r="198" spans="2:18" x14ac:dyDescent="0.15">
      <c r="B198" s="76"/>
      <c r="K198" s="76"/>
    </row>
    <row r="199" spans="2:18" x14ac:dyDescent="0.15">
      <c r="C199" s="80" t="s">
        <v>565</v>
      </c>
      <c r="D199" s="80" t="s">
        <v>566</v>
      </c>
      <c r="E199" s="80" t="s">
        <v>567</v>
      </c>
      <c r="L199" s="80" t="s">
        <v>565</v>
      </c>
      <c r="M199" s="80" t="s">
        <v>566</v>
      </c>
      <c r="N199" s="80" t="s">
        <v>567</v>
      </c>
    </row>
    <row r="200" spans="2:18" x14ac:dyDescent="0.15">
      <c r="B200" s="77" t="s">
        <v>623</v>
      </c>
      <c r="C200" s="87">
        <f>SSRMatchedRatio(C180:C191,D180:D191)</f>
        <v>0.33333333333333331</v>
      </c>
      <c r="D200" s="87">
        <f>SSRMatchedRatio(C180:C191,E180:E191)</f>
        <v>0.75</v>
      </c>
      <c r="E200" s="87">
        <f>SSRMatchedRatio(D180:D191,E180:E191)</f>
        <v>0.41666666666666669</v>
      </c>
      <c r="F200" s="79" t="s">
        <v>630</v>
      </c>
      <c r="K200" s="77" t="s">
        <v>623</v>
      </c>
      <c r="L200" s="87">
        <f>SNPMatchedRatio(L180:L191,M180:M191)</f>
        <v>0.41666666666666669</v>
      </c>
      <c r="M200" s="87">
        <f>SNPMatchedRatio(L180:L191,N180:N191)</f>
        <v>0.5</v>
      </c>
      <c r="N200" s="87">
        <f>SNPMatchedRatio(M180:M191,N180:N191)</f>
        <v>8.3333333333333329E-2</v>
      </c>
      <c r="O200" s="79" t="s">
        <v>629</v>
      </c>
    </row>
    <row r="203" spans="2:18" x14ac:dyDescent="0.15">
      <c r="B203" s="55" t="s">
        <v>1307</v>
      </c>
      <c r="C203" s="56"/>
      <c r="D203" s="56"/>
      <c r="E203" s="56"/>
      <c r="K203" s="55" t="s">
        <v>1308</v>
      </c>
      <c r="L203" s="56"/>
      <c r="M203" s="56"/>
      <c r="N203" s="56"/>
    </row>
    <row r="205" spans="2:18" x14ac:dyDescent="0.15">
      <c r="B205" s="13" t="s">
        <v>692</v>
      </c>
      <c r="C205" s="57" t="s">
        <v>545</v>
      </c>
      <c r="D205" s="57" t="s">
        <v>192</v>
      </c>
      <c r="E205" s="57" t="s">
        <v>193</v>
      </c>
      <c r="K205" s="13" t="s">
        <v>692</v>
      </c>
      <c r="L205" s="57" t="s">
        <v>545</v>
      </c>
      <c r="M205" s="57" t="s">
        <v>192</v>
      </c>
      <c r="N205" s="57" t="s">
        <v>193</v>
      </c>
    </row>
    <row r="206" spans="2:18" x14ac:dyDescent="0.15">
      <c r="B206" s="58" t="s">
        <v>546</v>
      </c>
      <c r="C206" s="59" t="s">
        <v>12</v>
      </c>
      <c r="D206" s="59" t="s">
        <v>12</v>
      </c>
      <c r="E206" s="59" t="s">
        <v>11</v>
      </c>
      <c r="K206" s="58" t="s">
        <v>546</v>
      </c>
      <c r="L206" s="59" t="s">
        <v>84</v>
      </c>
      <c r="M206" s="59" t="s">
        <v>85</v>
      </c>
      <c r="N206" s="59" t="s">
        <v>85</v>
      </c>
    </row>
    <row r="207" spans="2:18" x14ac:dyDescent="0.15">
      <c r="B207" s="32" t="s">
        <v>554</v>
      </c>
      <c r="C207" s="61" t="s">
        <v>585</v>
      </c>
      <c r="D207" s="61" t="s">
        <v>12</v>
      </c>
      <c r="E207" s="61" t="s">
        <v>13</v>
      </c>
      <c r="K207" s="32" t="s">
        <v>554</v>
      </c>
      <c r="L207" s="61">
        <v>100</v>
      </c>
      <c r="M207" s="61">
        <v>100</v>
      </c>
      <c r="N207" s="61">
        <v>110</v>
      </c>
    </row>
    <row r="208" spans="2:18" x14ac:dyDescent="0.15">
      <c r="B208" s="32" t="s">
        <v>547</v>
      </c>
      <c r="C208" s="61" t="s">
        <v>12</v>
      </c>
      <c r="D208" s="61" t="s">
        <v>12</v>
      </c>
      <c r="E208" s="61" t="s">
        <v>11</v>
      </c>
      <c r="K208" s="32" t="s">
        <v>547</v>
      </c>
      <c r="L208" s="61">
        <v>95</v>
      </c>
      <c r="M208" s="61">
        <v>120</v>
      </c>
      <c r="N208" s="61">
        <v>95</v>
      </c>
    </row>
    <row r="209" spans="1:18" x14ac:dyDescent="0.15">
      <c r="B209" s="32" t="s">
        <v>210</v>
      </c>
      <c r="C209" s="61" t="s">
        <v>586</v>
      </c>
      <c r="D209" s="61" t="s">
        <v>589</v>
      </c>
      <c r="E209" s="61" t="s">
        <v>588</v>
      </c>
      <c r="K209" s="32" t="s">
        <v>210</v>
      </c>
      <c r="L209" s="61" t="s">
        <v>590</v>
      </c>
      <c r="M209" s="61" t="s">
        <v>590</v>
      </c>
      <c r="N209" s="61" t="s">
        <v>591</v>
      </c>
    </row>
    <row r="210" spans="1:18" x14ac:dyDescent="0.15">
      <c r="B210" s="62" t="s">
        <v>211</v>
      </c>
      <c r="C210" s="63" t="s">
        <v>587</v>
      </c>
      <c r="D210" s="63" t="s">
        <v>587</v>
      </c>
      <c r="E210" s="63" t="s">
        <v>586</v>
      </c>
      <c r="K210" s="62" t="s">
        <v>211</v>
      </c>
      <c r="L210" s="63" t="s">
        <v>592</v>
      </c>
      <c r="M210" s="63" t="s">
        <v>593</v>
      </c>
      <c r="N210" s="63" t="s">
        <v>589</v>
      </c>
    </row>
    <row r="212" spans="1:18" x14ac:dyDescent="0.15">
      <c r="B212" s="76" t="s">
        <v>1309</v>
      </c>
      <c r="K212" s="76" t="s">
        <v>1310</v>
      </c>
    </row>
    <row r="213" spans="1:18" x14ac:dyDescent="0.15">
      <c r="B213" s="76"/>
      <c r="K213" s="76"/>
    </row>
    <row r="214" spans="1:18" x14ac:dyDescent="0.15">
      <c r="B214" s="69" t="s">
        <v>879</v>
      </c>
      <c r="C214" s="70" t="s">
        <v>1280</v>
      </c>
      <c r="D214" s="58"/>
      <c r="E214" s="59"/>
      <c r="F214" s="58"/>
      <c r="G214" s="58"/>
      <c r="H214" s="58"/>
      <c r="I214" s="71"/>
      <c r="K214" s="69" t="s">
        <v>879</v>
      </c>
      <c r="L214" s="70" t="s">
        <v>1281</v>
      </c>
      <c r="M214" s="58"/>
      <c r="N214" s="59"/>
      <c r="O214" s="58"/>
      <c r="P214" s="58"/>
      <c r="Q214" s="58"/>
      <c r="R214" s="71"/>
    </row>
    <row r="215" spans="1:18" x14ac:dyDescent="0.15">
      <c r="B215" s="72" t="s">
        <v>1060</v>
      </c>
      <c r="C215" s="32" t="s">
        <v>1282</v>
      </c>
      <c r="D215" s="32"/>
      <c r="E215" s="61"/>
      <c r="F215" s="32"/>
      <c r="G215" s="32"/>
      <c r="H215" s="32"/>
      <c r="I215" s="73"/>
      <c r="K215" s="72" t="s">
        <v>1061</v>
      </c>
      <c r="L215" s="32" t="s">
        <v>1283</v>
      </c>
      <c r="M215" s="32"/>
      <c r="N215" s="61"/>
      <c r="O215" s="32"/>
      <c r="P215" s="32"/>
      <c r="Q215" s="32"/>
      <c r="R215" s="73"/>
    </row>
    <row r="216" spans="1:18" x14ac:dyDescent="0.15">
      <c r="B216" s="74" t="s">
        <v>887</v>
      </c>
      <c r="C216" s="62" t="s">
        <v>1063</v>
      </c>
      <c r="D216" s="62"/>
      <c r="E216" s="63"/>
      <c r="F216" s="62"/>
      <c r="G216" s="62"/>
      <c r="H216" s="62"/>
      <c r="I216" s="75"/>
      <c r="K216" s="74" t="s">
        <v>887</v>
      </c>
      <c r="L216" s="62" t="s">
        <v>1062</v>
      </c>
      <c r="M216" s="62"/>
      <c r="N216" s="63"/>
      <c r="O216" s="62"/>
      <c r="P216" s="62"/>
      <c r="Q216" s="62"/>
      <c r="R216" s="75"/>
    </row>
    <row r="217" spans="1:18" x14ac:dyDescent="0.15">
      <c r="B217" s="51"/>
      <c r="K217" s="51"/>
    </row>
    <row r="218" spans="1:18" x14ac:dyDescent="0.15">
      <c r="C218" s="80" t="s">
        <v>565</v>
      </c>
      <c r="D218" s="80" t="s">
        <v>566</v>
      </c>
      <c r="E218" s="80" t="s">
        <v>567</v>
      </c>
      <c r="L218" s="80" t="s">
        <v>565</v>
      </c>
      <c r="M218" s="80" t="s">
        <v>566</v>
      </c>
      <c r="N218" s="80" t="s">
        <v>567</v>
      </c>
    </row>
    <row r="219" spans="1:18" x14ac:dyDescent="0.15">
      <c r="B219" s="77" t="s">
        <v>623</v>
      </c>
      <c r="C219" s="87">
        <f>MMatchedRatio(C206:C210,D206:D210)</f>
        <v>0.6</v>
      </c>
      <c r="D219" s="87">
        <f>MMatchedRatio(C206:C210,E206:E210)</f>
        <v>0</v>
      </c>
      <c r="E219" s="87">
        <f>MMatchedRatio(D206:D210,E206:E210)</f>
        <v>0.2</v>
      </c>
      <c r="F219" s="79" t="s">
        <v>627</v>
      </c>
      <c r="K219" s="77" t="s">
        <v>623</v>
      </c>
      <c r="L219" s="87">
        <f>MatchedRatio(L206:L210,M206:M210)</f>
        <v>0.6</v>
      </c>
      <c r="M219" s="87">
        <f>MatchedRatio(L206:L210,N206:N210)</f>
        <v>0.4</v>
      </c>
      <c r="N219" s="87">
        <f>MatchedRatio(M206:M210,N206:N210)</f>
        <v>0.4</v>
      </c>
      <c r="O219" s="79" t="s">
        <v>628</v>
      </c>
    </row>
    <row r="224" spans="1:18" x14ac:dyDescent="0.15">
      <c r="A224" s="66" t="s">
        <v>393</v>
      </c>
      <c r="B224" s="67" t="s">
        <v>1311</v>
      </c>
      <c r="C224" s="67"/>
      <c r="D224" s="67"/>
      <c r="E224" s="67"/>
      <c r="F224" s="68"/>
      <c r="G224" s="67"/>
      <c r="H224" s="67"/>
      <c r="I224" s="68"/>
      <c r="J224" s="67"/>
      <c r="K224" s="68"/>
      <c r="L224" s="67"/>
      <c r="M224" s="68"/>
      <c r="N224" s="67"/>
      <c r="O224" s="67"/>
      <c r="P224" s="67"/>
      <c r="Q224" s="67"/>
    </row>
    <row r="225" spans="2:18" x14ac:dyDescent="0.15">
      <c r="B225" s="14" t="s">
        <v>693</v>
      </c>
    </row>
    <row r="226" spans="2:18" x14ac:dyDescent="0.15">
      <c r="B226" s="79" t="s">
        <v>694</v>
      </c>
    </row>
    <row r="228" spans="2:18" x14ac:dyDescent="0.15">
      <c r="B228" s="76" t="s">
        <v>1305</v>
      </c>
      <c r="K228" s="76" t="s">
        <v>1306</v>
      </c>
    </row>
    <row r="229" spans="2:18" x14ac:dyDescent="0.15">
      <c r="B229" s="76"/>
      <c r="K229" s="76"/>
    </row>
    <row r="230" spans="2:18" x14ac:dyDescent="0.15">
      <c r="B230" s="69" t="s">
        <v>879</v>
      </c>
      <c r="C230" s="70" t="s">
        <v>1284</v>
      </c>
      <c r="D230" s="58"/>
      <c r="E230" s="59"/>
      <c r="F230" s="58"/>
      <c r="G230" s="58"/>
      <c r="H230" s="58"/>
      <c r="I230" s="71"/>
      <c r="K230" s="69" t="s">
        <v>879</v>
      </c>
      <c r="L230" s="70" t="s">
        <v>1285</v>
      </c>
      <c r="M230" s="58"/>
      <c r="N230" s="59"/>
      <c r="O230" s="58"/>
      <c r="P230" s="58"/>
      <c r="Q230" s="58"/>
      <c r="R230" s="71"/>
    </row>
    <row r="231" spans="2:18" x14ac:dyDescent="0.15">
      <c r="B231" s="72" t="s">
        <v>1060</v>
      </c>
      <c r="C231" s="32" t="s">
        <v>1278</v>
      </c>
      <c r="D231" s="32"/>
      <c r="E231" s="61"/>
      <c r="F231" s="32"/>
      <c r="G231" s="32"/>
      <c r="H231" s="32"/>
      <c r="I231" s="73"/>
      <c r="K231" s="72" t="s">
        <v>1061</v>
      </c>
      <c r="L231" s="32" t="s">
        <v>1279</v>
      </c>
      <c r="M231" s="32"/>
      <c r="N231" s="61"/>
      <c r="O231" s="32"/>
      <c r="P231" s="32"/>
      <c r="Q231" s="32"/>
      <c r="R231" s="73"/>
    </row>
    <row r="232" spans="2:18" x14ac:dyDescent="0.15">
      <c r="B232" s="74" t="s">
        <v>887</v>
      </c>
      <c r="C232" s="62" t="s">
        <v>1066</v>
      </c>
      <c r="D232" s="62"/>
      <c r="E232" s="63"/>
      <c r="F232" s="62"/>
      <c r="G232" s="62"/>
      <c r="H232" s="62"/>
      <c r="I232" s="75"/>
      <c r="K232" s="74" t="s">
        <v>887</v>
      </c>
      <c r="L232" s="62" t="s">
        <v>1067</v>
      </c>
      <c r="M232" s="62"/>
      <c r="N232" s="63"/>
      <c r="O232" s="62"/>
      <c r="P232" s="62"/>
      <c r="Q232" s="62"/>
      <c r="R232" s="75"/>
    </row>
    <row r="233" spans="2:18" x14ac:dyDescent="0.15">
      <c r="B233" s="76"/>
      <c r="K233" s="76"/>
    </row>
    <row r="234" spans="2:18" x14ac:dyDescent="0.15">
      <c r="C234" s="80" t="s">
        <v>565</v>
      </c>
      <c r="D234" s="80" t="s">
        <v>566</v>
      </c>
      <c r="E234" s="80" t="s">
        <v>567</v>
      </c>
      <c r="L234" s="80" t="s">
        <v>565</v>
      </c>
      <c r="M234" s="80" t="s">
        <v>566</v>
      </c>
      <c r="N234" s="80" t="s">
        <v>567</v>
      </c>
    </row>
    <row r="235" spans="2:18" x14ac:dyDescent="0.15">
      <c r="B235" s="77" t="s">
        <v>623</v>
      </c>
      <c r="C235" s="87">
        <f>SSRSharedRatio(C180:C191,D180:D191)</f>
        <v>0.83333333333333337</v>
      </c>
      <c r="D235" s="87">
        <f>SSRSharedRatio(C180:C191,E180:E191)</f>
        <v>1</v>
      </c>
      <c r="E235" s="87">
        <f>SSRSharedRatio(D180:D191,E180:E191)</f>
        <v>0.66666666666666663</v>
      </c>
      <c r="F235" s="79" t="s">
        <v>625</v>
      </c>
      <c r="K235" s="77" t="s">
        <v>623</v>
      </c>
      <c r="L235" s="87">
        <f>SNPSharedRatio(L180:L191,M180:M191)</f>
        <v>0.75</v>
      </c>
      <c r="M235" s="87">
        <f>SNPSharedRatio(L180:L191,N180:N191)</f>
        <v>0.91666666666666663</v>
      </c>
      <c r="N235" s="87">
        <f>SNPSharedRatio(M180:M191,N180:N191)</f>
        <v>0.83333333333333337</v>
      </c>
      <c r="O235" s="79" t="s">
        <v>624</v>
      </c>
    </row>
    <row r="238" spans="2:18" x14ac:dyDescent="0.15">
      <c r="B238" s="76" t="s">
        <v>1312</v>
      </c>
    </row>
    <row r="239" spans="2:18" x14ac:dyDescent="0.15">
      <c r="B239" s="51"/>
    </row>
    <row r="240" spans="2:18" x14ac:dyDescent="0.15">
      <c r="B240" s="69" t="s">
        <v>879</v>
      </c>
      <c r="C240" s="70" t="s">
        <v>1286</v>
      </c>
      <c r="D240" s="58"/>
      <c r="E240" s="59"/>
      <c r="F240" s="58"/>
      <c r="G240" s="58"/>
      <c r="H240" s="58"/>
      <c r="I240" s="71"/>
    </row>
    <row r="241" spans="2:9" x14ac:dyDescent="0.15">
      <c r="B241" s="72" t="s">
        <v>1060</v>
      </c>
      <c r="C241" s="32" t="s">
        <v>1282</v>
      </c>
      <c r="D241" s="32"/>
      <c r="E241" s="61"/>
      <c r="F241" s="32"/>
      <c r="G241" s="32"/>
      <c r="H241" s="32"/>
      <c r="I241" s="73"/>
    </row>
    <row r="242" spans="2:9" x14ac:dyDescent="0.15">
      <c r="B242" s="74" t="s">
        <v>887</v>
      </c>
      <c r="C242" s="62" t="s">
        <v>1068</v>
      </c>
      <c r="D242" s="62"/>
      <c r="E242" s="63"/>
      <c r="F242" s="62"/>
      <c r="G242" s="62"/>
      <c r="H242" s="62"/>
      <c r="I242" s="75"/>
    </row>
    <row r="244" spans="2:9" x14ac:dyDescent="0.15">
      <c r="C244" s="80" t="s">
        <v>565</v>
      </c>
      <c r="D244" s="80" t="s">
        <v>566</v>
      </c>
      <c r="E244" s="80" t="s">
        <v>567</v>
      </c>
    </row>
    <row r="245" spans="2:9" x14ac:dyDescent="0.15">
      <c r="B245" s="77" t="s">
        <v>623</v>
      </c>
      <c r="C245" s="87">
        <f>MSharedRatio(C206:C210,D206:D210)</f>
        <v>0.8</v>
      </c>
      <c r="D245" s="87">
        <f>MSharedRatio(D206:D210,E206:E210)</f>
        <v>0.6</v>
      </c>
      <c r="E245" s="87">
        <f>MSharedRatio(C206:C210,E206:E210)</f>
        <v>0.6</v>
      </c>
      <c r="F245" s="79" t="s">
        <v>626</v>
      </c>
    </row>
  </sheetData>
  <mergeCells count="1">
    <mergeCell ref="B5:J5"/>
  </mergeCells>
  <phoneticPr fontId="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230"/>
  <sheetViews>
    <sheetView topLeftCell="A181" zoomScaleNormal="100" workbookViewId="0">
      <selection activeCell="J92" sqref="J92:J93"/>
    </sheetView>
  </sheetViews>
  <sheetFormatPr defaultColWidth="9" defaultRowHeight="15.75" x14ac:dyDescent="0.15"/>
  <cols>
    <col min="1" max="1" width="9" style="14" customWidth="1"/>
    <col min="2" max="2" width="9" style="14"/>
    <col min="3" max="3" width="11.125" style="14" customWidth="1"/>
    <col min="4" max="4" width="9.25" style="14" customWidth="1"/>
    <col min="5" max="10" width="9" style="14"/>
    <col min="11" max="11" width="11.625" style="14" customWidth="1"/>
    <col min="12" max="16384" width="9" style="14"/>
  </cols>
  <sheetData>
    <row r="1" spans="1:16" ht="21" x14ac:dyDescent="0.15">
      <c r="A1" s="254" t="s">
        <v>129</v>
      </c>
      <c r="F1" s="17"/>
      <c r="I1" s="17" t="s">
        <v>130</v>
      </c>
      <c r="J1" s="14" t="str">
        <f>GUGS()</f>
        <v>GUGS: ver. 1.00</v>
      </c>
    </row>
    <row r="3" spans="1:16" x14ac:dyDescent="0.15">
      <c r="A3" s="47" t="s">
        <v>1218</v>
      </c>
      <c r="B3" s="48"/>
      <c r="C3" s="48"/>
      <c r="D3" s="48"/>
      <c r="E3" s="48"/>
      <c r="F3" s="49"/>
      <c r="G3" s="48"/>
      <c r="H3" s="48"/>
      <c r="I3" s="49"/>
      <c r="J3" s="48"/>
      <c r="K3" s="48"/>
      <c r="L3" s="48"/>
    </row>
    <row r="5" spans="1:16" ht="75" customHeight="1" x14ac:dyDescent="0.15">
      <c r="B5" s="277" t="s">
        <v>1574</v>
      </c>
      <c r="C5" s="277"/>
      <c r="D5" s="277"/>
      <c r="E5" s="277"/>
      <c r="F5" s="277"/>
      <c r="G5" s="277"/>
      <c r="H5" s="277"/>
      <c r="I5" s="277"/>
      <c r="J5" s="277"/>
    </row>
    <row r="8" spans="1:16" x14ac:dyDescent="0.15">
      <c r="C8" s="55" t="s">
        <v>1287</v>
      </c>
      <c r="D8" s="56"/>
      <c r="E8" s="56"/>
      <c r="F8" s="56"/>
      <c r="K8" s="55" t="s">
        <v>1288</v>
      </c>
      <c r="L8" s="56"/>
      <c r="M8" s="56"/>
      <c r="N8" s="56"/>
      <c r="O8" s="56"/>
      <c r="P8" s="56"/>
    </row>
    <row r="10" spans="1:16" x14ac:dyDescent="0.15">
      <c r="D10" s="57" t="s">
        <v>188</v>
      </c>
      <c r="E10" s="57" t="s">
        <v>189</v>
      </c>
      <c r="F10" s="57" t="s">
        <v>190</v>
      </c>
      <c r="G10" s="57" t="s">
        <v>210</v>
      </c>
      <c r="H10" s="57" t="s">
        <v>211</v>
      </c>
      <c r="L10" s="57" t="s">
        <v>188</v>
      </c>
      <c r="M10" s="57" t="s">
        <v>189</v>
      </c>
      <c r="N10" s="57" t="s">
        <v>190</v>
      </c>
      <c r="O10" s="57" t="s">
        <v>210</v>
      </c>
      <c r="P10" s="57" t="s">
        <v>211</v>
      </c>
    </row>
    <row r="11" spans="1:16" x14ac:dyDescent="0.25">
      <c r="C11" s="58" t="s">
        <v>191</v>
      </c>
      <c r="D11" s="88" t="s">
        <v>213</v>
      </c>
      <c r="E11" s="88" t="s">
        <v>214</v>
      </c>
      <c r="F11" s="88" t="s">
        <v>215</v>
      </c>
      <c r="G11" s="88" t="s">
        <v>216</v>
      </c>
      <c r="H11" s="88" t="s">
        <v>217</v>
      </c>
      <c r="K11" s="58" t="s">
        <v>191</v>
      </c>
      <c r="L11" s="60" t="s">
        <v>116</v>
      </c>
      <c r="M11" s="60" t="s">
        <v>204</v>
      </c>
      <c r="N11" s="60" t="s">
        <v>121</v>
      </c>
      <c r="O11" s="60" t="s">
        <v>205</v>
      </c>
      <c r="P11" s="60" t="s">
        <v>206</v>
      </c>
    </row>
    <row r="12" spans="1:16" x14ac:dyDescent="0.25">
      <c r="C12" s="32" t="s">
        <v>192</v>
      </c>
      <c r="D12" s="88" t="s">
        <v>218</v>
      </c>
      <c r="E12" s="88" t="s">
        <v>219</v>
      </c>
      <c r="F12" s="88" t="s">
        <v>220</v>
      </c>
      <c r="G12" s="88" t="s">
        <v>221</v>
      </c>
      <c r="H12" s="88" t="s">
        <v>217</v>
      </c>
      <c r="K12" s="32" t="s">
        <v>192</v>
      </c>
      <c r="L12" s="60" t="s">
        <v>46</v>
      </c>
      <c r="M12" s="60" t="s">
        <v>207</v>
      </c>
      <c r="N12" s="60" t="s">
        <v>116</v>
      </c>
      <c r="O12" s="60" t="s">
        <v>205</v>
      </c>
      <c r="P12" s="60" t="s">
        <v>116</v>
      </c>
    </row>
    <row r="13" spans="1:16" x14ac:dyDescent="0.25">
      <c r="C13" s="32" t="s">
        <v>193</v>
      </c>
      <c r="D13" s="88" t="s">
        <v>222</v>
      </c>
      <c r="E13" s="88" t="s">
        <v>223</v>
      </c>
      <c r="F13" s="88" t="s">
        <v>224</v>
      </c>
      <c r="G13" s="88" t="s">
        <v>221</v>
      </c>
      <c r="H13" s="88" t="s">
        <v>217</v>
      </c>
      <c r="K13" s="32" t="s">
        <v>193</v>
      </c>
      <c r="L13" s="60" t="s">
        <v>121</v>
      </c>
      <c r="M13" s="60" t="s">
        <v>207</v>
      </c>
      <c r="N13" s="60" t="s">
        <v>46</v>
      </c>
      <c r="O13" s="60" t="s">
        <v>205</v>
      </c>
      <c r="P13" s="60" t="s">
        <v>116</v>
      </c>
    </row>
    <row r="14" spans="1:16" x14ac:dyDescent="0.25">
      <c r="C14" s="32" t="s">
        <v>194</v>
      </c>
      <c r="D14" s="88" t="s">
        <v>225</v>
      </c>
      <c r="E14" s="88" t="s">
        <v>226</v>
      </c>
      <c r="F14" s="88" t="s">
        <v>227</v>
      </c>
      <c r="G14" s="88" t="s">
        <v>221</v>
      </c>
      <c r="H14" s="88" t="s">
        <v>228</v>
      </c>
      <c r="K14" s="32" t="s">
        <v>194</v>
      </c>
      <c r="L14" s="60" t="s">
        <v>121</v>
      </c>
      <c r="M14" s="60" t="s">
        <v>204</v>
      </c>
      <c r="N14" s="60" t="s">
        <v>46</v>
      </c>
      <c r="O14" s="60" t="s">
        <v>205</v>
      </c>
      <c r="P14" s="60" t="s">
        <v>206</v>
      </c>
    </row>
    <row r="15" spans="1:16" x14ac:dyDescent="0.25">
      <c r="C15" s="32" t="s">
        <v>195</v>
      </c>
      <c r="D15" s="88" t="s">
        <v>229</v>
      </c>
      <c r="E15" s="88" t="s">
        <v>230</v>
      </c>
      <c r="F15" s="88" t="s">
        <v>224</v>
      </c>
      <c r="G15" s="88" t="s">
        <v>221</v>
      </c>
      <c r="H15" s="88" t="s">
        <v>217</v>
      </c>
      <c r="K15" s="32" t="s">
        <v>195</v>
      </c>
      <c r="L15" s="60" t="s">
        <v>46</v>
      </c>
      <c r="M15" s="60" t="s">
        <v>208</v>
      </c>
      <c r="N15" s="60" t="s">
        <v>116</v>
      </c>
      <c r="O15" s="60" t="s">
        <v>208</v>
      </c>
      <c r="P15" s="60" t="s">
        <v>206</v>
      </c>
    </row>
    <row r="16" spans="1:16" x14ac:dyDescent="0.25">
      <c r="C16" s="32" t="s">
        <v>196</v>
      </c>
      <c r="D16" s="88" t="s">
        <v>222</v>
      </c>
      <c r="E16" s="88" t="s">
        <v>230</v>
      </c>
      <c r="F16" s="88" t="s">
        <v>231</v>
      </c>
      <c r="G16" s="88" t="s">
        <v>232</v>
      </c>
      <c r="H16" s="88" t="s">
        <v>217</v>
      </c>
      <c r="K16" s="32" t="s">
        <v>196</v>
      </c>
      <c r="L16" s="60" t="s">
        <v>46</v>
      </c>
      <c r="M16" s="60" t="s">
        <v>204</v>
      </c>
      <c r="N16" s="60" t="s">
        <v>209</v>
      </c>
      <c r="O16" s="60" t="s">
        <v>205</v>
      </c>
      <c r="P16" s="60" t="s">
        <v>116</v>
      </c>
    </row>
    <row r="17" spans="3:16" x14ac:dyDescent="0.25">
      <c r="C17" s="32" t="s">
        <v>197</v>
      </c>
      <c r="D17" s="88" t="s">
        <v>233</v>
      </c>
      <c r="E17" s="88" t="s">
        <v>234</v>
      </c>
      <c r="F17" s="88" t="s">
        <v>235</v>
      </c>
      <c r="G17" s="88" t="s">
        <v>236</v>
      </c>
      <c r="H17" s="88" t="s">
        <v>237</v>
      </c>
      <c r="K17" s="32" t="s">
        <v>197</v>
      </c>
      <c r="L17" s="60" t="s">
        <v>116</v>
      </c>
      <c r="M17" s="60" t="s">
        <v>204</v>
      </c>
      <c r="N17" s="60" t="s">
        <v>116</v>
      </c>
      <c r="O17" s="60" t="s">
        <v>205</v>
      </c>
      <c r="P17" s="60" t="s">
        <v>116</v>
      </c>
    </row>
    <row r="18" spans="3:16" x14ac:dyDescent="0.25">
      <c r="C18" s="32" t="s">
        <v>198</v>
      </c>
      <c r="D18" s="88" t="s">
        <v>238</v>
      </c>
      <c r="E18" s="88" t="s">
        <v>223</v>
      </c>
      <c r="F18" s="88" t="s">
        <v>239</v>
      </c>
      <c r="G18" s="88" t="s">
        <v>240</v>
      </c>
      <c r="H18" s="88" t="s">
        <v>241</v>
      </c>
      <c r="K18" s="32" t="s">
        <v>198</v>
      </c>
      <c r="L18" s="60" t="s">
        <v>116</v>
      </c>
      <c r="M18" s="60" t="s">
        <v>207</v>
      </c>
      <c r="N18" s="60" t="s">
        <v>46</v>
      </c>
      <c r="O18" s="60" t="s">
        <v>205</v>
      </c>
      <c r="P18" s="60" t="s">
        <v>116</v>
      </c>
    </row>
    <row r="19" spans="3:16" x14ac:dyDescent="0.25">
      <c r="C19" s="32" t="s">
        <v>199</v>
      </c>
      <c r="D19" s="88" t="s">
        <v>238</v>
      </c>
      <c r="E19" s="88" t="s">
        <v>234</v>
      </c>
      <c r="F19" s="88" t="s">
        <v>235</v>
      </c>
      <c r="G19" s="88" t="s">
        <v>240</v>
      </c>
      <c r="H19" s="88" t="s">
        <v>242</v>
      </c>
      <c r="K19" s="32" t="s">
        <v>199</v>
      </c>
      <c r="L19" s="60" t="s">
        <v>121</v>
      </c>
      <c r="M19" s="60" t="s">
        <v>204</v>
      </c>
      <c r="N19" s="60" t="s">
        <v>116</v>
      </c>
      <c r="O19" s="60" t="s">
        <v>205</v>
      </c>
      <c r="P19" s="60" t="s">
        <v>206</v>
      </c>
    </row>
    <row r="20" spans="3:16" x14ac:dyDescent="0.25">
      <c r="C20" s="32" t="s">
        <v>200</v>
      </c>
      <c r="D20" s="88" t="s">
        <v>243</v>
      </c>
      <c r="E20" s="88" t="s">
        <v>244</v>
      </c>
      <c r="F20" s="88" t="s">
        <v>245</v>
      </c>
      <c r="G20" s="88" t="s">
        <v>221</v>
      </c>
      <c r="H20" s="88" t="s">
        <v>246</v>
      </c>
      <c r="K20" s="32" t="s">
        <v>200</v>
      </c>
      <c r="L20" s="60" t="s">
        <v>46</v>
      </c>
      <c r="M20" s="60" t="s">
        <v>207</v>
      </c>
      <c r="N20" s="60" t="s">
        <v>116</v>
      </c>
      <c r="O20" s="60" t="s">
        <v>205</v>
      </c>
      <c r="P20" s="60" t="s">
        <v>206</v>
      </c>
    </row>
    <row r="21" spans="3:16" x14ac:dyDescent="0.25">
      <c r="C21" s="32" t="s">
        <v>201</v>
      </c>
      <c r="D21" s="88" t="s">
        <v>225</v>
      </c>
      <c r="E21" s="88" t="s">
        <v>247</v>
      </c>
      <c r="F21" s="88" t="s">
        <v>248</v>
      </c>
      <c r="G21" s="88" t="s">
        <v>221</v>
      </c>
      <c r="H21" s="88" t="s">
        <v>249</v>
      </c>
      <c r="K21" s="32" t="s">
        <v>201</v>
      </c>
      <c r="L21" s="60" t="s">
        <v>46</v>
      </c>
      <c r="M21" s="60" t="s">
        <v>208</v>
      </c>
      <c r="N21" s="60" t="s">
        <v>46</v>
      </c>
      <c r="O21" s="60" t="s">
        <v>208</v>
      </c>
      <c r="P21" s="60" t="s">
        <v>116</v>
      </c>
    </row>
    <row r="22" spans="3:16" x14ac:dyDescent="0.25">
      <c r="C22" s="32" t="s">
        <v>202</v>
      </c>
      <c r="D22" s="88" t="s">
        <v>218</v>
      </c>
      <c r="E22" s="88" t="s">
        <v>250</v>
      </c>
      <c r="F22" s="88" t="s">
        <v>235</v>
      </c>
      <c r="G22" s="88" t="s">
        <v>221</v>
      </c>
      <c r="H22" s="88" t="s">
        <v>228</v>
      </c>
      <c r="K22" s="32" t="s">
        <v>202</v>
      </c>
      <c r="L22" s="60" t="s">
        <v>121</v>
      </c>
      <c r="M22" s="60" t="s">
        <v>207</v>
      </c>
      <c r="N22" s="60" t="s">
        <v>116</v>
      </c>
      <c r="O22" s="60" t="s">
        <v>205</v>
      </c>
      <c r="P22" s="60" t="s">
        <v>116</v>
      </c>
    </row>
    <row r="23" spans="3:16" x14ac:dyDescent="0.25">
      <c r="C23" s="32" t="s">
        <v>264</v>
      </c>
      <c r="D23" s="88" t="s">
        <v>229</v>
      </c>
      <c r="E23" s="88" t="s">
        <v>244</v>
      </c>
      <c r="F23" s="88" t="s">
        <v>239</v>
      </c>
      <c r="G23" s="88" t="s">
        <v>221</v>
      </c>
      <c r="H23" s="88" t="s">
        <v>251</v>
      </c>
      <c r="K23" s="32" t="s">
        <v>264</v>
      </c>
      <c r="L23" s="60" t="s">
        <v>116</v>
      </c>
      <c r="M23" s="60" t="s">
        <v>204</v>
      </c>
      <c r="N23" s="60" t="s">
        <v>116</v>
      </c>
      <c r="O23" s="60" t="s">
        <v>205</v>
      </c>
      <c r="P23" s="60" t="s">
        <v>206</v>
      </c>
    </row>
    <row r="24" spans="3:16" x14ac:dyDescent="0.25">
      <c r="C24" s="32" t="s">
        <v>265</v>
      </c>
      <c r="D24" s="88" t="s">
        <v>218</v>
      </c>
      <c r="E24" s="88" t="s">
        <v>252</v>
      </c>
      <c r="F24" s="88" t="s">
        <v>235</v>
      </c>
      <c r="G24" s="88" t="s">
        <v>221</v>
      </c>
      <c r="H24" s="88" t="s">
        <v>251</v>
      </c>
      <c r="K24" s="32" t="s">
        <v>265</v>
      </c>
      <c r="L24" s="60" t="s">
        <v>46</v>
      </c>
      <c r="M24" s="60" t="s">
        <v>207</v>
      </c>
      <c r="N24" s="60" t="s">
        <v>46</v>
      </c>
      <c r="O24" s="60" t="s">
        <v>205</v>
      </c>
      <c r="P24" s="60" t="s">
        <v>206</v>
      </c>
    </row>
    <row r="25" spans="3:16" x14ac:dyDescent="0.25">
      <c r="C25" s="32" t="s">
        <v>266</v>
      </c>
      <c r="D25" s="88" t="s">
        <v>253</v>
      </c>
      <c r="E25" s="88" t="s">
        <v>250</v>
      </c>
      <c r="F25" s="88" t="s">
        <v>235</v>
      </c>
      <c r="G25" s="88" t="s">
        <v>221</v>
      </c>
      <c r="H25" s="88" t="s">
        <v>228</v>
      </c>
      <c r="K25" s="32" t="s">
        <v>266</v>
      </c>
      <c r="L25" s="60" t="s">
        <v>121</v>
      </c>
      <c r="M25" s="60" t="s">
        <v>208</v>
      </c>
      <c r="N25" s="60" t="s">
        <v>116</v>
      </c>
      <c r="O25" s="60" t="s">
        <v>208</v>
      </c>
      <c r="P25" s="60" t="s">
        <v>206</v>
      </c>
    </row>
    <row r="26" spans="3:16" x14ac:dyDescent="0.25">
      <c r="C26" s="32" t="s">
        <v>267</v>
      </c>
      <c r="D26" s="88" t="s">
        <v>253</v>
      </c>
      <c r="E26" s="88" t="s">
        <v>250</v>
      </c>
      <c r="F26" s="88" t="s">
        <v>235</v>
      </c>
      <c r="G26" s="88" t="s">
        <v>221</v>
      </c>
      <c r="H26" s="88" t="s">
        <v>228</v>
      </c>
      <c r="K26" s="32" t="s">
        <v>267</v>
      </c>
      <c r="L26" s="60" t="s">
        <v>121</v>
      </c>
      <c r="M26" s="60" t="s">
        <v>207</v>
      </c>
      <c r="N26" s="60" t="s">
        <v>116</v>
      </c>
      <c r="O26" s="60" t="s">
        <v>116</v>
      </c>
      <c r="P26" s="60" t="s">
        <v>116</v>
      </c>
    </row>
    <row r="27" spans="3:16" x14ac:dyDescent="0.25">
      <c r="C27" s="32" t="s">
        <v>268</v>
      </c>
      <c r="D27" s="88" t="s">
        <v>254</v>
      </c>
      <c r="E27" s="88" t="s">
        <v>250</v>
      </c>
      <c r="F27" s="88" t="s">
        <v>239</v>
      </c>
      <c r="G27" s="88" t="s">
        <v>221</v>
      </c>
      <c r="H27" s="88" t="s">
        <v>251</v>
      </c>
      <c r="K27" s="32" t="s">
        <v>268</v>
      </c>
      <c r="L27" s="60" t="s">
        <v>46</v>
      </c>
      <c r="M27" s="60" t="s">
        <v>207</v>
      </c>
      <c r="N27" s="60" t="s">
        <v>116</v>
      </c>
      <c r="O27" s="60" t="s">
        <v>205</v>
      </c>
      <c r="P27" s="60" t="s">
        <v>116</v>
      </c>
    </row>
    <row r="28" spans="3:16" x14ac:dyDescent="0.25">
      <c r="C28" s="32" t="s">
        <v>269</v>
      </c>
      <c r="D28" s="88" t="s">
        <v>218</v>
      </c>
      <c r="E28" s="88" t="s">
        <v>252</v>
      </c>
      <c r="F28" s="88" t="s">
        <v>235</v>
      </c>
      <c r="G28" s="88" t="s">
        <v>221</v>
      </c>
      <c r="H28" s="88" t="s">
        <v>251</v>
      </c>
      <c r="K28" s="32" t="s">
        <v>269</v>
      </c>
      <c r="L28" s="60" t="s">
        <v>116</v>
      </c>
      <c r="M28" s="60" t="s">
        <v>207</v>
      </c>
      <c r="N28" s="60" t="s">
        <v>116</v>
      </c>
      <c r="O28" s="60" t="s">
        <v>205</v>
      </c>
      <c r="P28" s="60" t="s">
        <v>206</v>
      </c>
    </row>
    <row r="29" spans="3:16" x14ac:dyDescent="0.25">
      <c r="C29" s="32" t="s">
        <v>270</v>
      </c>
      <c r="D29" s="88" t="s">
        <v>218</v>
      </c>
      <c r="E29" s="88" t="s">
        <v>252</v>
      </c>
      <c r="F29" s="88" t="s">
        <v>235</v>
      </c>
      <c r="G29" s="88" t="s">
        <v>221</v>
      </c>
      <c r="H29" s="88" t="s">
        <v>251</v>
      </c>
      <c r="K29" s="32" t="s">
        <v>270</v>
      </c>
      <c r="L29" s="60" t="s">
        <v>116</v>
      </c>
      <c r="M29" s="60" t="s">
        <v>204</v>
      </c>
      <c r="N29" s="60" t="s">
        <v>116</v>
      </c>
      <c r="O29" s="60" t="s">
        <v>208</v>
      </c>
      <c r="P29" s="60" t="s">
        <v>206</v>
      </c>
    </row>
    <row r="30" spans="3:16" x14ac:dyDescent="0.25">
      <c r="C30" s="32" t="s">
        <v>271</v>
      </c>
      <c r="D30" s="88" t="s">
        <v>229</v>
      </c>
      <c r="E30" s="88" t="s">
        <v>250</v>
      </c>
      <c r="F30" s="88" t="s">
        <v>235</v>
      </c>
      <c r="G30" s="88" t="s">
        <v>221</v>
      </c>
      <c r="H30" s="88" t="s">
        <v>251</v>
      </c>
      <c r="K30" s="32" t="s">
        <v>271</v>
      </c>
      <c r="L30" s="60" t="s">
        <v>46</v>
      </c>
      <c r="M30" s="60" t="s">
        <v>204</v>
      </c>
      <c r="N30" s="60" t="s">
        <v>46</v>
      </c>
      <c r="O30" s="60" t="s">
        <v>208</v>
      </c>
      <c r="P30" s="60" t="s">
        <v>206</v>
      </c>
    </row>
    <row r="31" spans="3:16" x14ac:dyDescent="0.25">
      <c r="C31" s="32" t="s">
        <v>272</v>
      </c>
      <c r="D31" s="88" t="s">
        <v>255</v>
      </c>
      <c r="E31" s="88" t="s">
        <v>252</v>
      </c>
      <c r="F31" s="88" t="s">
        <v>239</v>
      </c>
      <c r="G31" s="88" t="s">
        <v>232</v>
      </c>
      <c r="H31" s="88" t="s">
        <v>217</v>
      </c>
      <c r="K31" s="32" t="s">
        <v>272</v>
      </c>
      <c r="L31" s="60" t="s">
        <v>121</v>
      </c>
      <c r="M31" s="60" t="s">
        <v>204</v>
      </c>
      <c r="N31" s="60" t="s">
        <v>116</v>
      </c>
      <c r="O31" s="60" t="s">
        <v>208</v>
      </c>
      <c r="P31" s="60" t="s">
        <v>206</v>
      </c>
    </row>
    <row r="32" spans="3:16" x14ac:dyDescent="0.25">
      <c r="C32" s="32" t="s">
        <v>273</v>
      </c>
      <c r="D32" s="88" t="s">
        <v>256</v>
      </c>
      <c r="E32" s="88" t="s">
        <v>230</v>
      </c>
      <c r="F32" s="88" t="s">
        <v>257</v>
      </c>
      <c r="G32" s="88" t="s">
        <v>232</v>
      </c>
      <c r="H32" s="88" t="s">
        <v>217</v>
      </c>
      <c r="K32" s="32" t="s">
        <v>273</v>
      </c>
      <c r="L32" s="60" t="s">
        <v>116</v>
      </c>
      <c r="M32" s="60" t="s">
        <v>207</v>
      </c>
      <c r="N32" s="60" t="s">
        <v>46</v>
      </c>
      <c r="O32" s="60" t="s">
        <v>208</v>
      </c>
      <c r="P32" s="60" t="s">
        <v>206</v>
      </c>
    </row>
    <row r="33" spans="1:17" x14ac:dyDescent="0.25">
      <c r="C33" s="32" t="s">
        <v>274</v>
      </c>
      <c r="D33" s="88" t="s">
        <v>225</v>
      </c>
      <c r="E33" s="88" t="s">
        <v>252</v>
      </c>
      <c r="F33" s="88" t="s">
        <v>224</v>
      </c>
      <c r="G33" s="88" t="s">
        <v>221</v>
      </c>
      <c r="H33" s="88" t="s">
        <v>217</v>
      </c>
      <c r="K33" s="32" t="s">
        <v>274</v>
      </c>
      <c r="L33" s="60" t="s">
        <v>46</v>
      </c>
      <c r="M33" s="60" t="s">
        <v>204</v>
      </c>
      <c r="N33" s="60" t="s">
        <v>46</v>
      </c>
      <c r="O33" s="60" t="s">
        <v>205</v>
      </c>
      <c r="P33" s="60" t="s">
        <v>206</v>
      </c>
    </row>
    <row r="34" spans="1:17" x14ac:dyDescent="0.25">
      <c r="C34" s="32" t="s">
        <v>275</v>
      </c>
      <c r="D34" s="88" t="s">
        <v>258</v>
      </c>
      <c r="E34" s="88" t="s">
        <v>244</v>
      </c>
      <c r="F34" s="88" t="s">
        <v>224</v>
      </c>
      <c r="G34" s="88" t="s">
        <v>221</v>
      </c>
      <c r="H34" s="88" t="s">
        <v>217</v>
      </c>
      <c r="K34" s="32" t="s">
        <v>275</v>
      </c>
      <c r="L34" s="60" t="s">
        <v>116</v>
      </c>
      <c r="M34" s="60" t="s">
        <v>204</v>
      </c>
      <c r="N34" s="60" t="s">
        <v>46</v>
      </c>
      <c r="O34" s="60" t="s">
        <v>205</v>
      </c>
      <c r="P34" s="60" t="s">
        <v>116</v>
      </c>
    </row>
    <row r="35" spans="1:17" x14ac:dyDescent="0.25">
      <c r="C35" s="32" t="s">
        <v>276</v>
      </c>
      <c r="D35" s="88" t="s">
        <v>259</v>
      </c>
      <c r="E35" s="88" t="s">
        <v>260</v>
      </c>
      <c r="F35" s="88" t="s">
        <v>261</v>
      </c>
      <c r="G35" s="88" t="s">
        <v>221</v>
      </c>
      <c r="H35" s="88" t="s">
        <v>262</v>
      </c>
      <c r="K35" s="32" t="s">
        <v>276</v>
      </c>
      <c r="L35" s="60" t="s">
        <v>116</v>
      </c>
      <c r="M35" s="60" t="s">
        <v>208</v>
      </c>
      <c r="N35" s="60" t="s">
        <v>46</v>
      </c>
      <c r="O35" s="60" t="s">
        <v>208</v>
      </c>
      <c r="P35" s="60" t="s">
        <v>116</v>
      </c>
    </row>
    <row r="36" spans="1:17" x14ac:dyDescent="0.25">
      <c r="C36" s="32" t="s">
        <v>277</v>
      </c>
      <c r="D36" s="88" t="s">
        <v>218</v>
      </c>
      <c r="E36" s="88" t="s">
        <v>244</v>
      </c>
      <c r="F36" s="88" t="s">
        <v>215</v>
      </c>
      <c r="G36" s="88" t="s">
        <v>232</v>
      </c>
      <c r="H36" s="88" t="s">
        <v>217</v>
      </c>
      <c r="K36" s="32" t="s">
        <v>277</v>
      </c>
      <c r="L36" s="60" t="s">
        <v>121</v>
      </c>
      <c r="M36" s="60" t="s">
        <v>204</v>
      </c>
      <c r="N36" s="60" t="s">
        <v>46</v>
      </c>
      <c r="O36" s="60" t="s">
        <v>208</v>
      </c>
      <c r="P36" s="60" t="s">
        <v>206</v>
      </c>
    </row>
    <row r="37" spans="1:17" x14ac:dyDescent="0.25">
      <c r="C37" s="32" t="s">
        <v>278</v>
      </c>
      <c r="D37" s="88" t="s">
        <v>218</v>
      </c>
      <c r="E37" s="88" t="s">
        <v>244</v>
      </c>
      <c r="F37" s="88" t="s">
        <v>239</v>
      </c>
      <c r="G37" s="88" t="s">
        <v>232</v>
      </c>
      <c r="H37" s="88" t="s">
        <v>228</v>
      </c>
      <c r="K37" s="32" t="s">
        <v>278</v>
      </c>
      <c r="L37" s="60" t="s">
        <v>121</v>
      </c>
      <c r="M37" s="60" t="s">
        <v>208</v>
      </c>
      <c r="N37" s="60" t="s">
        <v>116</v>
      </c>
      <c r="O37" s="60" t="s">
        <v>208</v>
      </c>
      <c r="P37" s="60" t="s">
        <v>206</v>
      </c>
    </row>
    <row r="38" spans="1:17" x14ac:dyDescent="0.25">
      <c r="C38" s="62" t="s">
        <v>279</v>
      </c>
      <c r="D38" s="89" t="s">
        <v>263</v>
      </c>
      <c r="E38" s="89" t="s">
        <v>250</v>
      </c>
      <c r="F38" s="89" t="s">
        <v>239</v>
      </c>
      <c r="G38" s="89" t="s">
        <v>232</v>
      </c>
      <c r="H38" s="89" t="s">
        <v>246</v>
      </c>
      <c r="K38" s="62" t="s">
        <v>279</v>
      </c>
      <c r="L38" s="64" t="s">
        <v>46</v>
      </c>
      <c r="M38" s="64" t="s">
        <v>204</v>
      </c>
      <c r="N38" s="64" t="s">
        <v>116</v>
      </c>
      <c r="O38" s="64" t="s">
        <v>205</v>
      </c>
      <c r="P38" s="64" t="s">
        <v>116</v>
      </c>
    </row>
    <row r="39" spans="1:17" x14ac:dyDescent="0.25">
      <c r="L39" s="60"/>
      <c r="M39" s="60"/>
      <c r="N39" s="60"/>
      <c r="O39" s="60"/>
      <c r="P39" s="60"/>
    </row>
    <row r="40" spans="1:17" x14ac:dyDescent="0.25">
      <c r="L40" s="60"/>
      <c r="M40" s="60"/>
      <c r="N40" s="60"/>
      <c r="O40" s="60"/>
      <c r="P40" s="60"/>
    </row>
    <row r="41" spans="1:17" x14ac:dyDescent="0.15">
      <c r="A41" s="66" t="s">
        <v>395</v>
      </c>
      <c r="B41" s="67" t="s">
        <v>1313</v>
      </c>
      <c r="C41" s="67"/>
      <c r="D41" s="67"/>
      <c r="E41" s="67"/>
      <c r="F41" s="68"/>
      <c r="G41" s="67"/>
      <c r="H41" s="67"/>
      <c r="I41" s="68"/>
      <c r="J41" s="67"/>
      <c r="K41" s="67"/>
      <c r="L41" s="67"/>
      <c r="M41" s="67"/>
      <c r="N41" s="67"/>
      <c r="O41" s="67"/>
      <c r="P41" s="67"/>
    </row>
    <row r="42" spans="1:17" x14ac:dyDescent="0.15">
      <c r="B42" s="90" t="s">
        <v>695</v>
      </c>
    </row>
    <row r="43" spans="1:17" x14ac:dyDescent="0.15">
      <c r="B43" s="91" t="s">
        <v>696</v>
      </c>
    </row>
    <row r="44" spans="1:17" x14ac:dyDescent="0.15">
      <c r="C44" s="86"/>
    </row>
    <row r="45" spans="1:17" x14ac:dyDescent="0.15">
      <c r="C45" s="76" t="s">
        <v>1292</v>
      </c>
      <c r="K45" s="76" t="s">
        <v>1293</v>
      </c>
    </row>
    <row r="46" spans="1:17" x14ac:dyDescent="0.15">
      <c r="C46" s="76"/>
      <c r="K46" s="76"/>
    </row>
    <row r="47" spans="1:17" x14ac:dyDescent="0.15">
      <c r="C47" s="69" t="s">
        <v>879</v>
      </c>
      <c r="D47" s="70" t="s">
        <v>1315</v>
      </c>
      <c r="E47" s="58"/>
      <c r="F47" s="59"/>
      <c r="G47" s="58"/>
      <c r="H47" s="58"/>
      <c r="I47" s="71"/>
      <c r="K47" s="69" t="s">
        <v>879</v>
      </c>
      <c r="L47" s="70" t="s">
        <v>1316</v>
      </c>
      <c r="M47" s="58"/>
      <c r="N47" s="59"/>
      <c r="O47" s="58"/>
      <c r="P47" s="58"/>
      <c r="Q47" s="71"/>
    </row>
    <row r="48" spans="1:17" x14ac:dyDescent="0.15">
      <c r="C48" s="72" t="s">
        <v>1042</v>
      </c>
      <c r="D48" s="32" t="s">
        <v>1317</v>
      </c>
      <c r="E48" s="32"/>
      <c r="F48" s="61"/>
      <c r="G48" s="32"/>
      <c r="H48" s="32"/>
      <c r="I48" s="73"/>
      <c r="K48" s="72" t="s">
        <v>1042</v>
      </c>
      <c r="L48" s="32" t="s">
        <v>1318</v>
      </c>
      <c r="M48" s="32"/>
      <c r="N48" s="61"/>
      <c r="O48" s="32"/>
      <c r="P48" s="32"/>
      <c r="Q48" s="73"/>
    </row>
    <row r="49" spans="3:17" x14ac:dyDescent="0.15">
      <c r="C49" s="72"/>
      <c r="D49" s="32" t="s">
        <v>1070</v>
      </c>
      <c r="E49" s="32"/>
      <c r="F49" s="32"/>
      <c r="G49" s="32"/>
      <c r="H49" s="32"/>
      <c r="I49" s="73"/>
      <c r="K49" s="72"/>
      <c r="L49" s="32" t="s">
        <v>1070</v>
      </c>
      <c r="M49" s="32"/>
      <c r="N49" s="32"/>
      <c r="O49" s="32"/>
      <c r="P49" s="32"/>
      <c r="Q49" s="73"/>
    </row>
    <row r="50" spans="3:17" x14ac:dyDescent="0.15">
      <c r="C50" s="74" t="s">
        <v>887</v>
      </c>
      <c r="D50" s="62" t="s">
        <v>1071</v>
      </c>
      <c r="E50" s="62"/>
      <c r="F50" s="63"/>
      <c r="G50" s="62"/>
      <c r="H50" s="62"/>
      <c r="I50" s="75"/>
      <c r="K50" s="74" t="s">
        <v>887</v>
      </c>
      <c r="L50" s="62" t="s">
        <v>1072</v>
      </c>
      <c r="M50" s="62"/>
      <c r="N50" s="63"/>
      <c r="O50" s="62"/>
      <c r="P50" s="62"/>
      <c r="Q50" s="75"/>
    </row>
    <row r="51" spans="3:17" x14ac:dyDescent="0.15">
      <c r="C51" s="76"/>
      <c r="K51" s="76"/>
    </row>
    <row r="52" spans="3:17" x14ac:dyDescent="0.15">
      <c r="C52" s="58"/>
      <c r="D52" s="281" t="s">
        <v>1069</v>
      </c>
      <c r="E52" s="282"/>
      <c r="F52" s="282"/>
      <c r="G52" s="282"/>
      <c r="H52" s="282"/>
      <c r="K52" s="58"/>
      <c r="L52" s="281" t="s">
        <v>462</v>
      </c>
      <c r="M52" s="281"/>
      <c r="N52" s="281"/>
      <c r="O52" s="281"/>
      <c r="P52" s="281"/>
    </row>
    <row r="53" spans="3:17" x14ac:dyDescent="0.15">
      <c r="C53" s="63" t="s">
        <v>455</v>
      </c>
      <c r="D53" s="57" t="s">
        <v>188</v>
      </c>
      <c r="E53" s="57" t="s">
        <v>189</v>
      </c>
      <c r="F53" s="57" t="s">
        <v>190</v>
      </c>
      <c r="G53" s="57" t="s">
        <v>210</v>
      </c>
      <c r="H53" s="57" t="s">
        <v>211</v>
      </c>
      <c r="K53" s="63" t="s">
        <v>455</v>
      </c>
      <c r="L53" s="57" t="s">
        <v>188</v>
      </c>
      <c r="M53" s="57" t="s">
        <v>189</v>
      </c>
      <c r="N53" s="57" t="s">
        <v>190</v>
      </c>
      <c r="O53" s="57" t="s">
        <v>210</v>
      </c>
      <c r="P53" s="57" t="s">
        <v>211</v>
      </c>
    </row>
    <row r="54" spans="3:17" x14ac:dyDescent="0.15">
      <c r="C54" s="17">
        <v>115</v>
      </c>
      <c r="D54" s="92">
        <f>SSRAlleleFreq(D$11:D$38,$C54)</f>
        <v>0.14285714285714285</v>
      </c>
      <c r="E54" s="92">
        <f t="shared" ref="E54:H68" si="0">SSRAlleleFreq(E$11:E$38,$C54)</f>
        <v>0</v>
      </c>
      <c r="F54" s="92">
        <f t="shared" si="0"/>
        <v>0</v>
      </c>
      <c r="G54" s="92">
        <f t="shared" si="0"/>
        <v>0</v>
      </c>
      <c r="H54" s="92">
        <f t="shared" si="0"/>
        <v>0</v>
      </c>
      <c r="K54" s="17" t="s">
        <v>456</v>
      </c>
      <c r="L54" s="92">
        <f>SNPAlleleFreq(L$11:L$38,$K54)</f>
        <v>0.5</v>
      </c>
      <c r="M54" s="92">
        <f t="shared" ref="M54:P57" si="1">SNPAlleleFreq(M$11:M$38,$K54)</f>
        <v>0</v>
      </c>
      <c r="N54" s="92">
        <f t="shared" si="1"/>
        <v>0.7321428571428571</v>
      </c>
      <c r="O54" s="92">
        <f t="shared" si="1"/>
        <v>0.3392857142857143</v>
      </c>
      <c r="P54" s="92">
        <f t="shared" si="1"/>
        <v>0.7142857142857143</v>
      </c>
    </row>
    <row r="55" spans="3:17" x14ac:dyDescent="0.15">
      <c r="C55" s="17">
        <v>120</v>
      </c>
      <c r="D55" s="92">
        <f t="shared" ref="D55:D60" si="2">SSRAlleleFreq(D$11:D$38,$C55)</f>
        <v>0.25</v>
      </c>
      <c r="E55" s="92">
        <f t="shared" si="0"/>
        <v>0</v>
      </c>
      <c r="F55" s="92">
        <f t="shared" si="0"/>
        <v>0</v>
      </c>
      <c r="G55" s="92">
        <f t="shared" si="0"/>
        <v>0</v>
      </c>
      <c r="H55" s="92">
        <f t="shared" si="0"/>
        <v>0</v>
      </c>
      <c r="K55" s="17" t="s">
        <v>457</v>
      </c>
      <c r="L55" s="92">
        <f>SNPAlleleFreq(L$11:L$38,$K55)</f>
        <v>0</v>
      </c>
      <c r="M55" s="92">
        <f t="shared" si="1"/>
        <v>0.4107142857142857</v>
      </c>
      <c r="N55" s="92">
        <f t="shared" si="1"/>
        <v>0</v>
      </c>
      <c r="O55" s="92">
        <f t="shared" si="1"/>
        <v>0.6607142857142857</v>
      </c>
      <c r="P55" s="92">
        <f t="shared" si="1"/>
        <v>0</v>
      </c>
    </row>
    <row r="56" spans="3:17" x14ac:dyDescent="0.15">
      <c r="C56" s="17">
        <v>114</v>
      </c>
      <c r="D56" s="92">
        <f t="shared" si="2"/>
        <v>5.3571428571428568E-2</v>
      </c>
      <c r="E56" s="92">
        <f t="shared" si="0"/>
        <v>0</v>
      </c>
      <c r="F56" s="92">
        <f t="shared" si="0"/>
        <v>0</v>
      </c>
      <c r="G56" s="92">
        <f t="shared" si="0"/>
        <v>0</v>
      </c>
      <c r="H56" s="92">
        <f t="shared" si="0"/>
        <v>0</v>
      </c>
      <c r="K56" s="17" t="s">
        <v>458</v>
      </c>
      <c r="L56" s="92">
        <f>SNPAlleleFreq(L$11:L$38,$K56)</f>
        <v>0.5</v>
      </c>
      <c r="M56" s="92">
        <f t="shared" si="1"/>
        <v>0</v>
      </c>
      <c r="N56" s="92">
        <f t="shared" si="1"/>
        <v>0.23214285714285715</v>
      </c>
      <c r="O56" s="92">
        <f t="shared" si="1"/>
        <v>0</v>
      </c>
      <c r="P56" s="92">
        <f t="shared" si="1"/>
        <v>0</v>
      </c>
    </row>
    <row r="57" spans="3:17" x14ac:dyDescent="0.15">
      <c r="C57" s="17">
        <v>127</v>
      </c>
      <c r="D57" s="92">
        <f t="shared" si="2"/>
        <v>0</v>
      </c>
      <c r="E57" s="92">
        <f t="shared" si="0"/>
        <v>8.9285714285714288E-2</v>
      </c>
      <c r="F57" s="92">
        <f t="shared" si="0"/>
        <v>0</v>
      </c>
      <c r="G57" s="92">
        <f t="shared" si="0"/>
        <v>0</v>
      </c>
      <c r="H57" s="92">
        <f t="shared" si="0"/>
        <v>0</v>
      </c>
      <c r="K57" s="63" t="s">
        <v>459</v>
      </c>
      <c r="L57" s="93">
        <f>SNPAlleleFreq(L$11:L$38,$K57)</f>
        <v>0</v>
      </c>
      <c r="M57" s="93">
        <f t="shared" si="1"/>
        <v>0.5892857142857143</v>
      </c>
      <c r="N57" s="93">
        <f t="shared" si="1"/>
        <v>0</v>
      </c>
      <c r="O57" s="93">
        <f t="shared" si="1"/>
        <v>0</v>
      </c>
      <c r="P57" s="93">
        <f t="shared" si="1"/>
        <v>0.2857142857142857</v>
      </c>
    </row>
    <row r="58" spans="3:17" x14ac:dyDescent="0.15">
      <c r="C58" s="17">
        <v>132</v>
      </c>
      <c r="D58" s="92">
        <f t="shared" si="2"/>
        <v>0</v>
      </c>
      <c r="E58" s="92">
        <f t="shared" si="0"/>
        <v>0.14285714285714285</v>
      </c>
      <c r="F58" s="92">
        <f t="shared" si="0"/>
        <v>0</v>
      </c>
      <c r="G58" s="92">
        <f t="shared" si="0"/>
        <v>0</v>
      </c>
      <c r="H58" s="92">
        <f t="shared" si="0"/>
        <v>0</v>
      </c>
    </row>
    <row r="59" spans="3:17" x14ac:dyDescent="0.15">
      <c r="C59" s="17">
        <v>135</v>
      </c>
      <c r="D59" s="92">
        <f t="shared" si="2"/>
        <v>0</v>
      </c>
      <c r="E59" s="92">
        <f t="shared" si="0"/>
        <v>0.19642857142857142</v>
      </c>
      <c r="F59" s="92">
        <f t="shared" si="0"/>
        <v>0</v>
      </c>
      <c r="G59" s="92">
        <f t="shared" si="0"/>
        <v>0</v>
      </c>
      <c r="H59" s="92">
        <f t="shared" si="0"/>
        <v>0</v>
      </c>
    </row>
    <row r="60" spans="3:17" x14ac:dyDescent="0.15">
      <c r="C60" s="17">
        <v>131</v>
      </c>
      <c r="D60" s="92">
        <f t="shared" si="2"/>
        <v>0</v>
      </c>
      <c r="E60" s="92">
        <f t="shared" si="0"/>
        <v>0</v>
      </c>
      <c r="F60" s="92">
        <f t="shared" si="0"/>
        <v>0.48214285714285715</v>
      </c>
      <c r="G60" s="92">
        <f t="shared" si="0"/>
        <v>0</v>
      </c>
      <c r="H60" s="92">
        <f t="shared" si="0"/>
        <v>0</v>
      </c>
    </row>
    <row r="61" spans="3:17" x14ac:dyDescent="0.15">
      <c r="C61" s="17">
        <v>134</v>
      </c>
      <c r="D61" s="92">
        <f t="shared" ref="D61:D68" si="3">SSRAlleleFreq(D$11:D$38,$C61)</f>
        <v>0</v>
      </c>
      <c r="E61" s="92">
        <f t="shared" si="0"/>
        <v>0</v>
      </c>
      <c r="F61" s="92">
        <f t="shared" si="0"/>
        <v>0.25</v>
      </c>
      <c r="G61" s="92">
        <f t="shared" si="0"/>
        <v>0</v>
      </c>
      <c r="H61" s="92">
        <f t="shared" si="0"/>
        <v>0</v>
      </c>
    </row>
    <row r="62" spans="3:17" x14ac:dyDescent="0.15">
      <c r="C62" s="17">
        <v>140</v>
      </c>
      <c r="D62" s="92">
        <f t="shared" si="3"/>
        <v>0</v>
      </c>
      <c r="E62" s="92">
        <f t="shared" si="0"/>
        <v>0</v>
      </c>
      <c r="F62" s="92">
        <f t="shared" si="0"/>
        <v>0.16071428571428573</v>
      </c>
      <c r="G62" s="92">
        <f t="shared" si="0"/>
        <v>0</v>
      </c>
      <c r="H62" s="92">
        <f t="shared" si="0"/>
        <v>0</v>
      </c>
    </row>
    <row r="63" spans="3:17" x14ac:dyDescent="0.15">
      <c r="C63" s="17">
        <v>240</v>
      </c>
      <c r="D63" s="92">
        <f t="shared" si="3"/>
        <v>0</v>
      </c>
      <c r="E63" s="92">
        <f t="shared" si="0"/>
        <v>0</v>
      </c>
      <c r="F63" s="92">
        <f t="shared" si="0"/>
        <v>0</v>
      </c>
      <c r="G63" s="92">
        <f t="shared" si="0"/>
        <v>0.17857142857142858</v>
      </c>
      <c r="H63" s="92">
        <f t="shared" si="0"/>
        <v>0</v>
      </c>
    </row>
    <row r="64" spans="3:17" x14ac:dyDescent="0.15">
      <c r="C64" s="17">
        <v>255</v>
      </c>
      <c r="D64" s="92">
        <f t="shared" si="3"/>
        <v>0</v>
      </c>
      <c r="E64" s="92">
        <f t="shared" si="0"/>
        <v>0</v>
      </c>
      <c r="F64" s="92">
        <f t="shared" si="0"/>
        <v>0</v>
      </c>
      <c r="G64" s="92">
        <f t="shared" si="0"/>
        <v>0.7678571428571429</v>
      </c>
      <c r="H64" s="92">
        <f t="shared" si="0"/>
        <v>0</v>
      </c>
    </row>
    <row r="65" spans="1:17" x14ac:dyDescent="0.15">
      <c r="C65" s="17">
        <v>258</v>
      </c>
      <c r="D65" s="92">
        <f t="shared" si="3"/>
        <v>0</v>
      </c>
      <c r="E65" s="92">
        <f t="shared" si="0"/>
        <v>0</v>
      </c>
      <c r="F65" s="92">
        <f t="shared" si="0"/>
        <v>0</v>
      </c>
      <c r="G65" s="92">
        <f t="shared" si="0"/>
        <v>5.3571428571428568E-2</v>
      </c>
      <c r="H65" s="92">
        <f t="shared" si="0"/>
        <v>0</v>
      </c>
    </row>
    <row r="66" spans="1:17" x14ac:dyDescent="0.15">
      <c r="C66" s="17">
        <v>168</v>
      </c>
      <c r="D66" s="92">
        <f t="shared" si="3"/>
        <v>0</v>
      </c>
      <c r="E66" s="92">
        <f t="shared" si="0"/>
        <v>0</v>
      </c>
      <c r="F66" s="92">
        <f t="shared" si="0"/>
        <v>0</v>
      </c>
      <c r="G66" s="92">
        <f t="shared" si="0"/>
        <v>0</v>
      </c>
      <c r="H66" s="92">
        <f t="shared" si="0"/>
        <v>0.5</v>
      </c>
    </row>
    <row r="67" spans="1:17" x14ac:dyDescent="0.15">
      <c r="C67" s="17">
        <v>175</v>
      </c>
      <c r="D67" s="92">
        <f t="shared" si="3"/>
        <v>0</v>
      </c>
      <c r="E67" s="92">
        <f t="shared" si="0"/>
        <v>0</v>
      </c>
      <c r="F67" s="92">
        <f t="shared" si="0"/>
        <v>0</v>
      </c>
      <c r="G67" s="92">
        <f t="shared" si="0"/>
        <v>0</v>
      </c>
      <c r="H67" s="92">
        <f t="shared" si="0"/>
        <v>3.5714285714285712E-2</v>
      </c>
    </row>
    <row r="68" spans="1:17" x14ac:dyDescent="0.15">
      <c r="C68" s="63">
        <v>177</v>
      </c>
      <c r="D68" s="93">
        <f t="shared" si="3"/>
        <v>0</v>
      </c>
      <c r="E68" s="93">
        <f t="shared" si="0"/>
        <v>0</v>
      </c>
      <c r="F68" s="93">
        <f t="shared" si="0"/>
        <v>0</v>
      </c>
      <c r="G68" s="93">
        <f t="shared" si="0"/>
        <v>0</v>
      </c>
      <c r="H68" s="93">
        <f t="shared" si="0"/>
        <v>0.2857142857142857</v>
      </c>
    </row>
    <row r="71" spans="1:17" x14ac:dyDescent="0.15">
      <c r="A71" s="66" t="s">
        <v>460</v>
      </c>
      <c r="B71" s="67" t="s">
        <v>1314</v>
      </c>
      <c r="C71" s="67"/>
      <c r="D71" s="67"/>
      <c r="E71" s="67"/>
      <c r="F71" s="68"/>
      <c r="G71" s="67"/>
      <c r="H71" s="67"/>
      <c r="I71" s="68"/>
      <c r="J71" s="67"/>
      <c r="K71" s="67"/>
      <c r="L71" s="67"/>
      <c r="M71" s="67"/>
      <c r="N71" s="67"/>
      <c r="O71" s="67"/>
      <c r="P71" s="67"/>
    </row>
    <row r="72" spans="1:17" x14ac:dyDescent="0.15">
      <c r="B72" s="90" t="s">
        <v>697</v>
      </c>
    </row>
    <row r="73" spans="1:17" x14ac:dyDescent="0.15">
      <c r="B73" s="91" t="s">
        <v>698</v>
      </c>
    </row>
    <row r="75" spans="1:17" x14ac:dyDescent="0.15">
      <c r="C75" s="76" t="s">
        <v>1292</v>
      </c>
      <c r="K75" s="76" t="s">
        <v>1293</v>
      </c>
    </row>
    <row r="77" spans="1:17" x14ac:dyDescent="0.15">
      <c r="C77" s="69" t="s">
        <v>879</v>
      </c>
      <c r="D77" s="70" t="s">
        <v>1319</v>
      </c>
      <c r="E77" s="58"/>
      <c r="F77" s="59"/>
      <c r="G77" s="58"/>
      <c r="H77" s="58"/>
      <c r="I77" s="71"/>
      <c r="K77" s="69" t="s">
        <v>879</v>
      </c>
      <c r="L77" s="70" t="s">
        <v>1320</v>
      </c>
      <c r="M77" s="58"/>
      <c r="N77" s="59"/>
      <c r="O77" s="58"/>
      <c r="P77" s="58"/>
      <c r="Q77" s="71"/>
    </row>
    <row r="78" spans="1:17" x14ac:dyDescent="0.15">
      <c r="C78" s="72" t="s">
        <v>1042</v>
      </c>
      <c r="D78" s="32" t="s">
        <v>1317</v>
      </c>
      <c r="E78" s="32"/>
      <c r="F78" s="61"/>
      <c r="G78" s="32"/>
      <c r="H78" s="32"/>
      <c r="I78" s="73"/>
      <c r="K78" s="72" t="s">
        <v>1042</v>
      </c>
      <c r="L78" s="32" t="s">
        <v>1321</v>
      </c>
      <c r="M78" s="32"/>
      <c r="N78" s="61"/>
      <c r="O78" s="32"/>
      <c r="P78" s="32"/>
      <c r="Q78" s="73"/>
    </row>
    <row r="79" spans="1:17" x14ac:dyDescent="0.15">
      <c r="C79" s="72"/>
      <c r="D79" s="32" t="s">
        <v>1322</v>
      </c>
      <c r="E79" s="32"/>
      <c r="F79" s="32"/>
      <c r="G79" s="32"/>
      <c r="H79" s="32"/>
      <c r="I79" s="73"/>
      <c r="K79" s="72"/>
      <c r="L79" s="32" t="s">
        <v>1323</v>
      </c>
      <c r="M79" s="32"/>
      <c r="N79" s="32"/>
      <c r="O79" s="32"/>
      <c r="P79" s="32"/>
      <c r="Q79" s="73"/>
    </row>
    <row r="80" spans="1:17" x14ac:dyDescent="0.15">
      <c r="C80" s="74" t="s">
        <v>887</v>
      </c>
      <c r="D80" s="62" t="s">
        <v>1073</v>
      </c>
      <c r="E80" s="62"/>
      <c r="F80" s="63"/>
      <c r="G80" s="62"/>
      <c r="H80" s="62"/>
      <c r="I80" s="75"/>
      <c r="K80" s="74" t="s">
        <v>887</v>
      </c>
      <c r="L80" s="62" t="s">
        <v>1074</v>
      </c>
      <c r="M80" s="62"/>
      <c r="N80" s="63"/>
      <c r="O80" s="62"/>
      <c r="P80" s="62"/>
      <c r="Q80" s="75"/>
    </row>
    <row r="82" spans="3:16" x14ac:dyDescent="0.15">
      <c r="C82" s="58"/>
      <c r="D82" s="281" t="s">
        <v>461</v>
      </c>
      <c r="E82" s="282"/>
      <c r="F82" s="282"/>
      <c r="G82" s="282"/>
      <c r="H82" s="282"/>
      <c r="K82" s="58"/>
      <c r="L82" s="281" t="s">
        <v>463</v>
      </c>
      <c r="M82" s="281"/>
      <c r="N82" s="281"/>
      <c r="O82" s="281"/>
      <c r="P82" s="281"/>
    </row>
    <row r="83" spans="3:16" x14ac:dyDescent="0.15">
      <c r="C83" s="63" t="s">
        <v>476</v>
      </c>
      <c r="D83" s="57" t="s">
        <v>188</v>
      </c>
      <c r="E83" s="57" t="s">
        <v>189</v>
      </c>
      <c r="F83" s="57" t="s">
        <v>190</v>
      </c>
      <c r="G83" s="57" t="s">
        <v>210</v>
      </c>
      <c r="H83" s="57" t="s">
        <v>211</v>
      </c>
      <c r="K83" s="63" t="s">
        <v>476</v>
      </c>
      <c r="L83" s="57" t="s">
        <v>188</v>
      </c>
      <c r="M83" s="57" t="s">
        <v>189</v>
      </c>
      <c r="N83" s="57" t="s">
        <v>190</v>
      </c>
      <c r="O83" s="57" t="s">
        <v>210</v>
      </c>
      <c r="P83" s="57" t="s">
        <v>211</v>
      </c>
    </row>
    <row r="84" spans="3:16" x14ac:dyDescent="0.15">
      <c r="C84" s="88" t="s">
        <v>222</v>
      </c>
      <c r="D84" s="92">
        <f>SSRGTFreq(D$11:D$38,$C84)</f>
        <v>7.1428571428571425E-2</v>
      </c>
      <c r="E84" s="92">
        <f t="shared" ref="E84:H98" si="4">SSRGTFreq(E$11:E$38,$C84)</f>
        <v>0</v>
      </c>
      <c r="F84" s="92">
        <f t="shared" si="4"/>
        <v>0</v>
      </c>
      <c r="G84" s="92">
        <f t="shared" si="4"/>
        <v>0</v>
      </c>
      <c r="H84" s="92">
        <f t="shared" si="4"/>
        <v>0</v>
      </c>
      <c r="K84" s="17" t="s">
        <v>464</v>
      </c>
      <c r="L84" s="92">
        <f t="shared" ref="L84:P93" si="5">SNPGTFreq(L$11:L$38,$K84)</f>
        <v>0.32142857142857145</v>
      </c>
      <c r="M84" s="92">
        <f t="shared" si="5"/>
        <v>0</v>
      </c>
      <c r="N84" s="92">
        <f t="shared" si="5"/>
        <v>0.5357142857142857</v>
      </c>
      <c r="O84" s="92">
        <f t="shared" si="5"/>
        <v>3.5714285714285712E-2</v>
      </c>
      <c r="P84" s="92">
        <f t="shared" si="5"/>
        <v>0.42857142857142855</v>
      </c>
    </row>
    <row r="85" spans="3:16" x14ac:dyDescent="0.15">
      <c r="C85" s="88" t="s">
        <v>225</v>
      </c>
      <c r="D85" s="92">
        <f t="shared" ref="D85:D98" si="6">SSRGTFreq(D$11:D$38,$C85)</f>
        <v>0.10714285714285714</v>
      </c>
      <c r="E85" s="92">
        <f t="shared" si="4"/>
        <v>0</v>
      </c>
      <c r="F85" s="92">
        <f t="shared" si="4"/>
        <v>0</v>
      </c>
      <c r="G85" s="92">
        <f t="shared" si="4"/>
        <v>0</v>
      </c>
      <c r="H85" s="92">
        <f t="shared" si="4"/>
        <v>0</v>
      </c>
      <c r="K85" s="17" t="s">
        <v>465</v>
      </c>
      <c r="L85" s="92">
        <f t="shared" si="5"/>
        <v>0</v>
      </c>
      <c r="M85" s="92">
        <f t="shared" si="5"/>
        <v>0</v>
      </c>
      <c r="N85" s="92">
        <f t="shared" si="5"/>
        <v>0</v>
      </c>
      <c r="O85" s="92">
        <f t="shared" si="5"/>
        <v>0.6071428571428571</v>
      </c>
      <c r="P85" s="92">
        <f t="shared" si="5"/>
        <v>0</v>
      </c>
    </row>
    <row r="86" spans="3:16" x14ac:dyDescent="0.15">
      <c r="C86" s="88" t="s">
        <v>233</v>
      </c>
      <c r="D86" s="92">
        <f t="shared" si="6"/>
        <v>3.5714285714285712E-2</v>
      </c>
      <c r="E86" s="92">
        <f t="shared" si="4"/>
        <v>0</v>
      </c>
      <c r="F86" s="92">
        <f t="shared" si="4"/>
        <v>0</v>
      </c>
      <c r="G86" s="92">
        <f t="shared" si="4"/>
        <v>0</v>
      </c>
      <c r="H86" s="92">
        <f t="shared" si="4"/>
        <v>0</v>
      </c>
      <c r="K86" s="17" t="s">
        <v>466</v>
      </c>
      <c r="L86" s="92">
        <f t="shared" si="5"/>
        <v>0.35714285714285715</v>
      </c>
      <c r="M86" s="92">
        <f t="shared" si="5"/>
        <v>0</v>
      </c>
      <c r="N86" s="92">
        <f t="shared" si="5"/>
        <v>0.39285714285714285</v>
      </c>
      <c r="O86" s="92">
        <f t="shared" si="5"/>
        <v>0</v>
      </c>
      <c r="P86" s="92">
        <f t="shared" si="5"/>
        <v>0</v>
      </c>
    </row>
    <row r="87" spans="3:16" x14ac:dyDescent="0.15">
      <c r="C87" s="88" t="s">
        <v>223</v>
      </c>
      <c r="D87" s="92">
        <f t="shared" si="6"/>
        <v>0</v>
      </c>
      <c r="E87" s="92">
        <f t="shared" si="4"/>
        <v>7.1428571428571425E-2</v>
      </c>
      <c r="F87" s="92">
        <f t="shared" si="4"/>
        <v>0</v>
      </c>
      <c r="G87" s="92">
        <f t="shared" si="4"/>
        <v>0</v>
      </c>
      <c r="H87" s="92">
        <f t="shared" si="4"/>
        <v>0</v>
      </c>
      <c r="K87" s="61" t="s">
        <v>467</v>
      </c>
      <c r="L87" s="92">
        <f t="shared" si="5"/>
        <v>0</v>
      </c>
      <c r="M87" s="92">
        <f t="shared" si="5"/>
        <v>0</v>
      </c>
      <c r="N87" s="92">
        <f t="shared" si="5"/>
        <v>0</v>
      </c>
      <c r="O87" s="92">
        <f t="shared" si="5"/>
        <v>0</v>
      </c>
      <c r="P87" s="92">
        <f t="shared" si="5"/>
        <v>0.5714285714285714</v>
      </c>
    </row>
    <row r="88" spans="3:16" x14ac:dyDescent="0.15">
      <c r="C88" s="88" t="s">
        <v>230</v>
      </c>
      <c r="D88" s="92">
        <f t="shared" si="6"/>
        <v>0</v>
      </c>
      <c r="E88" s="92">
        <f t="shared" si="4"/>
        <v>0.10714285714285714</v>
      </c>
      <c r="F88" s="92">
        <f t="shared" si="4"/>
        <v>0</v>
      </c>
      <c r="G88" s="92">
        <f t="shared" si="4"/>
        <v>0</v>
      </c>
      <c r="H88" s="92">
        <f t="shared" si="4"/>
        <v>0</v>
      </c>
      <c r="K88" s="52" t="s">
        <v>468</v>
      </c>
      <c r="L88" s="92">
        <f t="shared" si="5"/>
        <v>0</v>
      </c>
      <c r="M88" s="92">
        <f t="shared" si="5"/>
        <v>0.17857142857142858</v>
      </c>
      <c r="N88" s="92">
        <f t="shared" si="5"/>
        <v>0</v>
      </c>
      <c r="O88" s="92">
        <f t="shared" si="5"/>
        <v>0.35714285714285715</v>
      </c>
      <c r="P88" s="92">
        <f t="shared" si="5"/>
        <v>0</v>
      </c>
    </row>
    <row r="89" spans="3:16" x14ac:dyDescent="0.15">
      <c r="C89" s="88" t="s">
        <v>244</v>
      </c>
      <c r="D89" s="92">
        <f t="shared" si="6"/>
        <v>0</v>
      </c>
      <c r="E89" s="92">
        <f t="shared" si="4"/>
        <v>0.17857142857142858</v>
      </c>
      <c r="F89" s="92">
        <f t="shared" si="4"/>
        <v>0</v>
      </c>
      <c r="G89" s="92">
        <f t="shared" si="4"/>
        <v>0</v>
      </c>
      <c r="H89" s="92">
        <f t="shared" si="4"/>
        <v>0</v>
      </c>
      <c r="K89" s="52" t="s">
        <v>469</v>
      </c>
      <c r="L89" s="92">
        <f t="shared" si="5"/>
        <v>0</v>
      </c>
      <c r="M89" s="92">
        <f t="shared" si="5"/>
        <v>0</v>
      </c>
      <c r="N89" s="92">
        <f t="shared" si="5"/>
        <v>0</v>
      </c>
      <c r="O89" s="92">
        <f t="shared" si="5"/>
        <v>0</v>
      </c>
      <c r="P89" s="92">
        <f t="shared" si="5"/>
        <v>0</v>
      </c>
    </row>
    <row r="90" spans="3:16" x14ac:dyDescent="0.15">
      <c r="C90" s="88" t="s">
        <v>220</v>
      </c>
      <c r="D90" s="92">
        <f t="shared" si="6"/>
        <v>0</v>
      </c>
      <c r="E90" s="92">
        <f t="shared" si="4"/>
        <v>0</v>
      </c>
      <c r="F90" s="92">
        <f t="shared" si="4"/>
        <v>3.5714285714285712E-2</v>
      </c>
      <c r="G90" s="92">
        <f t="shared" si="4"/>
        <v>0</v>
      </c>
      <c r="H90" s="92">
        <f t="shared" si="4"/>
        <v>0</v>
      </c>
      <c r="K90" s="52" t="s">
        <v>470</v>
      </c>
      <c r="L90" s="92">
        <f t="shared" si="5"/>
        <v>0</v>
      </c>
      <c r="M90" s="92">
        <f t="shared" si="5"/>
        <v>0.4642857142857143</v>
      </c>
      <c r="N90" s="92">
        <f t="shared" si="5"/>
        <v>0</v>
      </c>
      <c r="O90" s="92">
        <f t="shared" si="5"/>
        <v>0</v>
      </c>
      <c r="P90" s="92">
        <f t="shared" si="5"/>
        <v>0</v>
      </c>
    </row>
    <row r="91" spans="3:16" x14ac:dyDescent="0.15">
      <c r="C91" s="88" t="s">
        <v>235</v>
      </c>
      <c r="D91" s="92">
        <f t="shared" si="6"/>
        <v>0</v>
      </c>
      <c r="E91" s="92">
        <f t="shared" si="4"/>
        <v>0</v>
      </c>
      <c r="F91" s="92">
        <f t="shared" si="4"/>
        <v>0.32142857142857145</v>
      </c>
      <c r="G91" s="92">
        <f t="shared" si="4"/>
        <v>0</v>
      </c>
      <c r="H91" s="92">
        <f t="shared" si="4"/>
        <v>0</v>
      </c>
      <c r="K91" s="52" t="s">
        <v>471</v>
      </c>
      <c r="L91" s="92">
        <f t="shared" si="5"/>
        <v>0.32142857142857145</v>
      </c>
      <c r="M91" s="92">
        <f t="shared" si="5"/>
        <v>0</v>
      </c>
      <c r="N91" s="92">
        <f t="shared" si="5"/>
        <v>3.5714285714285712E-2</v>
      </c>
      <c r="O91" s="92">
        <f t="shared" si="5"/>
        <v>0</v>
      </c>
      <c r="P91" s="92">
        <f t="shared" si="5"/>
        <v>0</v>
      </c>
    </row>
    <row r="92" spans="3:16" x14ac:dyDescent="0.15">
      <c r="C92" s="88" t="s">
        <v>245</v>
      </c>
      <c r="D92" s="92">
        <f t="shared" si="6"/>
        <v>0</v>
      </c>
      <c r="E92" s="92">
        <f t="shared" si="4"/>
        <v>0</v>
      </c>
      <c r="F92" s="92">
        <f t="shared" si="4"/>
        <v>3.5714285714285712E-2</v>
      </c>
      <c r="G92" s="92">
        <f t="shared" si="4"/>
        <v>0</v>
      </c>
      <c r="H92" s="92">
        <f t="shared" si="4"/>
        <v>0</v>
      </c>
      <c r="K92" s="52" t="s">
        <v>473</v>
      </c>
      <c r="L92" s="94">
        <f t="shared" si="5"/>
        <v>0</v>
      </c>
      <c r="M92" s="94">
        <f t="shared" si="5"/>
        <v>0</v>
      </c>
      <c r="N92" s="94">
        <f t="shared" si="5"/>
        <v>0</v>
      </c>
      <c r="O92" s="94">
        <f t="shared" si="5"/>
        <v>0</v>
      </c>
      <c r="P92" s="94">
        <f t="shared" si="5"/>
        <v>0</v>
      </c>
    </row>
    <row r="93" spans="3:16" x14ac:dyDescent="0.15">
      <c r="C93" s="88" t="s">
        <v>216</v>
      </c>
      <c r="D93" s="92">
        <f t="shared" si="6"/>
        <v>0</v>
      </c>
      <c r="E93" s="92">
        <f t="shared" si="4"/>
        <v>0</v>
      </c>
      <c r="F93" s="92">
        <f t="shared" si="4"/>
        <v>0</v>
      </c>
      <c r="G93" s="92">
        <f t="shared" si="4"/>
        <v>3.5714285714285712E-2</v>
      </c>
      <c r="H93" s="92">
        <f t="shared" si="4"/>
        <v>0</v>
      </c>
      <c r="K93" s="95" t="s">
        <v>472</v>
      </c>
      <c r="L93" s="93">
        <f t="shared" si="5"/>
        <v>0</v>
      </c>
      <c r="M93" s="93">
        <f t="shared" si="5"/>
        <v>0.35714285714285715</v>
      </c>
      <c r="N93" s="93">
        <f t="shared" si="5"/>
        <v>0</v>
      </c>
      <c r="O93" s="93">
        <f t="shared" si="5"/>
        <v>0</v>
      </c>
      <c r="P93" s="93">
        <f t="shared" si="5"/>
        <v>0</v>
      </c>
    </row>
    <row r="94" spans="3:16" x14ac:dyDescent="0.15">
      <c r="C94" s="88" t="s">
        <v>232</v>
      </c>
      <c r="D94" s="92">
        <f t="shared" si="6"/>
        <v>0</v>
      </c>
      <c r="E94" s="92">
        <f t="shared" si="4"/>
        <v>0</v>
      </c>
      <c r="F94" s="92">
        <f t="shared" si="4"/>
        <v>0</v>
      </c>
      <c r="G94" s="92">
        <f t="shared" si="4"/>
        <v>0.21428571428571427</v>
      </c>
      <c r="H94" s="92">
        <f t="shared" si="4"/>
        <v>0</v>
      </c>
      <c r="L94" s="92"/>
      <c r="M94" s="92"/>
      <c r="N94" s="92"/>
      <c r="O94" s="92"/>
      <c r="P94" s="92"/>
    </row>
    <row r="95" spans="3:16" x14ac:dyDescent="0.15">
      <c r="C95" s="88" t="s">
        <v>240</v>
      </c>
      <c r="D95" s="92">
        <f t="shared" si="6"/>
        <v>0</v>
      </c>
      <c r="E95" s="92">
        <f t="shared" si="4"/>
        <v>0</v>
      </c>
      <c r="F95" s="92">
        <f t="shared" si="4"/>
        <v>0</v>
      </c>
      <c r="G95" s="92">
        <f t="shared" si="4"/>
        <v>7.1428571428571425E-2</v>
      </c>
      <c r="H95" s="92">
        <f t="shared" si="4"/>
        <v>0</v>
      </c>
      <c r="L95" s="92"/>
      <c r="M95" s="92"/>
      <c r="N95" s="92"/>
      <c r="O95" s="92"/>
      <c r="P95" s="92"/>
    </row>
    <row r="96" spans="3:16" x14ac:dyDescent="0.15">
      <c r="C96" s="88" t="s">
        <v>217</v>
      </c>
      <c r="D96" s="92">
        <f t="shared" si="6"/>
        <v>0</v>
      </c>
      <c r="E96" s="92">
        <f t="shared" si="4"/>
        <v>0</v>
      </c>
      <c r="F96" s="92">
        <f t="shared" si="4"/>
        <v>0</v>
      </c>
      <c r="G96" s="92">
        <f t="shared" si="4"/>
        <v>0</v>
      </c>
      <c r="H96" s="92">
        <f t="shared" si="4"/>
        <v>0.35714285714285715</v>
      </c>
      <c r="L96" s="92"/>
      <c r="M96" s="92"/>
      <c r="N96" s="92"/>
      <c r="O96" s="92"/>
      <c r="P96" s="92"/>
    </row>
    <row r="97" spans="1:17" x14ac:dyDescent="0.15">
      <c r="C97" s="88" t="s">
        <v>246</v>
      </c>
      <c r="D97" s="92">
        <f t="shared" si="6"/>
        <v>0</v>
      </c>
      <c r="E97" s="92">
        <f t="shared" si="4"/>
        <v>0</v>
      </c>
      <c r="F97" s="92">
        <f t="shared" si="4"/>
        <v>0</v>
      </c>
      <c r="G97" s="92">
        <f t="shared" si="4"/>
        <v>0</v>
      </c>
      <c r="H97" s="92">
        <f t="shared" si="4"/>
        <v>7.1428571428571425E-2</v>
      </c>
      <c r="L97" s="92"/>
      <c r="M97" s="92"/>
      <c r="N97" s="92"/>
      <c r="O97" s="92"/>
      <c r="P97" s="92"/>
    </row>
    <row r="98" spans="1:17" x14ac:dyDescent="0.15">
      <c r="C98" s="89" t="s">
        <v>249</v>
      </c>
      <c r="D98" s="93">
        <f t="shared" si="6"/>
        <v>0</v>
      </c>
      <c r="E98" s="93">
        <f t="shared" si="4"/>
        <v>0</v>
      </c>
      <c r="F98" s="93">
        <f t="shared" si="4"/>
        <v>0</v>
      </c>
      <c r="G98" s="93">
        <f t="shared" si="4"/>
        <v>0</v>
      </c>
      <c r="H98" s="93">
        <f t="shared" si="4"/>
        <v>3.5714285714285712E-2</v>
      </c>
      <c r="L98" s="92"/>
      <c r="M98" s="92"/>
      <c r="N98" s="92"/>
      <c r="O98" s="92"/>
      <c r="P98" s="92"/>
    </row>
    <row r="101" spans="1:17" x14ac:dyDescent="0.15">
      <c r="A101" s="66" t="s">
        <v>397</v>
      </c>
      <c r="B101" s="67" t="s">
        <v>1324</v>
      </c>
      <c r="C101" s="67"/>
      <c r="D101" s="67"/>
      <c r="E101" s="67"/>
      <c r="F101" s="68"/>
      <c r="G101" s="67"/>
      <c r="H101" s="67"/>
      <c r="I101" s="68"/>
      <c r="J101" s="67"/>
      <c r="K101" s="67"/>
      <c r="L101" s="67"/>
      <c r="M101" s="67"/>
      <c r="N101" s="67"/>
      <c r="O101" s="67"/>
      <c r="P101" s="67"/>
    </row>
    <row r="102" spans="1:17" x14ac:dyDescent="0.15">
      <c r="B102" s="14" t="s">
        <v>699</v>
      </c>
    </row>
    <row r="103" spans="1:17" x14ac:dyDescent="0.15">
      <c r="B103" s="79" t="s">
        <v>1325</v>
      </c>
    </row>
    <row r="105" spans="1:17" x14ac:dyDescent="0.15">
      <c r="C105" s="76" t="s">
        <v>1292</v>
      </c>
      <c r="K105" s="76" t="s">
        <v>1293</v>
      </c>
    </row>
    <row r="106" spans="1:17" x14ac:dyDescent="0.15">
      <c r="C106" s="32"/>
      <c r="D106" s="96"/>
      <c r="E106" s="96"/>
      <c r="F106" s="96"/>
      <c r="G106" s="96"/>
      <c r="H106" s="96"/>
    </row>
    <row r="107" spans="1:17" x14ac:dyDescent="0.15">
      <c r="C107" s="69" t="s">
        <v>879</v>
      </c>
      <c r="D107" s="70" t="s">
        <v>1326</v>
      </c>
      <c r="E107" s="58"/>
      <c r="F107" s="58"/>
      <c r="G107" s="58"/>
      <c r="H107" s="58"/>
      <c r="I107" s="71"/>
      <c r="K107" s="69" t="s">
        <v>879</v>
      </c>
      <c r="L107" s="70" t="s">
        <v>1327</v>
      </c>
      <c r="M107" s="58"/>
      <c r="N107" s="58"/>
      <c r="O107" s="58"/>
      <c r="P107" s="58"/>
      <c r="Q107" s="71"/>
    </row>
    <row r="108" spans="1:17" x14ac:dyDescent="0.15">
      <c r="C108" s="72" t="s">
        <v>886</v>
      </c>
      <c r="D108" s="32" t="s">
        <v>1317</v>
      </c>
      <c r="E108" s="32"/>
      <c r="F108" s="32"/>
      <c r="G108" s="32"/>
      <c r="H108" s="32"/>
      <c r="I108" s="73"/>
      <c r="K108" s="72" t="s">
        <v>886</v>
      </c>
      <c r="L108" s="32" t="s">
        <v>1318</v>
      </c>
      <c r="M108" s="32"/>
      <c r="N108" s="32"/>
      <c r="O108" s="32"/>
      <c r="P108" s="32"/>
      <c r="Q108" s="73"/>
    </row>
    <row r="109" spans="1:17" x14ac:dyDescent="0.15">
      <c r="C109" s="74" t="s">
        <v>887</v>
      </c>
      <c r="D109" s="62" t="s">
        <v>1328</v>
      </c>
      <c r="E109" s="62"/>
      <c r="F109" s="62"/>
      <c r="G109" s="62"/>
      <c r="H109" s="62"/>
      <c r="I109" s="75"/>
      <c r="K109" s="74" t="s">
        <v>887</v>
      </c>
      <c r="L109" s="62" t="s">
        <v>1328</v>
      </c>
      <c r="M109" s="62"/>
      <c r="N109" s="62"/>
      <c r="O109" s="62"/>
      <c r="P109" s="62"/>
      <c r="Q109" s="75"/>
    </row>
    <row r="110" spans="1:17" x14ac:dyDescent="0.15">
      <c r="C110" s="32"/>
      <c r="D110" s="96"/>
      <c r="E110" s="96"/>
      <c r="F110" s="96"/>
      <c r="G110" s="96"/>
      <c r="H110" s="96"/>
    </row>
    <row r="111" spans="1:17" x14ac:dyDescent="0.15">
      <c r="C111" s="58"/>
      <c r="D111" s="281" t="s">
        <v>474</v>
      </c>
      <c r="E111" s="282"/>
      <c r="F111" s="282"/>
      <c r="G111" s="282"/>
      <c r="H111" s="282"/>
      <c r="K111" s="58"/>
      <c r="L111" s="281" t="s">
        <v>478</v>
      </c>
      <c r="M111" s="281"/>
      <c r="N111" s="281"/>
      <c r="O111" s="281"/>
      <c r="P111" s="281"/>
    </row>
    <row r="112" spans="1:17" x14ac:dyDescent="0.15">
      <c r="C112" s="63"/>
      <c r="D112" s="57" t="s">
        <v>188</v>
      </c>
      <c r="E112" s="57" t="s">
        <v>189</v>
      </c>
      <c r="F112" s="57" t="s">
        <v>190</v>
      </c>
      <c r="G112" s="57" t="s">
        <v>210</v>
      </c>
      <c r="H112" s="57" t="s">
        <v>211</v>
      </c>
      <c r="K112" s="63"/>
      <c r="L112" s="57" t="s">
        <v>188</v>
      </c>
      <c r="M112" s="57" t="s">
        <v>189</v>
      </c>
      <c r="N112" s="57" t="s">
        <v>190</v>
      </c>
      <c r="O112" s="57" t="s">
        <v>210</v>
      </c>
      <c r="P112" s="57" t="s">
        <v>211</v>
      </c>
    </row>
    <row r="113" spans="1:17" x14ac:dyDescent="0.15">
      <c r="C113" s="97" t="s">
        <v>475</v>
      </c>
      <c r="D113" s="98">
        <f>SSRHo(D$11:D$38)</f>
        <v>0.8571428571428571</v>
      </c>
      <c r="E113" s="98">
        <f>SSRHo(E$11:E$38)</f>
        <v>0.7857142857142857</v>
      </c>
      <c r="F113" s="98">
        <f>SSRHo(F$11:F$38)</f>
        <v>0.5357142857142857</v>
      </c>
      <c r="G113" s="98">
        <f>SSRHo(G$11:G$38)</f>
        <v>0.32142857142857145</v>
      </c>
      <c r="H113" s="98">
        <f>SSRHo(H$11:H$38)</f>
        <v>0.75</v>
      </c>
      <c r="K113" s="99" t="s">
        <v>477</v>
      </c>
      <c r="L113" s="98">
        <f>SNPHo(L$11:L$38)</f>
        <v>0.35714285714285715</v>
      </c>
      <c r="M113" s="98">
        <f>SNPHo(M$11:M$38)</f>
        <v>0.4642857142857143</v>
      </c>
      <c r="N113" s="98">
        <f>SNPHo(N$11:N$38)</f>
        <v>0.39285714285714285</v>
      </c>
      <c r="O113" s="98">
        <f>SNPHo(O$11:O$38)</f>
        <v>0.6071428571428571</v>
      </c>
      <c r="P113" s="98">
        <f>SNPHo(P$11:P$38)</f>
        <v>0.5714285714285714</v>
      </c>
    </row>
    <row r="114" spans="1:17" x14ac:dyDescent="0.15">
      <c r="C114" s="32"/>
      <c r="D114" s="96"/>
      <c r="E114" s="96"/>
      <c r="F114" s="96"/>
      <c r="G114" s="96"/>
      <c r="H114" s="96"/>
    </row>
    <row r="115" spans="1:17" x14ac:dyDescent="0.15">
      <c r="C115" s="32"/>
      <c r="D115" s="96"/>
      <c r="E115" s="96"/>
      <c r="F115" s="96"/>
      <c r="G115" s="96"/>
      <c r="H115" s="96"/>
    </row>
    <row r="116" spans="1:17" x14ac:dyDescent="0.15">
      <c r="A116" s="66" t="s">
        <v>398</v>
      </c>
      <c r="B116" s="67" t="s">
        <v>1329</v>
      </c>
      <c r="C116" s="67"/>
      <c r="D116" s="67"/>
      <c r="E116" s="67"/>
      <c r="F116" s="68"/>
      <c r="G116" s="67"/>
      <c r="H116" s="67"/>
      <c r="I116" s="68"/>
      <c r="J116" s="67"/>
      <c r="K116" s="67"/>
      <c r="L116" s="67"/>
      <c r="M116" s="67"/>
      <c r="N116" s="67"/>
      <c r="O116" s="67"/>
      <c r="P116" s="67"/>
    </row>
    <row r="117" spans="1:17" x14ac:dyDescent="0.15">
      <c r="B117" s="14" t="s">
        <v>700</v>
      </c>
      <c r="C117" s="32"/>
      <c r="D117" s="96"/>
      <c r="E117" s="96"/>
      <c r="F117" s="96"/>
      <c r="G117" s="96"/>
      <c r="H117" s="96"/>
    </row>
    <row r="118" spans="1:17" x14ac:dyDescent="0.15">
      <c r="C118" s="32"/>
      <c r="D118" s="96"/>
      <c r="E118" s="96"/>
      <c r="F118" s="96"/>
      <c r="G118" s="96"/>
      <c r="H118" s="96"/>
    </row>
    <row r="119" spans="1:17" x14ac:dyDescent="0.15">
      <c r="C119" s="76" t="s">
        <v>1292</v>
      </c>
      <c r="K119" s="76" t="s">
        <v>1293</v>
      </c>
    </row>
    <row r="120" spans="1:17" x14ac:dyDescent="0.15">
      <c r="C120" s="76"/>
      <c r="K120" s="76"/>
    </row>
    <row r="121" spans="1:17" x14ac:dyDescent="0.15">
      <c r="C121" s="69" t="s">
        <v>879</v>
      </c>
      <c r="D121" s="70" t="s">
        <v>1330</v>
      </c>
      <c r="E121" s="58"/>
      <c r="F121" s="58"/>
      <c r="G121" s="58"/>
      <c r="H121" s="58"/>
      <c r="I121" s="71"/>
      <c r="K121" s="69" t="s">
        <v>879</v>
      </c>
      <c r="L121" s="70" t="s">
        <v>1331</v>
      </c>
      <c r="M121" s="58"/>
      <c r="N121" s="58"/>
      <c r="O121" s="58"/>
      <c r="P121" s="58"/>
      <c r="Q121" s="71"/>
    </row>
    <row r="122" spans="1:17" x14ac:dyDescent="0.15">
      <c r="C122" s="72" t="s">
        <v>886</v>
      </c>
      <c r="D122" s="32" t="s">
        <v>1317</v>
      </c>
      <c r="E122" s="32"/>
      <c r="F122" s="32"/>
      <c r="G122" s="32"/>
      <c r="H122" s="32"/>
      <c r="I122" s="73"/>
      <c r="K122" s="72" t="s">
        <v>886</v>
      </c>
      <c r="L122" s="32" t="s">
        <v>1318</v>
      </c>
      <c r="M122" s="32"/>
      <c r="N122" s="32"/>
      <c r="O122" s="32"/>
      <c r="P122" s="32"/>
      <c r="Q122" s="73"/>
    </row>
    <row r="123" spans="1:17" x14ac:dyDescent="0.15">
      <c r="C123" s="74" t="s">
        <v>887</v>
      </c>
      <c r="D123" s="62" t="s">
        <v>1332</v>
      </c>
      <c r="E123" s="62"/>
      <c r="F123" s="62"/>
      <c r="G123" s="62"/>
      <c r="H123" s="62"/>
      <c r="I123" s="75"/>
      <c r="K123" s="74" t="s">
        <v>887</v>
      </c>
      <c r="L123" s="62" t="s">
        <v>1332</v>
      </c>
      <c r="M123" s="62"/>
      <c r="N123" s="62"/>
      <c r="O123" s="62"/>
      <c r="P123" s="62"/>
      <c r="Q123" s="75"/>
    </row>
    <row r="124" spans="1:17" x14ac:dyDescent="0.15">
      <c r="C124" s="32"/>
      <c r="D124" s="96"/>
      <c r="E124" s="96"/>
      <c r="F124" s="96"/>
      <c r="G124" s="96"/>
      <c r="H124" s="96"/>
    </row>
    <row r="125" spans="1:17" x14ac:dyDescent="0.15">
      <c r="C125" s="58"/>
      <c r="D125" s="281" t="s">
        <v>482</v>
      </c>
      <c r="E125" s="282"/>
      <c r="F125" s="282"/>
      <c r="G125" s="282"/>
      <c r="H125" s="282"/>
      <c r="K125" s="58"/>
      <c r="L125" s="281" t="s">
        <v>483</v>
      </c>
      <c r="M125" s="281"/>
      <c r="N125" s="281"/>
      <c r="O125" s="281"/>
      <c r="P125" s="281"/>
    </row>
    <row r="126" spans="1:17" x14ac:dyDescent="0.15">
      <c r="C126" s="63"/>
      <c r="D126" s="57" t="s">
        <v>188</v>
      </c>
      <c r="E126" s="57" t="s">
        <v>189</v>
      </c>
      <c r="F126" s="57" t="s">
        <v>190</v>
      </c>
      <c r="G126" s="57" t="s">
        <v>210</v>
      </c>
      <c r="H126" s="57" t="s">
        <v>211</v>
      </c>
      <c r="K126" s="63"/>
      <c r="L126" s="57" t="s">
        <v>188</v>
      </c>
      <c r="M126" s="57" t="s">
        <v>189</v>
      </c>
      <c r="N126" s="57" t="s">
        <v>190</v>
      </c>
      <c r="O126" s="57" t="s">
        <v>210</v>
      </c>
      <c r="P126" s="57" t="s">
        <v>211</v>
      </c>
    </row>
    <row r="127" spans="1:17" x14ac:dyDescent="0.15">
      <c r="C127" s="97" t="s">
        <v>480</v>
      </c>
      <c r="D127" s="98">
        <f>SSRHZ(D$11:D$38)</f>
        <v>0.77742346938775508</v>
      </c>
      <c r="E127" s="98">
        <f>SSRHZ(E$11:E$38)</f>
        <v>0.71301020408163263</v>
      </c>
      <c r="F127" s="98">
        <f>SSRHZ(F$11:F$38)</f>
        <v>0.67474489795918369</v>
      </c>
      <c r="G127" s="98">
        <f>SSRHZ(G$11:G$38)</f>
        <v>0.37563775510204078</v>
      </c>
      <c r="H127" s="98">
        <f>SSRHZ(H$11:H$38)</f>
        <v>0.64987244897959195</v>
      </c>
      <c r="K127" s="99" t="s">
        <v>481</v>
      </c>
      <c r="L127" s="98">
        <f>SNPHZ(L$11:L$38)</f>
        <v>0.5</v>
      </c>
      <c r="M127" s="98">
        <f>SNPHZ(M$11:M$38)</f>
        <v>0.48405612244897955</v>
      </c>
      <c r="N127" s="98">
        <f>SNPHZ(N$11:N$38)</f>
        <v>0.40880102040816335</v>
      </c>
      <c r="O127" s="98">
        <f>SNPHZ(O$11:O$38)</f>
        <v>0.44834183673469385</v>
      </c>
      <c r="P127" s="98">
        <f>SNPHZ(P$11:P$38)</f>
        <v>0.40816326530612246</v>
      </c>
    </row>
    <row r="128" spans="1:17" x14ac:dyDescent="0.15">
      <c r="C128" s="32"/>
      <c r="D128" s="96"/>
      <c r="E128" s="96"/>
      <c r="F128" s="96"/>
      <c r="G128" s="96"/>
      <c r="H128" s="96"/>
    </row>
    <row r="129" spans="1:17" x14ac:dyDescent="0.15">
      <c r="C129" s="32"/>
      <c r="D129" s="96"/>
      <c r="E129" s="96"/>
      <c r="F129" s="96"/>
      <c r="G129" s="96"/>
      <c r="H129" s="96"/>
    </row>
    <row r="130" spans="1:17" x14ac:dyDescent="0.15">
      <c r="A130" s="66" t="s">
        <v>484</v>
      </c>
      <c r="B130" s="67" t="s">
        <v>732</v>
      </c>
      <c r="C130" s="67"/>
      <c r="D130" s="67"/>
      <c r="E130" s="67"/>
      <c r="F130" s="68"/>
      <c r="G130" s="67"/>
      <c r="H130" s="67"/>
      <c r="I130" s="68"/>
      <c r="J130" s="67"/>
      <c r="K130" s="67"/>
      <c r="L130" s="67"/>
      <c r="M130" s="67"/>
      <c r="N130" s="67"/>
      <c r="O130" s="67"/>
      <c r="P130" s="67"/>
    </row>
    <row r="131" spans="1:17" x14ac:dyDescent="0.15">
      <c r="B131" s="14" t="s">
        <v>701</v>
      </c>
      <c r="C131" s="32"/>
      <c r="D131" s="96"/>
      <c r="E131" s="96"/>
      <c r="F131" s="96"/>
      <c r="G131" s="96"/>
      <c r="H131" s="96"/>
    </row>
    <row r="132" spans="1:17" x14ac:dyDescent="0.15">
      <c r="B132" s="14" t="s">
        <v>702</v>
      </c>
      <c r="C132" s="32"/>
      <c r="D132" s="96"/>
      <c r="E132" s="96"/>
      <c r="F132" s="96"/>
      <c r="G132" s="96"/>
      <c r="H132" s="96"/>
    </row>
    <row r="133" spans="1:17" x14ac:dyDescent="0.15">
      <c r="C133" s="32"/>
      <c r="D133" s="96"/>
      <c r="E133" s="96"/>
      <c r="F133" s="96"/>
      <c r="G133" s="96"/>
      <c r="H133" s="96"/>
    </row>
    <row r="134" spans="1:17" x14ac:dyDescent="0.15">
      <c r="C134" s="76" t="s">
        <v>1292</v>
      </c>
      <c r="K134" s="76" t="s">
        <v>1293</v>
      </c>
    </row>
    <row r="135" spans="1:17" x14ac:dyDescent="0.15">
      <c r="C135" s="32"/>
      <c r="D135" s="96"/>
      <c r="E135" s="96"/>
      <c r="F135" s="96"/>
      <c r="G135" s="96"/>
      <c r="H135" s="96"/>
    </row>
    <row r="136" spans="1:17" x14ac:dyDescent="0.15">
      <c r="C136" s="69" t="s">
        <v>879</v>
      </c>
      <c r="D136" s="70" t="s">
        <v>1333</v>
      </c>
      <c r="E136" s="58"/>
      <c r="F136" s="58"/>
      <c r="G136" s="58"/>
      <c r="H136" s="58"/>
      <c r="I136" s="71"/>
      <c r="K136" s="69" t="s">
        <v>879</v>
      </c>
      <c r="L136" s="70" t="s">
        <v>1334</v>
      </c>
      <c r="M136" s="58"/>
      <c r="N136" s="58"/>
      <c r="O136" s="58"/>
      <c r="P136" s="58"/>
      <c r="Q136" s="71"/>
    </row>
    <row r="137" spans="1:17" x14ac:dyDescent="0.15">
      <c r="C137" s="72" t="s">
        <v>886</v>
      </c>
      <c r="D137" s="32" t="s">
        <v>1335</v>
      </c>
      <c r="E137" s="32"/>
      <c r="F137" s="32"/>
      <c r="G137" s="32"/>
      <c r="H137" s="32"/>
      <c r="I137" s="73"/>
      <c r="K137" s="72" t="s">
        <v>886</v>
      </c>
      <c r="L137" s="32" t="s">
        <v>1318</v>
      </c>
      <c r="M137" s="32"/>
      <c r="N137" s="32"/>
      <c r="O137" s="32"/>
      <c r="P137" s="32"/>
      <c r="Q137" s="73"/>
    </row>
    <row r="138" spans="1:17" x14ac:dyDescent="0.15">
      <c r="C138" s="74" t="s">
        <v>887</v>
      </c>
      <c r="D138" s="62" t="s">
        <v>1075</v>
      </c>
      <c r="E138" s="62"/>
      <c r="F138" s="62"/>
      <c r="G138" s="62"/>
      <c r="H138" s="62"/>
      <c r="I138" s="75"/>
      <c r="K138" s="74" t="s">
        <v>887</v>
      </c>
      <c r="L138" s="62" t="s">
        <v>1075</v>
      </c>
      <c r="M138" s="62"/>
      <c r="N138" s="62"/>
      <c r="O138" s="62"/>
      <c r="P138" s="62"/>
      <c r="Q138" s="75"/>
    </row>
    <row r="139" spans="1:17" x14ac:dyDescent="0.15">
      <c r="C139" s="32"/>
      <c r="D139" s="96"/>
      <c r="E139" s="96"/>
      <c r="F139" s="96"/>
      <c r="G139" s="96"/>
      <c r="H139" s="96"/>
    </row>
    <row r="140" spans="1:17" x14ac:dyDescent="0.15">
      <c r="C140" s="58"/>
      <c r="D140" s="281" t="s">
        <v>486</v>
      </c>
      <c r="E140" s="282"/>
      <c r="F140" s="282"/>
      <c r="G140" s="282"/>
      <c r="H140" s="282"/>
      <c r="K140" s="58"/>
      <c r="L140" s="281" t="s">
        <v>479</v>
      </c>
      <c r="M140" s="281"/>
      <c r="N140" s="281"/>
      <c r="O140" s="281"/>
      <c r="P140" s="281"/>
    </row>
    <row r="141" spans="1:17" x14ac:dyDescent="0.15">
      <c r="C141" s="63"/>
      <c r="D141" s="57" t="s">
        <v>188</v>
      </c>
      <c r="E141" s="57" t="s">
        <v>189</v>
      </c>
      <c r="F141" s="57" t="s">
        <v>190</v>
      </c>
      <c r="G141" s="57" t="s">
        <v>210</v>
      </c>
      <c r="H141" s="57" t="s">
        <v>211</v>
      </c>
      <c r="K141" s="63"/>
      <c r="L141" s="57" t="s">
        <v>188</v>
      </c>
      <c r="M141" s="57" t="s">
        <v>189</v>
      </c>
      <c r="N141" s="57" t="s">
        <v>190</v>
      </c>
      <c r="O141" s="57" t="s">
        <v>210</v>
      </c>
      <c r="P141" s="57" t="s">
        <v>211</v>
      </c>
    </row>
    <row r="142" spans="1:17" x14ac:dyDescent="0.15">
      <c r="C142" s="100" t="s">
        <v>485</v>
      </c>
      <c r="D142" s="98">
        <f>SSRPIC(D$11:D$38)</f>
        <v>0.74850831196636824</v>
      </c>
      <c r="E142" s="98">
        <f>SSRPIC(E$11:E$38)</f>
        <v>0.67909245171282806</v>
      </c>
      <c r="F142" s="98">
        <f>SSRPIC(F$11:F$38)</f>
        <v>0.62757583103394421</v>
      </c>
      <c r="G142" s="98">
        <f>SSRPIC(G$11:G$38)</f>
        <v>0.33446818220272789</v>
      </c>
      <c r="H142" s="98">
        <f>SSRPIC(H$11:H$38)</f>
        <v>0.59669453320231158</v>
      </c>
      <c r="K142" s="100" t="s">
        <v>485</v>
      </c>
      <c r="L142" s="98">
        <f>SNPPIC(L$11:L$38)</f>
        <v>0.375</v>
      </c>
      <c r="M142" s="98">
        <f>SNPPIC(M$11:M$38)</f>
        <v>0.36690095760880881</v>
      </c>
      <c r="N142" s="98">
        <f>SNPPIC(N$11:N$38)</f>
        <v>0.34952213107819663</v>
      </c>
      <c r="O142" s="98">
        <f>SNPPIC(O$11:O$38)</f>
        <v>0.34783663545137444</v>
      </c>
      <c r="P142" s="98">
        <f>SNPPIC(P$11:P$38)</f>
        <v>0.32486463973344437</v>
      </c>
    </row>
    <row r="143" spans="1:17" x14ac:dyDescent="0.15">
      <c r="C143" s="32"/>
      <c r="D143" s="96"/>
      <c r="E143" s="96"/>
      <c r="F143" s="96"/>
      <c r="G143" s="96"/>
      <c r="H143" s="96"/>
    </row>
    <row r="144" spans="1:17" x14ac:dyDescent="0.15">
      <c r="C144" s="32"/>
      <c r="D144" s="96"/>
      <c r="E144" s="96"/>
      <c r="F144" s="96"/>
      <c r="G144" s="96"/>
      <c r="H144" s="96"/>
    </row>
    <row r="145" spans="1:17" x14ac:dyDescent="0.15">
      <c r="A145" s="66" t="s">
        <v>487</v>
      </c>
      <c r="B145" s="67" t="s">
        <v>488</v>
      </c>
      <c r="C145" s="67"/>
      <c r="D145" s="67"/>
      <c r="E145" s="67"/>
      <c r="F145" s="68"/>
      <c r="G145" s="67"/>
      <c r="H145" s="67"/>
      <c r="I145" s="68"/>
      <c r="J145" s="67"/>
      <c r="K145" s="67"/>
      <c r="L145" s="67"/>
      <c r="M145" s="67"/>
      <c r="N145" s="67"/>
      <c r="O145" s="67"/>
      <c r="P145" s="67"/>
    </row>
    <row r="146" spans="1:17" x14ac:dyDescent="0.15">
      <c r="B146" s="14" t="s">
        <v>703</v>
      </c>
      <c r="C146" s="32"/>
      <c r="D146" s="96"/>
      <c r="E146" s="96"/>
      <c r="F146" s="96"/>
      <c r="G146" s="96"/>
      <c r="H146" s="96"/>
    </row>
    <row r="147" spans="1:17" x14ac:dyDescent="0.15">
      <c r="B147" s="14" t="s">
        <v>704</v>
      </c>
      <c r="C147" s="32"/>
      <c r="D147" s="96"/>
      <c r="E147" s="96"/>
      <c r="F147" s="96"/>
      <c r="G147" s="96"/>
      <c r="H147" s="96"/>
    </row>
    <row r="148" spans="1:17" x14ac:dyDescent="0.15">
      <c r="C148" s="32"/>
      <c r="D148" s="96"/>
      <c r="E148" s="96"/>
      <c r="F148" s="96"/>
      <c r="G148" s="96"/>
      <c r="H148" s="96"/>
    </row>
    <row r="149" spans="1:17" x14ac:dyDescent="0.15">
      <c r="C149" s="76" t="s">
        <v>1292</v>
      </c>
      <c r="K149" s="76" t="s">
        <v>1293</v>
      </c>
    </row>
    <row r="150" spans="1:17" x14ac:dyDescent="0.15">
      <c r="C150" s="76"/>
      <c r="K150" s="76"/>
    </row>
    <row r="151" spans="1:17" x14ac:dyDescent="0.15">
      <c r="C151" s="69" t="s">
        <v>879</v>
      </c>
      <c r="D151" s="70" t="s">
        <v>1336</v>
      </c>
      <c r="E151" s="58"/>
      <c r="F151" s="58"/>
      <c r="G151" s="58"/>
      <c r="H151" s="58"/>
      <c r="I151" s="71"/>
      <c r="K151" s="69" t="s">
        <v>879</v>
      </c>
      <c r="L151" s="70" t="s">
        <v>1337</v>
      </c>
      <c r="M151" s="58"/>
      <c r="N151" s="58"/>
      <c r="O151" s="58"/>
      <c r="P151" s="58"/>
      <c r="Q151" s="71"/>
    </row>
    <row r="152" spans="1:17" x14ac:dyDescent="0.15">
      <c r="C152" s="72" t="s">
        <v>886</v>
      </c>
      <c r="D152" s="32" t="s">
        <v>1317</v>
      </c>
      <c r="E152" s="32"/>
      <c r="F152" s="32"/>
      <c r="G152" s="32"/>
      <c r="H152" s="32"/>
      <c r="I152" s="73"/>
      <c r="K152" s="72" t="s">
        <v>886</v>
      </c>
      <c r="L152" s="32" t="s">
        <v>1318</v>
      </c>
      <c r="M152" s="32"/>
      <c r="N152" s="32"/>
      <c r="O152" s="32"/>
      <c r="P152" s="32"/>
      <c r="Q152" s="73"/>
    </row>
    <row r="153" spans="1:17" x14ac:dyDescent="0.15">
      <c r="C153" s="74" t="s">
        <v>887</v>
      </c>
      <c r="D153" s="62" t="s">
        <v>1076</v>
      </c>
      <c r="E153" s="62"/>
      <c r="F153" s="62"/>
      <c r="G153" s="62"/>
      <c r="H153" s="62"/>
      <c r="I153" s="75"/>
      <c r="K153" s="74" t="s">
        <v>887</v>
      </c>
      <c r="L153" s="62" t="s">
        <v>1076</v>
      </c>
      <c r="M153" s="62"/>
      <c r="N153" s="62"/>
      <c r="O153" s="62"/>
      <c r="P153" s="62"/>
      <c r="Q153" s="75"/>
    </row>
    <row r="154" spans="1:17" x14ac:dyDescent="0.15">
      <c r="C154" s="76"/>
      <c r="K154" s="76"/>
    </row>
    <row r="155" spans="1:17" x14ac:dyDescent="0.15">
      <c r="C155" s="58"/>
      <c r="D155" s="281" t="s">
        <v>490</v>
      </c>
      <c r="E155" s="282"/>
      <c r="F155" s="282"/>
      <c r="G155" s="282"/>
      <c r="H155" s="282"/>
      <c r="K155" s="58"/>
      <c r="L155" s="281" t="s">
        <v>491</v>
      </c>
      <c r="M155" s="281"/>
      <c r="N155" s="281"/>
      <c r="O155" s="281"/>
      <c r="P155" s="281"/>
    </row>
    <row r="156" spans="1:17" x14ac:dyDescent="0.15">
      <c r="C156" s="63"/>
      <c r="D156" s="57" t="s">
        <v>188</v>
      </c>
      <c r="E156" s="57" t="s">
        <v>189</v>
      </c>
      <c r="F156" s="57" t="s">
        <v>190</v>
      </c>
      <c r="G156" s="57" t="s">
        <v>210</v>
      </c>
      <c r="H156" s="57" t="s">
        <v>211</v>
      </c>
      <c r="K156" s="63"/>
      <c r="L156" s="57" t="s">
        <v>188</v>
      </c>
      <c r="M156" s="57" t="s">
        <v>189</v>
      </c>
      <c r="N156" s="57" t="s">
        <v>190</v>
      </c>
      <c r="O156" s="57" t="s">
        <v>210</v>
      </c>
      <c r="P156" s="57" t="s">
        <v>211</v>
      </c>
    </row>
    <row r="157" spans="1:17" x14ac:dyDescent="0.15">
      <c r="C157" s="100" t="s">
        <v>489</v>
      </c>
      <c r="D157" s="98">
        <f>SSRPM(D$11:D$38)</f>
        <v>0.1122448979591837</v>
      </c>
      <c r="E157" s="98">
        <f>SSRPM(E$11:E$38)</f>
        <v>0.13775510204081631</v>
      </c>
      <c r="F157" s="98">
        <f>SSRPM(F$11:F$38)</f>
        <v>0.18367346938775506</v>
      </c>
      <c r="G157" s="98">
        <f>SSRPM(G$11:G$38)</f>
        <v>0.4668367346938776</v>
      </c>
      <c r="H157" s="98">
        <f>SSRPM(H$11:H$38)</f>
        <v>0.21683673469387749</v>
      </c>
      <c r="K157" s="100" t="s">
        <v>489</v>
      </c>
      <c r="L157" s="98">
        <f>SNPPM(L$11:L$38)</f>
        <v>0.33418367346938782</v>
      </c>
      <c r="M157" s="98">
        <f>SNPPM(M$11:M$38)</f>
        <v>0.37500000000000006</v>
      </c>
      <c r="N157" s="98">
        <f>SNPPM(N$11:N$38)</f>
        <v>0.4438775510204081</v>
      </c>
      <c r="O157" s="98">
        <f>SNPPM(O$11:O$38)</f>
        <v>0.4974489795918367</v>
      </c>
      <c r="P157" s="98">
        <f>SNPPM(P$11:P$38)</f>
        <v>0.51020408163265296</v>
      </c>
    </row>
    <row r="158" spans="1:17" x14ac:dyDescent="0.15">
      <c r="C158" s="32"/>
      <c r="D158" s="32"/>
      <c r="E158" s="32"/>
      <c r="F158" s="32"/>
      <c r="G158" s="32"/>
      <c r="H158" s="32"/>
    </row>
    <row r="159" spans="1:17" x14ac:dyDescent="0.15">
      <c r="C159" s="32"/>
      <c r="D159" s="32"/>
      <c r="E159" s="32"/>
      <c r="F159" s="32"/>
      <c r="G159" s="32"/>
      <c r="H159" s="32"/>
    </row>
    <row r="160" spans="1:17" x14ac:dyDescent="0.15">
      <c r="A160" s="66" t="s">
        <v>394</v>
      </c>
      <c r="B160" s="67" t="s">
        <v>492</v>
      </c>
      <c r="C160" s="67"/>
      <c r="D160" s="67"/>
      <c r="E160" s="67"/>
      <c r="F160" s="68"/>
      <c r="G160" s="67"/>
      <c r="H160" s="67"/>
      <c r="I160" s="68"/>
      <c r="J160" s="67"/>
      <c r="K160" s="67"/>
      <c r="L160" s="67"/>
      <c r="M160" s="67"/>
      <c r="N160" s="67"/>
      <c r="O160" s="67"/>
      <c r="P160" s="67"/>
    </row>
    <row r="161" spans="1:17" x14ac:dyDescent="0.15">
      <c r="B161" s="14" t="s">
        <v>705</v>
      </c>
      <c r="C161" s="32"/>
      <c r="D161" s="96"/>
      <c r="E161" s="96"/>
      <c r="F161" s="96"/>
      <c r="G161" s="96"/>
      <c r="H161" s="96"/>
    </row>
    <row r="162" spans="1:17" x14ac:dyDescent="0.15">
      <c r="B162" s="14" t="s">
        <v>706</v>
      </c>
      <c r="C162" s="32"/>
      <c r="D162" s="96"/>
      <c r="E162" s="96"/>
      <c r="F162" s="96"/>
      <c r="G162" s="96"/>
      <c r="H162" s="96"/>
    </row>
    <row r="163" spans="1:17" x14ac:dyDescent="0.15">
      <c r="C163" s="32"/>
      <c r="D163" s="96"/>
      <c r="E163" s="96"/>
      <c r="F163" s="96"/>
      <c r="G163" s="96"/>
      <c r="H163" s="96"/>
    </row>
    <row r="164" spans="1:17" x14ac:dyDescent="0.15">
      <c r="C164" s="76" t="s">
        <v>1292</v>
      </c>
      <c r="K164" s="76" t="s">
        <v>1293</v>
      </c>
    </row>
    <row r="165" spans="1:17" x14ac:dyDescent="0.15">
      <c r="C165" s="32"/>
      <c r="D165" s="96"/>
      <c r="E165" s="96"/>
      <c r="F165" s="96"/>
      <c r="G165" s="96"/>
      <c r="H165" s="96"/>
    </row>
    <row r="166" spans="1:17" x14ac:dyDescent="0.15">
      <c r="C166" s="69" t="s">
        <v>879</v>
      </c>
      <c r="D166" s="70" t="s">
        <v>1338</v>
      </c>
      <c r="E166" s="58"/>
      <c r="F166" s="58"/>
      <c r="G166" s="58"/>
      <c r="H166" s="58"/>
      <c r="I166" s="71"/>
      <c r="K166" s="69" t="s">
        <v>879</v>
      </c>
      <c r="L166" s="70" t="s">
        <v>1339</v>
      </c>
      <c r="M166" s="58"/>
      <c r="N166" s="58"/>
      <c r="O166" s="58"/>
      <c r="P166" s="58"/>
      <c r="Q166" s="71"/>
    </row>
    <row r="167" spans="1:17" x14ac:dyDescent="0.15">
      <c r="C167" s="72" t="s">
        <v>886</v>
      </c>
      <c r="D167" s="32" t="s">
        <v>1340</v>
      </c>
      <c r="E167" s="32"/>
      <c r="F167" s="32"/>
      <c r="G167" s="32"/>
      <c r="H167" s="32"/>
      <c r="I167" s="73"/>
      <c r="K167" s="72" t="s">
        <v>886</v>
      </c>
      <c r="L167" s="32" t="s">
        <v>1321</v>
      </c>
      <c r="M167" s="32"/>
      <c r="N167" s="32"/>
      <c r="O167" s="32"/>
      <c r="P167" s="32"/>
      <c r="Q167" s="73"/>
    </row>
    <row r="168" spans="1:17" x14ac:dyDescent="0.15">
      <c r="C168" s="74" t="s">
        <v>887</v>
      </c>
      <c r="D168" s="62" t="s">
        <v>1077</v>
      </c>
      <c r="E168" s="62"/>
      <c r="F168" s="62"/>
      <c r="G168" s="62"/>
      <c r="H168" s="62"/>
      <c r="I168" s="75"/>
      <c r="K168" s="74" t="s">
        <v>887</v>
      </c>
      <c r="L168" s="62" t="s">
        <v>1077</v>
      </c>
      <c r="M168" s="62"/>
      <c r="N168" s="62"/>
      <c r="O168" s="62"/>
      <c r="P168" s="62"/>
      <c r="Q168" s="75"/>
    </row>
    <row r="169" spans="1:17" x14ac:dyDescent="0.15">
      <c r="C169" s="32"/>
      <c r="D169" s="96"/>
      <c r="E169" s="96"/>
      <c r="F169" s="96"/>
      <c r="G169" s="96"/>
      <c r="H169" s="96"/>
    </row>
    <row r="170" spans="1:17" x14ac:dyDescent="0.15">
      <c r="C170" s="58"/>
      <c r="D170" s="281" t="s">
        <v>495</v>
      </c>
      <c r="E170" s="282"/>
      <c r="F170" s="282"/>
      <c r="G170" s="282"/>
      <c r="H170" s="282"/>
      <c r="K170" s="58"/>
      <c r="L170" s="281" t="s">
        <v>496</v>
      </c>
      <c r="M170" s="281"/>
      <c r="N170" s="281"/>
      <c r="O170" s="281"/>
      <c r="P170" s="281"/>
    </row>
    <row r="171" spans="1:17" x14ac:dyDescent="0.15">
      <c r="C171" s="63"/>
      <c r="D171" s="57" t="s">
        <v>188</v>
      </c>
      <c r="E171" s="57" t="s">
        <v>189</v>
      </c>
      <c r="F171" s="57" t="s">
        <v>190</v>
      </c>
      <c r="G171" s="57" t="s">
        <v>210</v>
      </c>
      <c r="H171" s="57" t="s">
        <v>211</v>
      </c>
      <c r="K171" s="63"/>
      <c r="L171" s="57" t="s">
        <v>188</v>
      </c>
      <c r="M171" s="57" t="s">
        <v>189</v>
      </c>
      <c r="N171" s="57" t="s">
        <v>190</v>
      </c>
      <c r="O171" s="57" t="s">
        <v>210</v>
      </c>
      <c r="P171" s="57" t="s">
        <v>211</v>
      </c>
    </row>
    <row r="172" spans="1:17" x14ac:dyDescent="0.15">
      <c r="C172" s="100" t="s">
        <v>493</v>
      </c>
      <c r="D172" s="98" t="e">
        <f ca="1">SSRPD(D$11:D$38)</f>
        <v>#NAME?</v>
      </c>
      <c r="E172" s="98" t="e">
        <f ca="1">SSRPD(E$11:E$38)</f>
        <v>#NAME?</v>
      </c>
      <c r="F172" s="98" t="e">
        <f ca="1">SSRPD(F$11:F$38)</f>
        <v>#NAME?</v>
      </c>
      <c r="G172" s="98" t="e">
        <f ca="1">SSRPD(G$11:G$38)</f>
        <v>#NAME?</v>
      </c>
      <c r="H172" s="98" t="e">
        <f ca="1">SSRPD(H$11:H$38)</f>
        <v>#NAME?</v>
      </c>
      <c r="K172" s="100" t="s">
        <v>494</v>
      </c>
      <c r="L172" s="98" t="e">
        <f ca="1">SNPPD(L$11:L$38)</f>
        <v>#NAME?</v>
      </c>
      <c r="M172" s="98" t="e">
        <f ca="1">SNPPD(M$11:M$38)</f>
        <v>#NAME?</v>
      </c>
      <c r="N172" s="98" t="e">
        <f ca="1">SNPPD(N$11:N$38)</f>
        <v>#NAME?</v>
      </c>
      <c r="O172" s="98" t="e">
        <f ca="1">SNPPD(O$11:O$38)</f>
        <v>#NAME?</v>
      </c>
      <c r="P172" s="98" t="e">
        <f ca="1">SNPPD(P$11:P$38)</f>
        <v>#NAME?</v>
      </c>
    </row>
    <row r="175" spans="1:17" x14ac:dyDescent="0.15">
      <c r="A175" s="66" t="s">
        <v>497</v>
      </c>
      <c r="B175" s="67" t="s">
        <v>733</v>
      </c>
      <c r="C175" s="67"/>
      <c r="D175" s="67"/>
      <c r="E175" s="67"/>
      <c r="F175" s="68"/>
      <c r="G175" s="67"/>
      <c r="H175" s="67"/>
      <c r="I175" s="68"/>
      <c r="J175" s="67"/>
      <c r="K175" s="67"/>
      <c r="L175" s="67"/>
      <c r="M175" s="67"/>
      <c r="N175" s="67"/>
      <c r="O175" s="67"/>
      <c r="P175" s="67"/>
    </row>
    <row r="176" spans="1:17" x14ac:dyDescent="0.15">
      <c r="B176" s="14" t="s">
        <v>632</v>
      </c>
      <c r="C176" s="32"/>
      <c r="D176" s="96"/>
      <c r="E176" s="96"/>
      <c r="F176" s="96"/>
      <c r="G176" s="96"/>
      <c r="H176" s="96"/>
    </row>
    <row r="177" spans="1:17" x14ac:dyDescent="0.15">
      <c r="C177" s="32"/>
      <c r="D177" s="96"/>
      <c r="E177" s="96"/>
      <c r="F177" s="96"/>
      <c r="G177" s="96"/>
      <c r="H177" s="96"/>
    </row>
    <row r="178" spans="1:17" x14ac:dyDescent="0.15">
      <c r="C178" s="76" t="s">
        <v>1292</v>
      </c>
      <c r="K178" s="76" t="s">
        <v>1293</v>
      </c>
    </row>
    <row r="179" spans="1:17" x14ac:dyDescent="0.15">
      <c r="C179" s="32"/>
      <c r="D179" s="96"/>
      <c r="E179" s="96"/>
      <c r="F179" s="96"/>
      <c r="G179" s="96"/>
      <c r="H179" s="96"/>
    </row>
    <row r="180" spans="1:17" x14ac:dyDescent="0.15">
      <c r="C180" s="69" t="s">
        <v>879</v>
      </c>
      <c r="D180" s="70" t="s">
        <v>1341</v>
      </c>
      <c r="E180" s="58"/>
      <c r="F180" s="58"/>
      <c r="G180" s="58"/>
      <c r="H180" s="58"/>
      <c r="I180" s="71"/>
      <c r="K180" s="69" t="s">
        <v>879</v>
      </c>
      <c r="L180" s="70" t="s">
        <v>1342</v>
      </c>
      <c r="M180" s="58"/>
      <c r="N180" s="58"/>
      <c r="O180" s="58"/>
      <c r="P180" s="58"/>
      <c r="Q180" s="71"/>
    </row>
    <row r="181" spans="1:17" x14ac:dyDescent="0.15">
      <c r="C181" s="72" t="s">
        <v>886</v>
      </c>
      <c r="D181" s="32" t="s">
        <v>1317</v>
      </c>
      <c r="E181" s="32"/>
      <c r="F181" s="32"/>
      <c r="G181" s="32"/>
      <c r="H181" s="32"/>
      <c r="I181" s="73"/>
      <c r="K181" s="72" t="s">
        <v>886</v>
      </c>
      <c r="L181" s="32" t="s">
        <v>1321</v>
      </c>
      <c r="M181" s="32"/>
      <c r="N181" s="32"/>
      <c r="O181" s="32"/>
      <c r="P181" s="32"/>
      <c r="Q181" s="73"/>
    </row>
    <row r="182" spans="1:17" x14ac:dyDescent="0.15">
      <c r="C182" s="74" t="s">
        <v>887</v>
      </c>
      <c r="D182" s="62" t="s">
        <v>1078</v>
      </c>
      <c r="E182" s="62"/>
      <c r="F182" s="62"/>
      <c r="G182" s="62"/>
      <c r="H182" s="62"/>
      <c r="I182" s="75"/>
      <c r="K182" s="74" t="s">
        <v>887</v>
      </c>
      <c r="L182" s="62" t="s">
        <v>1078</v>
      </c>
      <c r="M182" s="62"/>
      <c r="N182" s="62"/>
      <c r="O182" s="62"/>
      <c r="P182" s="62"/>
      <c r="Q182" s="75"/>
    </row>
    <row r="183" spans="1:17" x14ac:dyDescent="0.15">
      <c r="C183" s="32"/>
      <c r="D183" s="96"/>
      <c r="E183" s="96"/>
      <c r="F183" s="96"/>
      <c r="G183" s="96"/>
      <c r="H183" s="96"/>
    </row>
    <row r="184" spans="1:17" x14ac:dyDescent="0.15">
      <c r="C184" s="58"/>
      <c r="D184" s="281" t="s">
        <v>498</v>
      </c>
      <c r="E184" s="282"/>
      <c r="F184" s="282"/>
      <c r="G184" s="282"/>
      <c r="H184" s="282"/>
      <c r="K184" s="58"/>
      <c r="L184" s="281" t="s">
        <v>499</v>
      </c>
      <c r="M184" s="281"/>
      <c r="N184" s="281"/>
      <c r="O184" s="281"/>
      <c r="P184" s="281"/>
    </row>
    <row r="185" spans="1:17" x14ac:dyDescent="0.15">
      <c r="C185" s="63"/>
      <c r="D185" s="57" t="s">
        <v>188</v>
      </c>
      <c r="E185" s="57" t="s">
        <v>189</v>
      </c>
      <c r="F185" s="57" t="s">
        <v>190</v>
      </c>
      <c r="G185" s="57" t="s">
        <v>210</v>
      </c>
      <c r="H185" s="57" t="s">
        <v>211</v>
      </c>
      <c r="K185" s="63"/>
      <c r="L185" s="57" t="s">
        <v>188</v>
      </c>
      <c r="M185" s="57" t="s">
        <v>189</v>
      </c>
      <c r="N185" s="57" t="s">
        <v>190</v>
      </c>
      <c r="O185" s="57" t="s">
        <v>210</v>
      </c>
      <c r="P185" s="57" t="s">
        <v>211</v>
      </c>
    </row>
    <row r="186" spans="1:17" x14ac:dyDescent="0.15">
      <c r="C186" s="100" t="s">
        <v>631</v>
      </c>
      <c r="D186" s="98">
        <f>SSRGD(D$11:D$38)</f>
        <v>0.80621693121693117</v>
      </c>
      <c r="E186" s="98">
        <f>SSRGD(E$11:E$38)</f>
        <v>0.73941798941798942</v>
      </c>
      <c r="F186" s="98">
        <f>SSRGD(F$11:F$38)</f>
        <v>0.69973544973544977</v>
      </c>
      <c r="G186" s="98">
        <f>SSRGD(G$11:G$38)</f>
        <v>0.38955026455026454</v>
      </c>
      <c r="H186" s="98">
        <f>SSRGD(H$11:H$38)</f>
        <v>0.67394179894179895</v>
      </c>
      <c r="K186" s="100" t="s">
        <v>631</v>
      </c>
      <c r="L186" s="98">
        <f>SNPGD(L$11:L$38)</f>
        <v>0.51851851851851849</v>
      </c>
      <c r="M186" s="98">
        <f>SNPGD(M$11:M$38)</f>
        <v>0.50198412698412698</v>
      </c>
      <c r="N186" s="98">
        <f>SNPGD(N$11:N$38)</f>
        <v>0.42394179894179901</v>
      </c>
      <c r="O186" s="98">
        <f>SNPGD(O$11:O$38)</f>
        <v>0.46494708994708994</v>
      </c>
      <c r="P186" s="98">
        <f>SNPGD(P$11:P$38)</f>
        <v>0.42328042328042331</v>
      </c>
    </row>
    <row r="189" spans="1:17" x14ac:dyDescent="0.15">
      <c r="A189" s="66" t="s">
        <v>500</v>
      </c>
      <c r="B189" s="67" t="s">
        <v>734</v>
      </c>
      <c r="C189" s="67"/>
      <c r="D189" s="67"/>
      <c r="E189" s="67"/>
      <c r="F189" s="68"/>
      <c r="G189" s="67"/>
      <c r="H189" s="67"/>
      <c r="I189" s="68"/>
      <c r="J189" s="67"/>
      <c r="K189" s="67"/>
      <c r="L189" s="67"/>
      <c r="M189" s="67"/>
      <c r="N189" s="67"/>
      <c r="O189" s="67"/>
      <c r="P189" s="67"/>
    </row>
    <row r="190" spans="1:17" x14ac:dyDescent="0.15">
      <c r="B190" s="14" t="s">
        <v>633</v>
      </c>
      <c r="C190" s="32"/>
      <c r="D190" s="96"/>
      <c r="E190" s="96"/>
      <c r="F190" s="96"/>
      <c r="G190" s="96"/>
      <c r="H190" s="96"/>
    </row>
    <row r="191" spans="1:17" x14ac:dyDescent="0.15">
      <c r="C191" s="32"/>
      <c r="D191" s="96"/>
      <c r="E191" s="96"/>
      <c r="F191" s="96"/>
      <c r="G191" s="96"/>
      <c r="H191" s="96"/>
    </row>
    <row r="192" spans="1:17" x14ac:dyDescent="0.15">
      <c r="C192" s="76" t="s">
        <v>1292</v>
      </c>
      <c r="K192" s="76" t="s">
        <v>1293</v>
      </c>
    </row>
    <row r="193" spans="1:17" x14ac:dyDescent="0.15">
      <c r="C193" s="32"/>
      <c r="D193" s="96"/>
      <c r="E193" s="96"/>
      <c r="F193" s="96"/>
      <c r="G193" s="96"/>
      <c r="H193" s="96"/>
    </row>
    <row r="194" spans="1:17" x14ac:dyDescent="0.15">
      <c r="C194" s="69" t="s">
        <v>879</v>
      </c>
      <c r="D194" s="70" t="s">
        <v>1343</v>
      </c>
      <c r="E194" s="58"/>
      <c r="F194" s="58"/>
      <c r="G194" s="58"/>
      <c r="H194" s="58"/>
      <c r="I194" s="71"/>
      <c r="K194" s="69" t="s">
        <v>879</v>
      </c>
      <c r="L194" s="70" t="s">
        <v>1344</v>
      </c>
      <c r="M194" s="58"/>
      <c r="N194" s="58"/>
      <c r="O194" s="58"/>
      <c r="P194" s="58"/>
      <c r="Q194" s="71"/>
    </row>
    <row r="195" spans="1:17" x14ac:dyDescent="0.15">
      <c r="C195" s="72" t="s">
        <v>886</v>
      </c>
      <c r="D195" s="32" t="s">
        <v>1317</v>
      </c>
      <c r="E195" s="32"/>
      <c r="F195" s="32"/>
      <c r="G195" s="32"/>
      <c r="H195" s="32"/>
      <c r="I195" s="73"/>
      <c r="K195" s="72" t="s">
        <v>886</v>
      </c>
      <c r="L195" s="32" t="s">
        <v>1321</v>
      </c>
      <c r="M195" s="32"/>
      <c r="N195" s="32"/>
      <c r="O195" s="32"/>
      <c r="P195" s="32"/>
      <c r="Q195" s="73"/>
    </row>
    <row r="196" spans="1:17" x14ac:dyDescent="0.15">
      <c r="C196" s="74" t="s">
        <v>887</v>
      </c>
      <c r="D196" s="62" t="s">
        <v>1079</v>
      </c>
      <c r="E196" s="62"/>
      <c r="F196" s="62"/>
      <c r="G196" s="62"/>
      <c r="H196" s="62"/>
      <c r="I196" s="75"/>
      <c r="K196" s="74" t="s">
        <v>887</v>
      </c>
      <c r="L196" s="62" t="s">
        <v>1079</v>
      </c>
      <c r="M196" s="62"/>
      <c r="N196" s="62"/>
      <c r="O196" s="62"/>
      <c r="P196" s="62"/>
      <c r="Q196" s="75"/>
    </row>
    <row r="197" spans="1:17" x14ac:dyDescent="0.15">
      <c r="C197" s="32"/>
      <c r="D197" s="96"/>
      <c r="E197" s="96"/>
      <c r="F197" s="96"/>
      <c r="G197" s="96"/>
      <c r="H197" s="96"/>
    </row>
    <row r="198" spans="1:17" x14ac:dyDescent="0.15">
      <c r="C198" s="58"/>
      <c r="D198" s="281" t="s">
        <v>501</v>
      </c>
      <c r="E198" s="282"/>
      <c r="F198" s="282"/>
      <c r="G198" s="282"/>
      <c r="H198" s="282"/>
      <c r="K198" s="58"/>
      <c r="L198" s="281" t="s">
        <v>502</v>
      </c>
      <c r="M198" s="281"/>
      <c r="N198" s="281"/>
      <c r="O198" s="281"/>
      <c r="P198" s="281"/>
    </row>
    <row r="199" spans="1:17" x14ac:dyDescent="0.15">
      <c r="C199" s="63"/>
      <c r="D199" s="57" t="s">
        <v>188</v>
      </c>
      <c r="E199" s="57" t="s">
        <v>189</v>
      </c>
      <c r="F199" s="57" t="s">
        <v>190</v>
      </c>
      <c r="G199" s="57" t="s">
        <v>210</v>
      </c>
      <c r="H199" s="57" t="s">
        <v>211</v>
      </c>
      <c r="K199" s="63"/>
      <c r="L199" s="57" t="s">
        <v>188</v>
      </c>
      <c r="M199" s="57" t="s">
        <v>189</v>
      </c>
      <c r="N199" s="57" t="s">
        <v>190</v>
      </c>
      <c r="O199" s="57" t="s">
        <v>210</v>
      </c>
      <c r="P199" s="57" t="s">
        <v>211</v>
      </c>
    </row>
    <row r="200" spans="1:17" x14ac:dyDescent="0.15">
      <c r="C200" s="100" t="s">
        <v>634</v>
      </c>
      <c r="D200" s="98">
        <f>SSRGD2(D$11:D$38)</f>
        <v>0.79155844155844146</v>
      </c>
      <c r="E200" s="98">
        <f>SSRGD2(E$11:E$38)</f>
        <v>0.72597402597402605</v>
      </c>
      <c r="F200" s="98">
        <f>SSRGD2(F$11:F$38)</f>
        <v>0.68701298701298708</v>
      </c>
      <c r="G200" s="98">
        <f>SSRGD2(G$11:G$38)</f>
        <v>0.38246753246753246</v>
      </c>
      <c r="H200" s="98">
        <f>SSRGD2(H$11:H$38)</f>
        <v>0.66168831168831177</v>
      </c>
      <c r="K200" s="100" t="s">
        <v>635</v>
      </c>
      <c r="L200" s="98">
        <f>SNPGD2(L$11:L$38)</f>
        <v>0.50909090909090904</v>
      </c>
      <c r="M200" s="98">
        <f>SNPGD2(M$11:M$38)</f>
        <v>0.49285714285714283</v>
      </c>
      <c r="N200" s="98">
        <f>SNPGD2(N$11:N$38)</f>
        <v>0.41623376623376634</v>
      </c>
      <c r="O200" s="98">
        <f>SNPGD2(O$11:O$38)</f>
        <v>0.45649350649350645</v>
      </c>
      <c r="P200" s="98">
        <f>SNPGD2(P$11:P$38)</f>
        <v>0.41558441558441561</v>
      </c>
    </row>
    <row r="203" spans="1:17" x14ac:dyDescent="0.15">
      <c r="A203" s="66" t="s">
        <v>503</v>
      </c>
      <c r="B203" s="67" t="s">
        <v>735</v>
      </c>
      <c r="C203" s="67"/>
      <c r="D203" s="67"/>
      <c r="E203" s="67"/>
      <c r="F203" s="68"/>
      <c r="G203" s="67"/>
      <c r="H203" s="67"/>
      <c r="I203" s="68"/>
      <c r="J203" s="67"/>
      <c r="K203" s="67"/>
      <c r="L203" s="67"/>
      <c r="M203" s="67"/>
      <c r="N203" s="67"/>
      <c r="O203" s="67"/>
      <c r="P203" s="67"/>
    </row>
    <row r="204" spans="1:17" s="53" customFormat="1" x14ac:dyDescent="0.15">
      <c r="A204" s="101"/>
      <c r="B204" s="53" t="s">
        <v>708</v>
      </c>
      <c r="F204" s="85"/>
      <c r="I204" s="85"/>
    </row>
    <row r="205" spans="1:17" s="53" customFormat="1" x14ac:dyDescent="0.15">
      <c r="A205" s="101"/>
      <c r="B205" s="53" t="s">
        <v>709</v>
      </c>
      <c r="F205" s="85"/>
      <c r="I205" s="85"/>
    </row>
    <row r="206" spans="1:17" s="53" customFormat="1" x14ac:dyDescent="0.15">
      <c r="A206" s="101"/>
      <c r="B206" s="53" t="s">
        <v>1345</v>
      </c>
      <c r="F206" s="85"/>
      <c r="I206" s="85"/>
    </row>
    <row r="207" spans="1:17" s="53" customFormat="1" x14ac:dyDescent="0.15">
      <c r="A207" s="101"/>
      <c r="F207" s="85"/>
      <c r="I207" s="85"/>
    </row>
    <row r="208" spans="1:17" s="53" customFormat="1" x14ac:dyDescent="0.15">
      <c r="A208" s="101"/>
      <c r="C208" s="76" t="s">
        <v>707</v>
      </c>
      <c r="F208" s="85"/>
      <c r="I208" s="85"/>
    </row>
    <row r="209" spans="1:16" s="53" customFormat="1" x14ac:dyDescent="0.15">
      <c r="A209" s="101"/>
      <c r="C209" s="76"/>
      <c r="E209" s="79" t="s">
        <v>1346</v>
      </c>
      <c r="I209" s="85"/>
      <c r="M209" s="79"/>
    </row>
    <row r="210" spans="1:16" s="53" customFormat="1" x14ac:dyDescent="0.15">
      <c r="A210" s="101"/>
      <c r="F210" s="85"/>
      <c r="I210" s="85"/>
    </row>
    <row r="211" spans="1:16" x14ac:dyDescent="0.15">
      <c r="A211" s="66" t="s">
        <v>506</v>
      </c>
      <c r="B211" s="67" t="s">
        <v>736</v>
      </c>
      <c r="C211" s="67"/>
      <c r="D211" s="67"/>
      <c r="E211" s="67"/>
      <c r="F211" s="68"/>
      <c r="G211" s="67"/>
      <c r="H211" s="67"/>
      <c r="I211" s="68"/>
      <c r="J211" s="67"/>
      <c r="K211" s="67"/>
      <c r="L211" s="67"/>
      <c r="M211" s="67"/>
      <c r="N211" s="67"/>
      <c r="O211" s="67"/>
      <c r="P211" s="67"/>
    </row>
    <row r="212" spans="1:16" x14ac:dyDescent="0.15">
      <c r="B212" s="14" t="s">
        <v>710</v>
      </c>
      <c r="C212" s="32"/>
      <c r="D212" s="96"/>
      <c r="E212" s="96"/>
      <c r="F212" s="96"/>
      <c r="G212" s="96"/>
      <c r="H212" s="96"/>
    </row>
    <row r="213" spans="1:16" x14ac:dyDescent="0.15">
      <c r="B213" s="14" t="s">
        <v>711</v>
      </c>
      <c r="C213" s="32"/>
      <c r="D213" s="96"/>
      <c r="E213" s="96"/>
      <c r="F213" s="96"/>
      <c r="G213" s="96"/>
      <c r="H213" s="96"/>
    </row>
    <row r="214" spans="1:16" x14ac:dyDescent="0.15">
      <c r="B214" s="14" t="s">
        <v>712</v>
      </c>
      <c r="C214" s="32"/>
      <c r="D214" s="96"/>
      <c r="E214" s="96"/>
      <c r="F214" s="96"/>
      <c r="G214" s="96"/>
      <c r="H214" s="96"/>
    </row>
    <row r="215" spans="1:16" x14ac:dyDescent="0.15">
      <c r="B215" s="53" t="s">
        <v>1345</v>
      </c>
      <c r="C215" s="32"/>
      <c r="D215" s="96"/>
      <c r="E215" s="96"/>
      <c r="F215" s="96"/>
      <c r="G215" s="96"/>
      <c r="H215" s="96"/>
    </row>
    <row r="216" spans="1:16" x14ac:dyDescent="0.15">
      <c r="C216" s="32"/>
      <c r="D216" s="96"/>
      <c r="E216" s="96"/>
      <c r="F216" s="96"/>
      <c r="G216" s="96"/>
      <c r="H216" s="96"/>
    </row>
    <row r="217" spans="1:16" x14ac:dyDescent="0.15">
      <c r="C217" s="76" t="s">
        <v>1292</v>
      </c>
      <c r="K217" s="76" t="s">
        <v>1293</v>
      </c>
    </row>
    <row r="218" spans="1:16" x14ac:dyDescent="0.15">
      <c r="C218" s="32"/>
      <c r="D218" s="96"/>
      <c r="E218" s="96"/>
      <c r="F218" s="96"/>
      <c r="G218" s="96"/>
      <c r="H218" s="96"/>
    </row>
    <row r="219" spans="1:16" x14ac:dyDescent="0.15">
      <c r="C219" s="58"/>
      <c r="D219" s="281" t="s">
        <v>461</v>
      </c>
      <c r="E219" s="282"/>
      <c r="F219" s="282"/>
      <c r="G219" s="282"/>
      <c r="H219" s="282"/>
      <c r="K219" s="58"/>
      <c r="L219" s="281" t="s">
        <v>463</v>
      </c>
      <c r="M219" s="281"/>
      <c r="N219" s="281"/>
      <c r="O219" s="281"/>
      <c r="P219" s="281"/>
    </row>
    <row r="220" spans="1:16" x14ac:dyDescent="0.15">
      <c r="C220" s="63"/>
      <c r="D220" s="57" t="s">
        <v>188</v>
      </c>
      <c r="E220" s="57" t="s">
        <v>189</v>
      </c>
      <c r="F220" s="57" t="s">
        <v>190</v>
      </c>
      <c r="G220" s="57" t="s">
        <v>210</v>
      </c>
      <c r="H220" s="57" t="s">
        <v>211</v>
      </c>
      <c r="K220" s="63"/>
      <c r="L220" s="57" t="s">
        <v>188</v>
      </c>
      <c r="M220" s="57" t="s">
        <v>189</v>
      </c>
      <c r="N220" s="57" t="s">
        <v>190</v>
      </c>
      <c r="O220" s="57" t="s">
        <v>210</v>
      </c>
      <c r="P220" s="57" t="s">
        <v>211</v>
      </c>
    </row>
    <row r="221" spans="1:16" x14ac:dyDescent="0.15">
      <c r="C221" s="102" t="s">
        <v>504</v>
      </c>
      <c r="D221" s="100" t="s">
        <v>225</v>
      </c>
      <c r="E221" s="100" t="s">
        <v>223</v>
      </c>
      <c r="F221" s="100" t="s">
        <v>220</v>
      </c>
      <c r="G221" s="100" t="s">
        <v>240</v>
      </c>
      <c r="H221" s="100" t="s">
        <v>249</v>
      </c>
      <c r="K221" s="102" t="s">
        <v>504</v>
      </c>
      <c r="L221" s="80" t="s">
        <v>62</v>
      </c>
      <c r="M221" s="103" t="s">
        <v>453</v>
      </c>
      <c r="N221" s="80" t="s">
        <v>47</v>
      </c>
      <c r="O221" s="80" t="s">
        <v>62</v>
      </c>
      <c r="P221" s="80" t="s">
        <v>62</v>
      </c>
    </row>
    <row r="222" spans="1:16" x14ac:dyDescent="0.15">
      <c r="C222" s="104" t="s">
        <v>505</v>
      </c>
      <c r="D222" s="98">
        <f>SSRGTFreq(D$11:D$38,D221)</f>
        <v>0.10714285714285714</v>
      </c>
      <c r="E222" s="98">
        <f>SSRGTFreq(E$11:E$38,E221)</f>
        <v>7.1428571428571425E-2</v>
      </c>
      <c r="F222" s="98">
        <f>SSRGTFreq(F$11:F$38,F221)</f>
        <v>3.5714285714285712E-2</v>
      </c>
      <c r="G222" s="98">
        <f>SSRGTFreq(G$11:G$38,G221)</f>
        <v>7.1428571428571425E-2</v>
      </c>
      <c r="H222" s="98">
        <f>SSRGTFreq(H$11:H$38,H221)</f>
        <v>3.5714285714285712E-2</v>
      </c>
      <c r="K222" s="104" t="s">
        <v>505</v>
      </c>
      <c r="L222" s="98">
        <f>SNPGTFreq(L$11:L$38,L221)</f>
        <v>0.32142857142857145</v>
      </c>
      <c r="M222" s="98">
        <f>SNPGTFreq(M$11:M$38,M221)</f>
        <v>0.35714285714285715</v>
      </c>
      <c r="N222" s="98">
        <f>SNPGTFreq(N$11:N$38,N221)</f>
        <v>0.39285714285714285</v>
      </c>
      <c r="O222" s="98">
        <f>SNPGTFreq(O$11:O$38,O221)</f>
        <v>3.5714285714285712E-2</v>
      </c>
      <c r="P222" s="98">
        <f>SNPGTFreq(P$11:P$38,P221)</f>
        <v>0.42857142857142855</v>
      </c>
    </row>
    <row r="223" spans="1:16" x14ac:dyDescent="0.15">
      <c r="C223" s="32"/>
      <c r="D223" s="32"/>
    </row>
    <row r="224" spans="1:16" x14ac:dyDescent="0.15">
      <c r="C224" s="105" t="s">
        <v>1347</v>
      </c>
      <c r="D224" s="106">
        <f>Ukaif0(D222:H222)</f>
        <v>6.972541203070147E-7</v>
      </c>
      <c r="E224" s="79" t="s">
        <v>1346</v>
      </c>
      <c r="K224" s="105" t="s">
        <v>1347</v>
      </c>
      <c r="L224" s="106">
        <f>Ukaif0(L222:P222)</f>
        <v>6.9028157910394476E-4</v>
      </c>
      <c r="M224" s="79" t="s">
        <v>1346</v>
      </c>
    </row>
    <row r="225" spans="3:13" x14ac:dyDescent="0.15">
      <c r="D225" s="32"/>
    </row>
    <row r="226" spans="3:13" x14ac:dyDescent="0.15">
      <c r="C226" s="80" t="s">
        <v>508</v>
      </c>
      <c r="D226" s="80" t="s">
        <v>507</v>
      </c>
      <c r="K226" s="80" t="s">
        <v>508</v>
      </c>
      <c r="L226" s="80" t="s">
        <v>507</v>
      </c>
    </row>
    <row r="227" spans="3:13" x14ac:dyDescent="0.15">
      <c r="C227" s="61">
        <v>5</v>
      </c>
      <c r="D227" s="107">
        <f>UkaiP1(D$222:H$222,C227)</f>
        <v>3.4862657399825636E-6</v>
      </c>
      <c r="E227" s="79" t="s">
        <v>1348</v>
      </c>
      <c r="K227" s="61">
        <v>5</v>
      </c>
      <c r="L227" s="107">
        <f>UkaiP1(L$222:P$222,K227)</f>
        <v>3.4466462969133804E-3</v>
      </c>
      <c r="M227" s="79" t="s">
        <v>1348</v>
      </c>
    </row>
    <row r="228" spans="3:13" x14ac:dyDescent="0.15">
      <c r="C228" s="61">
        <v>10</v>
      </c>
      <c r="D228" s="107">
        <f>UkaiP1(D$222:H$222,C228)</f>
        <v>6.9725193260206098E-6</v>
      </c>
      <c r="K228" s="61">
        <v>10</v>
      </c>
      <c r="L228" s="107">
        <f>UkaiP1(L$222:P$222,K228)</f>
        <v>6.881413223130628E-3</v>
      </c>
    </row>
    <row r="229" spans="3:13" x14ac:dyDescent="0.15">
      <c r="C229" s="61">
        <v>20</v>
      </c>
      <c r="D229" s="107">
        <f>UkaiP1(D$222:H$222,C229)</f>
        <v>1.3944990035930083E-5</v>
      </c>
      <c r="K229" s="61">
        <v>20</v>
      </c>
      <c r="L229" s="107">
        <f>UkaiP1(L$222:P$222,K229)</f>
        <v>1.3715472598313849E-2</v>
      </c>
    </row>
    <row r="230" spans="3:13" x14ac:dyDescent="0.15">
      <c r="C230" s="63">
        <v>50</v>
      </c>
      <c r="D230" s="108">
        <f>UkaiP1(D$222:H$222,C230)</f>
        <v>3.4862110473099506E-5</v>
      </c>
      <c r="K230" s="63">
        <v>50</v>
      </c>
      <c r="L230" s="108">
        <f>UkaiP1(L$222:P$222,K230)</f>
        <v>3.393677505362902E-2</v>
      </c>
    </row>
  </sheetData>
  <mergeCells count="21">
    <mergeCell ref="B5:J5"/>
    <mergeCell ref="D52:H52"/>
    <mergeCell ref="L52:P52"/>
    <mergeCell ref="D82:H82"/>
    <mergeCell ref="L82:P82"/>
    <mergeCell ref="D111:H111"/>
    <mergeCell ref="L111:P111"/>
    <mergeCell ref="D125:H125"/>
    <mergeCell ref="L125:P125"/>
    <mergeCell ref="D140:H140"/>
    <mergeCell ref="L140:P140"/>
    <mergeCell ref="D155:H155"/>
    <mergeCell ref="L155:P155"/>
    <mergeCell ref="D219:H219"/>
    <mergeCell ref="L219:P219"/>
    <mergeCell ref="D170:H170"/>
    <mergeCell ref="L170:P170"/>
    <mergeCell ref="D184:H184"/>
    <mergeCell ref="L184:P184"/>
    <mergeCell ref="D198:H198"/>
    <mergeCell ref="L198:P198"/>
  </mergeCells>
  <phoneticPr fontId="1"/>
  <conditionalFormatting sqref="D11:H11 D131:H133 D146:H148 D117:H118 D135:H135 D139:H139 D183:H183">
    <cfRule type="cellIs" dxfId="111" priority="112" stopIfTrue="1" operator="equal">
      <formula>"/"</formula>
    </cfRule>
  </conditionalFormatting>
  <conditionalFormatting sqref="D15:H16">
    <cfRule type="cellIs" dxfId="110" priority="109" stopIfTrue="1" operator="equal">
      <formula>"/"</formula>
    </cfRule>
  </conditionalFormatting>
  <conditionalFormatting sqref="D12:H12">
    <cfRule type="cellIs" dxfId="109" priority="111" stopIfTrue="1" operator="equal">
      <formula>"/"</formula>
    </cfRule>
  </conditionalFormatting>
  <conditionalFormatting sqref="D13:H14">
    <cfRule type="cellIs" dxfId="108" priority="110" stopIfTrue="1" operator="equal">
      <formula>"/"</formula>
    </cfRule>
  </conditionalFormatting>
  <conditionalFormatting sqref="D17:H35">
    <cfRule type="cellIs" dxfId="107" priority="108" stopIfTrue="1" operator="equal">
      <formula>"/"</formula>
    </cfRule>
  </conditionalFormatting>
  <conditionalFormatting sqref="D36:H38">
    <cfRule type="cellIs" dxfId="106" priority="107" stopIfTrue="1" operator="equal">
      <formula>"/"</formula>
    </cfRule>
  </conditionalFormatting>
  <conditionalFormatting sqref="D106:H106 D110:H110 E107:I108 D109:I109">
    <cfRule type="cellIs" dxfId="105" priority="106" stopIfTrue="1" operator="equal">
      <formula>"/"</formula>
    </cfRule>
  </conditionalFormatting>
  <conditionalFormatting sqref="D114:H115">
    <cfRule type="cellIs" dxfId="104" priority="103" stopIfTrue="1" operator="equal">
      <formula>"/"</formula>
    </cfRule>
  </conditionalFormatting>
  <conditionalFormatting sqref="D128:H129 D143:H144 D124:H124">
    <cfRule type="cellIs" dxfId="103" priority="102" stopIfTrue="1" operator="equal">
      <formula>"/"</formula>
    </cfRule>
  </conditionalFormatting>
  <conditionalFormatting sqref="C97:C98">
    <cfRule type="cellIs" dxfId="102" priority="65" stopIfTrue="1" operator="equal">
      <formula>"/"</formula>
    </cfRule>
  </conditionalFormatting>
  <conditionalFormatting sqref="C84:C85">
    <cfRule type="cellIs" dxfId="101" priority="100" stopIfTrue="1" operator="equal">
      <formula>"/"</formula>
    </cfRule>
  </conditionalFormatting>
  <conditionalFormatting sqref="C86">
    <cfRule type="cellIs" dxfId="100" priority="98" stopIfTrue="1" operator="equal">
      <formula>"/"</formula>
    </cfRule>
  </conditionalFormatting>
  <conditionalFormatting sqref="C88">
    <cfRule type="cellIs" dxfId="99" priority="96" stopIfTrue="1" operator="equal">
      <formula>"/"</formula>
    </cfRule>
  </conditionalFormatting>
  <conditionalFormatting sqref="C89">
    <cfRule type="cellIs" dxfId="98" priority="94" stopIfTrue="1" operator="equal">
      <formula>"/"</formula>
    </cfRule>
  </conditionalFormatting>
  <conditionalFormatting sqref="C90">
    <cfRule type="cellIs" dxfId="97" priority="93" stopIfTrue="1" operator="equal">
      <formula>"/"</formula>
    </cfRule>
  </conditionalFormatting>
  <conditionalFormatting sqref="C90:C92">
    <cfRule type="cellIs" dxfId="96" priority="92" stopIfTrue="1" operator="equal">
      <formula>"/"</formula>
    </cfRule>
  </conditionalFormatting>
  <conditionalFormatting sqref="C88">
    <cfRule type="cellIs" dxfId="95" priority="91" stopIfTrue="1" operator="equal">
      <formula>"/"</formula>
    </cfRule>
  </conditionalFormatting>
  <conditionalFormatting sqref="C89">
    <cfRule type="cellIs" dxfId="94" priority="90" stopIfTrue="1" operator="equal">
      <formula>"/"</formula>
    </cfRule>
  </conditionalFormatting>
  <conditionalFormatting sqref="C90">
    <cfRule type="cellIs" dxfId="93" priority="89" stopIfTrue="1" operator="equal">
      <formula>"/"</formula>
    </cfRule>
  </conditionalFormatting>
  <conditionalFormatting sqref="C95">
    <cfRule type="cellIs" dxfId="92" priority="67" stopIfTrue="1" operator="equal">
      <formula>"/"</formula>
    </cfRule>
  </conditionalFormatting>
  <conditionalFormatting sqref="C92">
    <cfRule type="cellIs" dxfId="91" priority="87" stopIfTrue="1" operator="equal">
      <formula>"/"</formula>
    </cfRule>
  </conditionalFormatting>
  <conditionalFormatting sqref="C87">
    <cfRule type="cellIs" dxfId="90" priority="86" stopIfTrue="1" operator="equal">
      <formula>"/"</formula>
    </cfRule>
  </conditionalFormatting>
  <conditionalFormatting sqref="C91">
    <cfRule type="cellIs" dxfId="89" priority="85" stopIfTrue="1" operator="equal">
      <formula>"/"</formula>
    </cfRule>
  </conditionalFormatting>
  <conditionalFormatting sqref="C87">
    <cfRule type="cellIs" dxfId="88" priority="80" stopIfTrue="1" operator="equal">
      <formula>"/"</formula>
    </cfRule>
  </conditionalFormatting>
  <conditionalFormatting sqref="C87">
    <cfRule type="cellIs" dxfId="87" priority="83" stopIfTrue="1" operator="equal">
      <formula>"/"</formula>
    </cfRule>
  </conditionalFormatting>
  <conditionalFormatting sqref="C88">
    <cfRule type="cellIs" dxfId="86" priority="82" stopIfTrue="1" operator="equal">
      <formula>"/"</formula>
    </cfRule>
  </conditionalFormatting>
  <conditionalFormatting sqref="C89">
    <cfRule type="cellIs" dxfId="85" priority="81" stopIfTrue="1" operator="equal">
      <formula>"/"</formula>
    </cfRule>
  </conditionalFormatting>
  <conditionalFormatting sqref="C88">
    <cfRule type="cellIs" dxfId="84" priority="79" stopIfTrue="1" operator="equal">
      <formula>"/"</formula>
    </cfRule>
  </conditionalFormatting>
  <conditionalFormatting sqref="C89">
    <cfRule type="cellIs" dxfId="83" priority="78" stopIfTrue="1" operator="equal">
      <formula>"/"</formula>
    </cfRule>
  </conditionalFormatting>
  <conditionalFormatting sqref="C91">
    <cfRule type="cellIs" dxfId="82" priority="77" stopIfTrue="1" operator="equal">
      <formula>"/"</formula>
    </cfRule>
  </conditionalFormatting>
  <conditionalFormatting sqref="C90">
    <cfRule type="cellIs" dxfId="81" priority="76" stopIfTrue="1" operator="equal">
      <formula>"/"</formula>
    </cfRule>
  </conditionalFormatting>
  <conditionalFormatting sqref="C92">
    <cfRule type="cellIs" dxfId="80" priority="70" stopIfTrue="1" operator="equal">
      <formula>"/"</formula>
    </cfRule>
  </conditionalFormatting>
  <conditionalFormatting sqref="C91">
    <cfRule type="cellIs" dxfId="79" priority="74" stopIfTrue="1" operator="equal">
      <formula>"/"</formula>
    </cfRule>
  </conditionalFormatting>
  <conditionalFormatting sqref="C90">
    <cfRule type="cellIs" dxfId="78" priority="73" stopIfTrue="1" operator="equal">
      <formula>"/"</formula>
    </cfRule>
  </conditionalFormatting>
  <conditionalFormatting sqref="C90">
    <cfRule type="cellIs" dxfId="77" priority="71" stopIfTrue="1" operator="equal">
      <formula>"/"</formula>
    </cfRule>
  </conditionalFormatting>
  <conditionalFormatting sqref="C93">
    <cfRule type="cellIs" dxfId="76" priority="69" stopIfTrue="1" operator="equal">
      <formula>"/"</formula>
    </cfRule>
  </conditionalFormatting>
  <conditionalFormatting sqref="C94">
    <cfRule type="cellIs" dxfId="75" priority="68" stopIfTrue="1" operator="equal">
      <formula>"/"</formula>
    </cfRule>
  </conditionalFormatting>
  <conditionalFormatting sqref="C96">
    <cfRule type="cellIs" dxfId="74" priority="66" stopIfTrue="1" operator="equal">
      <formula>"/"</formula>
    </cfRule>
  </conditionalFormatting>
  <conditionalFormatting sqref="C113">
    <cfRule type="cellIs" dxfId="73" priority="64" stopIfTrue="1" operator="equal">
      <formula>"/"</formula>
    </cfRule>
  </conditionalFormatting>
  <conditionalFormatting sqref="K142">
    <cfRule type="cellIs" dxfId="72" priority="60" stopIfTrue="1" operator="equal">
      <formula>"/"</formula>
    </cfRule>
  </conditionalFormatting>
  <conditionalFormatting sqref="K221">
    <cfRule type="cellIs" dxfId="71" priority="31" stopIfTrue="1" operator="equal">
      <formula>"/"</formula>
    </cfRule>
  </conditionalFormatting>
  <conditionalFormatting sqref="C127">
    <cfRule type="cellIs" dxfId="70" priority="63" stopIfTrue="1" operator="equal">
      <formula>"/"</formula>
    </cfRule>
  </conditionalFormatting>
  <conditionalFormatting sqref="C142">
    <cfRule type="cellIs" dxfId="69" priority="61" stopIfTrue="1" operator="equal">
      <formula>"/"</formula>
    </cfRule>
  </conditionalFormatting>
  <conditionalFormatting sqref="K157">
    <cfRule type="cellIs" dxfId="68" priority="57" stopIfTrue="1" operator="equal">
      <formula>"/"</formula>
    </cfRule>
  </conditionalFormatting>
  <conditionalFormatting sqref="C157">
    <cfRule type="cellIs" dxfId="67" priority="58" stopIfTrue="1" operator="equal">
      <formula>"/"</formula>
    </cfRule>
  </conditionalFormatting>
  <conditionalFormatting sqref="K172">
    <cfRule type="cellIs" dxfId="66" priority="54" stopIfTrue="1" operator="equal">
      <formula>"/"</formula>
    </cfRule>
  </conditionalFormatting>
  <conditionalFormatting sqref="D161:H163 D165:H165 D169:H169">
    <cfRule type="cellIs" dxfId="65" priority="56" stopIfTrue="1" operator="equal">
      <formula>"/"</formula>
    </cfRule>
  </conditionalFormatting>
  <conditionalFormatting sqref="C172">
    <cfRule type="cellIs" dxfId="64" priority="55" stopIfTrue="1" operator="equal">
      <formula>"/"</formula>
    </cfRule>
  </conditionalFormatting>
  <conditionalFormatting sqref="K186">
    <cfRule type="cellIs" dxfId="63" priority="51" stopIfTrue="1" operator="equal">
      <formula>"/"</formula>
    </cfRule>
  </conditionalFormatting>
  <conditionalFormatting sqref="D176:H177 D179:H179">
    <cfRule type="cellIs" dxfId="62" priority="53" stopIfTrue="1" operator="equal">
      <formula>"/"</formula>
    </cfRule>
  </conditionalFormatting>
  <conditionalFormatting sqref="C186">
    <cfRule type="cellIs" dxfId="61" priority="52" stopIfTrue="1" operator="equal">
      <formula>"/"</formula>
    </cfRule>
  </conditionalFormatting>
  <conditionalFormatting sqref="D190:H191 D193:H193 D197:H197">
    <cfRule type="cellIs" dxfId="60" priority="50" stopIfTrue="1" operator="equal">
      <formula>"/"</formula>
    </cfRule>
  </conditionalFormatting>
  <conditionalFormatting sqref="C200">
    <cfRule type="cellIs" dxfId="59" priority="49" stopIfTrue="1" operator="equal">
      <formula>"/"</formula>
    </cfRule>
  </conditionalFormatting>
  <conditionalFormatting sqref="K200">
    <cfRule type="cellIs" dxfId="58" priority="47" stopIfTrue="1" operator="equal">
      <formula>"/"</formula>
    </cfRule>
  </conditionalFormatting>
  <conditionalFormatting sqref="D212:H216 D218:H218">
    <cfRule type="cellIs" dxfId="57" priority="46" stopIfTrue="1" operator="equal">
      <formula>"/"</formula>
    </cfRule>
  </conditionalFormatting>
  <conditionalFormatting sqref="C221">
    <cfRule type="cellIs" dxfId="56" priority="45" stopIfTrue="1" operator="equal">
      <formula>"/"</formula>
    </cfRule>
  </conditionalFormatting>
  <conditionalFormatting sqref="D221">
    <cfRule type="cellIs" dxfId="55" priority="43" stopIfTrue="1" operator="equal">
      <formula>"/"</formula>
    </cfRule>
  </conditionalFormatting>
  <conditionalFormatting sqref="E221">
    <cfRule type="cellIs" dxfId="54" priority="42" stopIfTrue="1" operator="equal">
      <formula>"/"</formula>
    </cfRule>
  </conditionalFormatting>
  <conditionalFormatting sqref="E221">
    <cfRule type="cellIs" dxfId="53" priority="40" stopIfTrue="1" operator="equal">
      <formula>"/"</formula>
    </cfRule>
  </conditionalFormatting>
  <conditionalFormatting sqref="E221">
    <cfRule type="cellIs" dxfId="52" priority="41" stopIfTrue="1" operator="equal">
      <formula>"/"</formula>
    </cfRule>
  </conditionalFormatting>
  <conditionalFormatting sqref="F221">
    <cfRule type="cellIs" dxfId="51" priority="39" stopIfTrue="1" operator="equal">
      <formula>"/"</formula>
    </cfRule>
  </conditionalFormatting>
  <conditionalFormatting sqref="F221">
    <cfRule type="cellIs" dxfId="50" priority="38" stopIfTrue="1" operator="equal">
      <formula>"/"</formula>
    </cfRule>
  </conditionalFormatting>
  <conditionalFormatting sqref="F221">
    <cfRule type="cellIs" dxfId="49" priority="37" stopIfTrue="1" operator="equal">
      <formula>"/"</formula>
    </cfRule>
  </conditionalFormatting>
  <conditionalFormatting sqref="F221">
    <cfRule type="cellIs" dxfId="48" priority="36" stopIfTrue="1" operator="equal">
      <formula>"/"</formula>
    </cfRule>
  </conditionalFormatting>
  <conditionalFormatting sqref="F221">
    <cfRule type="cellIs" dxfId="47" priority="35" stopIfTrue="1" operator="equal">
      <formula>"/"</formula>
    </cfRule>
  </conditionalFormatting>
  <conditionalFormatting sqref="F221">
    <cfRule type="cellIs" dxfId="46" priority="34" stopIfTrue="1" operator="equal">
      <formula>"/"</formula>
    </cfRule>
  </conditionalFormatting>
  <conditionalFormatting sqref="G221">
    <cfRule type="cellIs" dxfId="45" priority="33" stopIfTrue="1" operator="equal">
      <formula>"/"</formula>
    </cfRule>
  </conditionalFormatting>
  <conditionalFormatting sqref="H221">
    <cfRule type="cellIs" dxfId="44" priority="32" stopIfTrue="1" operator="equal">
      <formula>"/"</formula>
    </cfRule>
  </conditionalFormatting>
  <conditionalFormatting sqref="D54:H68">
    <cfRule type="cellIs" dxfId="43" priority="30" operator="greaterThan">
      <formula>0</formula>
    </cfRule>
  </conditionalFormatting>
  <conditionalFormatting sqref="L54:P57">
    <cfRule type="cellIs" dxfId="42" priority="29" operator="greaterThan">
      <formula>0</formula>
    </cfRule>
  </conditionalFormatting>
  <conditionalFormatting sqref="D84:H98">
    <cfRule type="cellIs" dxfId="41" priority="28" operator="greaterThan">
      <formula>0</formula>
    </cfRule>
  </conditionalFormatting>
  <conditionalFormatting sqref="L84:P93">
    <cfRule type="cellIs" dxfId="40" priority="27" operator="greaterThan">
      <formula>0</formula>
    </cfRule>
  </conditionalFormatting>
  <conditionalFormatting sqref="M107:Q108 L109:Q109">
    <cfRule type="cellIs" dxfId="39" priority="26" stopIfTrue="1" operator="equal">
      <formula>"/"</formula>
    </cfRule>
  </conditionalFormatting>
  <conditionalFormatting sqref="E121:I122 D123:I123">
    <cfRule type="cellIs" dxfId="38" priority="25" stopIfTrue="1" operator="equal">
      <formula>"/"</formula>
    </cfRule>
  </conditionalFormatting>
  <conditionalFormatting sqref="M121:Q123">
    <cfRule type="cellIs" dxfId="37" priority="24" stopIfTrue="1" operator="equal">
      <formula>"/"</formula>
    </cfRule>
  </conditionalFormatting>
  <conditionalFormatting sqref="L123">
    <cfRule type="cellIs" dxfId="36" priority="23" stopIfTrue="1" operator="equal">
      <formula>"/"</formula>
    </cfRule>
  </conditionalFormatting>
  <conditionalFormatting sqref="E136:I137 D138:I138">
    <cfRule type="cellIs" dxfId="35" priority="22" stopIfTrue="1" operator="equal">
      <formula>"/"</formula>
    </cfRule>
  </conditionalFormatting>
  <conditionalFormatting sqref="M136:Q138">
    <cfRule type="cellIs" dxfId="34" priority="21" stopIfTrue="1" operator="equal">
      <formula>"/"</formula>
    </cfRule>
  </conditionalFormatting>
  <conditionalFormatting sqref="L138">
    <cfRule type="cellIs" dxfId="33" priority="19" stopIfTrue="1" operator="equal">
      <formula>"/"</formula>
    </cfRule>
  </conditionalFormatting>
  <conditionalFormatting sqref="L153">
    <cfRule type="cellIs" dxfId="32" priority="15" stopIfTrue="1" operator="equal">
      <formula>"/"</formula>
    </cfRule>
  </conditionalFormatting>
  <conditionalFormatting sqref="E151:I152 D153:I153">
    <cfRule type="cellIs" dxfId="31" priority="18" stopIfTrue="1" operator="equal">
      <formula>"/"</formula>
    </cfRule>
  </conditionalFormatting>
  <conditionalFormatting sqref="M151:Q153">
    <cfRule type="cellIs" dxfId="30" priority="17" stopIfTrue="1" operator="equal">
      <formula>"/"</formula>
    </cfRule>
  </conditionalFormatting>
  <conditionalFormatting sqref="L168">
    <cfRule type="cellIs" dxfId="29" priority="11" stopIfTrue="1" operator="equal">
      <formula>"/"</formula>
    </cfRule>
  </conditionalFormatting>
  <conditionalFormatting sqref="E166:I167 D168:I168">
    <cfRule type="cellIs" dxfId="28" priority="14" stopIfTrue="1" operator="equal">
      <formula>"/"</formula>
    </cfRule>
  </conditionalFormatting>
  <conditionalFormatting sqref="M166:Q168">
    <cfRule type="cellIs" dxfId="27" priority="13" stopIfTrue="1" operator="equal">
      <formula>"/"</formula>
    </cfRule>
  </conditionalFormatting>
  <conditionalFormatting sqref="E180:I181 D182:I182">
    <cfRule type="cellIs" dxfId="26" priority="10" stopIfTrue="1" operator="equal">
      <formula>"/"</formula>
    </cfRule>
  </conditionalFormatting>
  <conditionalFormatting sqref="M180:Q182">
    <cfRule type="cellIs" dxfId="25" priority="9" stopIfTrue="1" operator="equal">
      <formula>"/"</formula>
    </cfRule>
  </conditionalFormatting>
  <conditionalFormatting sqref="L182">
    <cfRule type="cellIs" dxfId="24" priority="3" stopIfTrue="1" operator="equal">
      <formula>"/"</formula>
    </cfRule>
  </conditionalFormatting>
  <conditionalFormatting sqref="E194:I196">
    <cfRule type="cellIs" dxfId="23" priority="6" stopIfTrue="1" operator="equal">
      <formula>"/"</formula>
    </cfRule>
  </conditionalFormatting>
  <conditionalFormatting sqref="M194:Q196">
    <cfRule type="cellIs" dxfId="22" priority="5" stopIfTrue="1" operator="equal">
      <formula>"/"</formula>
    </cfRule>
  </conditionalFormatting>
  <conditionalFormatting sqref="D196">
    <cfRule type="cellIs" dxfId="21" priority="2" stopIfTrue="1" operator="equal">
      <formula>"/"</formula>
    </cfRule>
  </conditionalFormatting>
  <conditionalFormatting sqref="L196">
    <cfRule type="cellIs" dxfId="20" priority="1" stopIfTrue="1" operator="equal">
      <formula>"/"</formula>
    </cfRule>
  </conditionalFormatting>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155"/>
  <sheetViews>
    <sheetView topLeftCell="A126" workbookViewId="0">
      <selection activeCell="F66" sqref="F66"/>
    </sheetView>
  </sheetViews>
  <sheetFormatPr defaultRowHeight="15.75" x14ac:dyDescent="0.15"/>
  <cols>
    <col min="1" max="1" width="9.125" style="14" customWidth="1"/>
    <col min="2" max="2" width="6.25" style="14" customWidth="1"/>
    <col min="3" max="3" width="9" style="14" customWidth="1"/>
    <col min="4" max="8" width="9" style="14"/>
    <col min="9" max="9" width="12.875" style="14" customWidth="1"/>
    <col min="10" max="10" width="6.375" style="14" customWidth="1"/>
    <col min="11" max="17" width="9" style="14"/>
    <col min="18" max="18" width="13.375" style="14" customWidth="1"/>
    <col min="19" max="16384" width="9" style="14"/>
  </cols>
  <sheetData>
    <row r="1" spans="1:17" ht="21" x14ac:dyDescent="0.15">
      <c r="A1" s="254" t="s">
        <v>129</v>
      </c>
      <c r="B1" s="46"/>
      <c r="G1" s="17"/>
      <c r="J1" s="16" t="s">
        <v>130</v>
      </c>
      <c r="K1" s="14" t="str">
        <f>GUGS()</f>
        <v>GUGS: ver. 1.00</v>
      </c>
    </row>
    <row r="2" spans="1:17" x14ac:dyDescent="0.15">
      <c r="A2" s="16"/>
      <c r="B2" s="16"/>
      <c r="G2" s="17"/>
      <c r="J2" s="17"/>
    </row>
    <row r="3" spans="1:17" x14ac:dyDescent="0.15">
      <c r="A3" s="47" t="s">
        <v>1216</v>
      </c>
      <c r="B3" s="47"/>
      <c r="C3" s="48"/>
      <c r="D3" s="48"/>
      <c r="E3" s="48"/>
      <c r="F3" s="48"/>
      <c r="G3" s="49"/>
      <c r="H3" s="48"/>
      <c r="I3" s="48"/>
      <c r="J3" s="49"/>
      <c r="K3" s="48"/>
      <c r="L3" s="48"/>
      <c r="M3" s="48"/>
    </row>
    <row r="4" spans="1:17" ht="13.5" customHeight="1" x14ac:dyDescent="0.15">
      <c r="C4" s="109"/>
      <c r="D4" s="110"/>
      <c r="E4" s="110"/>
      <c r="F4" s="110"/>
      <c r="G4" s="110"/>
    </row>
    <row r="5" spans="1:17" ht="57.75" customHeight="1" x14ac:dyDescent="0.15">
      <c r="B5" s="277" t="s">
        <v>1575</v>
      </c>
      <c r="C5" s="277"/>
      <c r="D5" s="277"/>
      <c r="E5" s="277"/>
      <c r="F5" s="277"/>
      <c r="G5" s="277"/>
      <c r="H5" s="277"/>
      <c r="I5" s="277"/>
      <c r="J5" s="277"/>
    </row>
    <row r="6" spans="1:17" ht="13.5" customHeight="1" x14ac:dyDescent="0.15">
      <c r="C6" s="50"/>
      <c r="D6" s="111"/>
      <c r="E6" s="111"/>
      <c r="F6" s="111"/>
      <c r="G6" s="111"/>
    </row>
    <row r="8" spans="1:17" x14ac:dyDescent="0.15">
      <c r="A8" s="66" t="s">
        <v>395</v>
      </c>
      <c r="B8" s="67" t="s">
        <v>509</v>
      </c>
      <c r="C8" s="67"/>
      <c r="D8" s="67"/>
      <c r="E8" s="67"/>
      <c r="F8" s="67"/>
      <c r="G8" s="68"/>
      <c r="H8" s="67"/>
      <c r="I8" s="67"/>
      <c r="J8" s="68"/>
      <c r="K8" s="67"/>
      <c r="L8" s="67"/>
      <c r="M8" s="67"/>
      <c r="N8" s="67"/>
      <c r="O8" s="67"/>
      <c r="P8" s="67"/>
      <c r="Q8" s="67"/>
    </row>
    <row r="9" spans="1:17" x14ac:dyDescent="0.15">
      <c r="A9" s="16"/>
      <c r="B9" s="16"/>
      <c r="C9" s="86" t="s">
        <v>713</v>
      </c>
      <c r="F9" s="17"/>
      <c r="I9" s="17"/>
      <c r="J9" s="17"/>
      <c r="L9" s="17"/>
    </row>
    <row r="10" spans="1:17" x14ac:dyDescent="0.15">
      <c r="A10" s="16"/>
      <c r="B10" s="16"/>
      <c r="C10" s="86" t="s">
        <v>714</v>
      </c>
      <c r="F10" s="17"/>
      <c r="I10" s="17"/>
      <c r="J10" s="17"/>
      <c r="L10" s="17"/>
    </row>
    <row r="11" spans="1:17" x14ac:dyDescent="0.15">
      <c r="A11" s="16"/>
      <c r="B11" s="16"/>
      <c r="C11" s="86"/>
      <c r="F11" s="17"/>
      <c r="I11" s="17"/>
      <c r="J11" s="17"/>
      <c r="L11" s="17"/>
    </row>
    <row r="12" spans="1:17" x14ac:dyDescent="0.15">
      <c r="A12" s="16"/>
      <c r="B12" s="16"/>
      <c r="C12" s="76" t="s">
        <v>1382</v>
      </c>
      <c r="K12" s="76" t="s">
        <v>1383</v>
      </c>
      <c r="L12" s="17"/>
    </row>
    <row r="13" spans="1:17" x14ac:dyDescent="0.15">
      <c r="A13" s="16"/>
      <c r="B13" s="16"/>
      <c r="C13" s="76"/>
      <c r="K13" s="76"/>
      <c r="L13" s="17"/>
    </row>
    <row r="14" spans="1:17" x14ac:dyDescent="0.15">
      <c r="A14" s="16"/>
      <c r="B14" s="69" t="s">
        <v>879</v>
      </c>
      <c r="C14" s="58"/>
      <c r="D14" s="70" t="s">
        <v>1349</v>
      </c>
      <c r="E14" s="59"/>
      <c r="F14" s="58"/>
      <c r="G14" s="58"/>
      <c r="H14" s="71"/>
      <c r="I14" s="17"/>
      <c r="K14" s="58" t="s">
        <v>879</v>
      </c>
      <c r="L14" s="58"/>
      <c r="M14" s="70" t="s">
        <v>1350</v>
      </c>
      <c r="N14" s="59"/>
      <c r="O14" s="58"/>
      <c r="P14" s="58"/>
      <c r="Q14" s="58"/>
    </row>
    <row r="15" spans="1:17" x14ac:dyDescent="0.15">
      <c r="A15" s="16"/>
      <c r="B15" s="72" t="s">
        <v>1042</v>
      </c>
      <c r="C15" s="32"/>
      <c r="D15" s="32" t="s">
        <v>1351</v>
      </c>
      <c r="E15" s="61"/>
      <c r="F15" s="32"/>
      <c r="G15" s="32"/>
      <c r="H15" s="73"/>
      <c r="I15" s="17"/>
      <c r="K15" s="32" t="s">
        <v>1042</v>
      </c>
      <c r="L15" s="32"/>
      <c r="M15" s="32" t="s">
        <v>1352</v>
      </c>
      <c r="N15" s="61"/>
      <c r="O15" s="32"/>
      <c r="P15" s="32"/>
      <c r="Q15" s="32"/>
    </row>
    <row r="16" spans="1:17" x14ac:dyDescent="0.15">
      <c r="A16" s="16"/>
      <c r="B16" s="74" t="s">
        <v>887</v>
      </c>
      <c r="C16" s="62"/>
      <c r="D16" s="62" t="s">
        <v>1080</v>
      </c>
      <c r="E16" s="63"/>
      <c r="F16" s="62"/>
      <c r="G16" s="62"/>
      <c r="H16" s="75"/>
      <c r="I16" s="17"/>
      <c r="K16" s="62" t="s">
        <v>887</v>
      </c>
      <c r="L16" s="62"/>
      <c r="M16" s="62" t="s">
        <v>1080</v>
      </c>
      <c r="N16" s="63"/>
      <c r="O16" s="62"/>
      <c r="P16" s="62"/>
      <c r="Q16" s="62"/>
    </row>
    <row r="17" spans="1:17" ht="18" customHeight="1" x14ac:dyDescent="0.15">
      <c r="A17" s="16"/>
      <c r="B17" s="16"/>
      <c r="F17" s="17"/>
      <c r="I17" s="17"/>
      <c r="J17" s="17"/>
      <c r="L17" s="17"/>
    </row>
    <row r="18" spans="1:17" x14ac:dyDescent="0.15">
      <c r="A18" s="16"/>
      <c r="B18" s="16"/>
      <c r="C18" s="112" t="s">
        <v>55</v>
      </c>
      <c r="D18" s="112" t="s">
        <v>55</v>
      </c>
      <c r="E18" s="113" t="s">
        <v>510</v>
      </c>
      <c r="F18" s="114"/>
      <c r="G18" s="81"/>
      <c r="H18" s="17"/>
      <c r="K18" s="112" t="s">
        <v>64</v>
      </c>
      <c r="L18" s="112" t="s">
        <v>65</v>
      </c>
      <c r="M18" s="113" t="s">
        <v>511</v>
      </c>
      <c r="N18" s="114"/>
    </row>
    <row r="19" spans="1:17" x14ac:dyDescent="0.15">
      <c r="A19" s="16"/>
      <c r="B19" s="16"/>
      <c r="C19" s="17" t="s">
        <v>7</v>
      </c>
      <c r="D19" s="61" t="s">
        <v>52</v>
      </c>
      <c r="E19" s="114" t="b">
        <f t="shared" ref="E19:E25" si="0">AlleleShared(C19,D19)</f>
        <v>0</v>
      </c>
      <c r="G19" s="17"/>
      <c r="H19" s="17"/>
      <c r="K19" s="17" t="s">
        <v>96</v>
      </c>
      <c r="L19" s="17" t="s">
        <v>97</v>
      </c>
      <c r="M19" s="114" t="b">
        <f>SNPAlleleShared(K19,L19)</f>
        <v>1</v>
      </c>
    </row>
    <row r="20" spans="1:17" x14ac:dyDescent="0.15">
      <c r="A20" s="16"/>
      <c r="B20" s="16"/>
      <c r="C20" s="17" t="s">
        <v>6</v>
      </c>
      <c r="D20" s="17" t="s">
        <v>7</v>
      </c>
      <c r="E20" s="114" t="b">
        <f t="shared" si="0"/>
        <v>1</v>
      </c>
      <c r="G20" s="17"/>
      <c r="H20" s="17"/>
      <c r="K20" s="17" t="s">
        <v>95</v>
      </c>
      <c r="L20" s="17" t="s">
        <v>98</v>
      </c>
      <c r="M20" s="114" t="b">
        <f>SNPAlleleShared(K20,L20)</f>
        <v>0</v>
      </c>
    </row>
    <row r="21" spans="1:17" x14ac:dyDescent="0.15">
      <c r="A21" s="16"/>
      <c r="B21" s="16"/>
      <c r="C21" s="17" t="s">
        <v>50</v>
      </c>
      <c r="D21" s="17" t="s">
        <v>7</v>
      </c>
      <c r="E21" s="114" t="b">
        <f t="shared" si="0"/>
        <v>0</v>
      </c>
      <c r="G21" s="17"/>
      <c r="H21" s="17"/>
      <c r="K21" s="17" t="s">
        <v>8</v>
      </c>
      <c r="L21" s="17" t="s">
        <v>63</v>
      </c>
      <c r="M21" s="114" t="b">
        <f>SNPAlleleShared(K21,L21)</f>
        <v>1</v>
      </c>
    </row>
    <row r="22" spans="1:17" x14ac:dyDescent="0.15">
      <c r="A22" s="16"/>
      <c r="B22" s="16"/>
      <c r="C22" s="17" t="s">
        <v>52</v>
      </c>
      <c r="D22" s="17" t="s">
        <v>50</v>
      </c>
      <c r="E22" s="114" t="b">
        <f t="shared" si="0"/>
        <v>1</v>
      </c>
      <c r="G22" s="17"/>
      <c r="H22" s="17"/>
      <c r="K22" s="17" t="s">
        <v>63</v>
      </c>
      <c r="L22" s="17" t="s">
        <v>8</v>
      </c>
      <c r="M22" s="114" t="b">
        <f>SNPAlleleShared(K22,L22)</f>
        <v>1</v>
      </c>
    </row>
    <row r="23" spans="1:17" x14ac:dyDescent="0.15">
      <c r="A23" s="16"/>
      <c r="B23" s="16"/>
      <c r="C23" s="17" t="s">
        <v>52</v>
      </c>
      <c r="D23" s="17" t="s">
        <v>52</v>
      </c>
      <c r="E23" s="114" t="b">
        <f t="shared" si="0"/>
        <v>1</v>
      </c>
      <c r="G23" s="17"/>
      <c r="H23" s="17"/>
      <c r="K23" s="63" t="s">
        <v>99</v>
      </c>
      <c r="L23" s="63" t="s">
        <v>166</v>
      </c>
      <c r="M23" s="115" t="b">
        <f>SNPAlleleShared(K23,L23)</f>
        <v>0</v>
      </c>
    </row>
    <row r="24" spans="1:17" x14ac:dyDescent="0.15">
      <c r="A24" s="16"/>
      <c r="B24" s="16"/>
      <c r="C24" s="17" t="s">
        <v>52</v>
      </c>
      <c r="D24" s="17" t="s">
        <v>100</v>
      </c>
      <c r="E24" s="114" t="b">
        <f t="shared" si="0"/>
        <v>0</v>
      </c>
      <c r="G24" s="17"/>
      <c r="I24" s="17"/>
      <c r="K24" s="17"/>
    </row>
    <row r="25" spans="1:17" x14ac:dyDescent="0.15">
      <c r="A25" s="16"/>
      <c r="B25" s="16"/>
      <c r="C25" s="63" t="s">
        <v>52</v>
      </c>
      <c r="D25" s="63" t="s">
        <v>52</v>
      </c>
      <c r="E25" s="115" t="b">
        <f t="shared" si="0"/>
        <v>1</v>
      </c>
      <c r="G25" s="17"/>
      <c r="I25" s="17"/>
      <c r="K25" s="17"/>
    </row>
    <row r="26" spans="1:17" x14ac:dyDescent="0.15">
      <c r="A26" s="16"/>
      <c r="B26" s="16"/>
      <c r="F26" s="17"/>
      <c r="G26" s="61"/>
      <c r="I26" s="17"/>
      <c r="K26" s="17"/>
      <c r="M26" s="17"/>
    </row>
    <row r="27" spans="1:17" x14ac:dyDescent="0.15">
      <c r="A27" s="16"/>
      <c r="B27" s="16"/>
      <c r="F27" s="17"/>
      <c r="G27" s="61"/>
      <c r="I27" s="17"/>
      <c r="K27" s="17"/>
      <c r="M27" s="17"/>
    </row>
    <row r="28" spans="1:17" x14ac:dyDescent="0.15">
      <c r="A28" s="66" t="s">
        <v>396</v>
      </c>
      <c r="B28" s="67" t="s">
        <v>512</v>
      </c>
      <c r="C28" s="67"/>
      <c r="D28" s="67"/>
      <c r="E28" s="67"/>
      <c r="F28" s="67"/>
      <c r="G28" s="68"/>
      <c r="H28" s="67"/>
      <c r="I28" s="67"/>
      <c r="J28" s="68"/>
      <c r="K28" s="67"/>
      <c r="L28" s="67"/>
      <c r="M28" s="67"/>
      <c r="N28" s="67"/>
      <c r="O28" s="67"/>
      <c r="P28" s="67"/>
      <c r="Q28" s="67"/>
    </row>
    <row r="29" spans="1:17" x14ac:dyDescent="0.15">
      <c r="A29" s="16"/>
      <c r="B29" s="16"/>
      <c r="C29" s="14" t="s">
        <v>1138</v>
      </c>
      <c r="F29" s="17"/>
      <c r="G29" s="61"/>
      <c r="I29" s="17"/>
      <c r="K29" s="17"/>
      <c r="M29" s="17"/>
    </row>
    <row r="30" spans="1:17" x14ac:dyDescent="0.15">
      <c r="A30" s="16"/>
      <c r="B30" s="16"/>
      <c r="C30" s="14" t="s">
        <v>715</v>
      </c>
      <c r="F30" s="17"/>
      <c r="I30" s="17"/>
      <c r="K30" s="17"/>
      <c r="M30" s="17"/>
    </row>
    <row r="31" spans="1:17" x14ac:dyDescent="0.15">
      <c r="A31" s="16"/>
      <c r="B31" s="16"/>
      <c r="C31" s="14" t="s">
        <v>716</v>
      </c>
      <c r="F31" s="17"/>
      <c r="I31" s="17"/>
      <c r="K31" s="17"/>
      <c r="M31" s="17"/>
    </row>
    <row r="32" spans="1:17" x14ac:dyDescent="0.15">
      <c r="A32" s="16"/>
      <c r="B32" s="16"/>
      <c r="F32" s="17"/>
      <c r="I32" s="17"/>
      <c r="K32" s="17"/>
      <c r="M32" s="17"/>
    </row>
    <row r="33" spans="1:17" x14ac:dyDescent="0.15">
      <c r="A33" s="16"/>
      <c r="B33" s="69" t="s">
        <v>879</v>
      </c>
      <c r="C33" s="58"/>
      <c r="D33" s="70" t="s">
        <v>1353</v>
      </c>
      <c r="E33" s="59"/>
      <c r="F33" s="58"/>
      <c r="G33" s="58"/>
      <c r="H33" s="71"/>
      <c r="I33" s="17"/>
      <c r="K33" s="69" t="s">
        <v>879</v>
      </c>
      <c r="L33" s="58"/>
      <c r="M33" s="70" t="s">
        <v>1354</v>
      </c>
      <c r="N33" s="59"/>
      <c r="O33" s="58"/>
      <c r="P33" s="58"/>
      <c r="Q33" s="71"/>
    </row>
    <row r="34" spans="1:17" x14ac:dyDescent="0.15">
      <c r="A34" s="16"/>
      <c r="B34" s="72" t="s">
        <v>1042</v>
      </c>
      <c r="C34" s="32"/>
      <c r="D34" s="32" t="s">
        <v>1355</v>
      </c>
      <c r="E34" s="61"/>
      <c r="F34" s="32"/>
      <c r="G34" s="32"/>
      <c r="H34" s="73"/>
      <c r="I34" s="17"/>
      <c r="K34" s="72" t="s">
        <v>1042</v>
      </c>
      <c r="L34" s="32"/>
      <c r="M34" s="32" t="s">
        <v>1356</v>
      </c>
      <c r="N34" s="61"/>
      <c r="O34" s="32"/>
      <c r="P34" s="32"/>
      <c r="Q34" s="73"/>
    </row>
    <row r="35" spans="1:17" x14ac:dyDescent="0.15">
      <c r="A35" s="16"/>
      <c r="B35" s="72"/>
      <c r="C35" s="32"/>
      <c r="D35" s="32" t="s">
        <v>1357</v>
      </c>
      <c r="E35" s="32"/>
      <c r="F35" s="32"/>
      <c r="G35" s="32"/>
      <c r="H35" s="73"/>
      <c r="K35" s="72"/>
      <c r="L35" s="32"/>
      <c r="M35" s="32" t="s">
        <v>1358</v>
      </c>
      <c r="N35" s="32"/>
      <c r="O35" s="32"/>
      <c r="P35" s="32"/>
      <c r="Q35" s="73"/>
    </row>
    <row r="36" spans="1:17" x14ac:dyDescent="0.15">
      <c r="A36" s="16"/>
      <c r="B36" s="74" t="s">
        <v>887</v>
      </c>
      <c r="C36" s="62"/>
      <c r="D36" s="62" t="s">
        <v>1139</v>
      </c>
      <c r="E36" s="63"/>
      <c r="F36" s="62"/>
      <c r="G36" s="62"/>
      <c r="H36" s="75"/>
      <c r="I36" s="17"/>
      <c r="K36" s="74" t="s">
        <v>887</v>
      </c>
      <c r="L36" s="62"/>
      <c r="M36" s="62" t="s">
        <v>1139</v>
      </c>
      <c r="N36" s="63"/>
      <c r="O36" s="62"/>
      <c r="P36" s="62"/>
      <c r="Q36" s="75"/>
    </row>
    <row r="38" spans="1:17" x14ac:dyDescent="0.15">
      <c r="A38" s="16"/>
      <c r="B38" s="16"/>
      <c r="C38" s="76" t="s">
        <v>1382</v>
      </c>
      <c r="K38" s="76" t="s">
        <v>1384</v>
      </c>
    </row>
    <row r="39" spans="1:17" x14ac:dyDescent="0.15">
      <c r="A39" s="16"/>
      <c r="B39" s="16"/>
      <c r="F39" s="17"/>
      <c r="I39" s="17"/>
    </row>
    <row r="40" spans="1:17" x14ac:dyDescent="0.15">
      <c r="A40" s="16"/>
      <c r="B40" s="16"/>
      <c r="C40" s="112" t="s">
        <v>103</v>
      </c>
      <c r="D40" s="112" t="s">
        <v>104</v>
      </c>
      <c r="E40" s="112" t="s">
        <v>105</v>
      </c>
      <c r="F40" s="113" t="s">
        <v>1081</v>
      </c>
      <c r="G40" s="113"/>
      <c r="H40" s="113"/>
      <c r="I40" s="113"/>
      <c r="K40" s="112" t="s">
        <v>101</v>
      </c>
      <c r="L40" s="112" t="s">
        <v>102</v>
      </c>
      <c r="M40" s="112" t="s">
        <v>85</v>
      </c>
      <c r="N40" s="113" t="s">
        <v>1082</v>
      </c>
      <c r="O40" s="113"/>
      <c r="P40" s="113"/>
      <c r="Q40" s="113"/>
    </row>
    <row r="41" spans="1:17" x14ac:dyDescent="0.15">
      <c r="A41" s="16"/>
      <c r="B41" s="16"/>
      <c r="C41" s="17" t="s">
        <v>106</v>
      </c>
      <c r="D41" s="17" t="s">
        <v>106</v>
      </c>
      <c r="E41" s="17" t="s">
        <v>7</v>
      </c>
      <c r="F41" s="114" t="b">
        <f t="shared" ref="F41:F49" si="1">IsChild(E41,C41,D41)</f>
        <v>1</v>
      </c>
      <c r="G41" s="17"/>
      <c r="H41" s="17"/>
      <c r="K41" s="17" t="s">
        <v>11</v>
      </c>
      <c r="L41" s="17" t="s">
        <v>11</v>
      </c>
      <c r="M41" s="17" t="s">
        <v>11</v>
      </c>
      <c r="N41" s="81" t="b">
        <f t="shared" ref="N41:N56" si="2">MIsChild(M41,K41,L41)</f>
        <v>1</v>
      </c>
    </row>
    <row r="42" spans="1:17" x14ac:dyDescent="0.15">
      <c r="A42" s="16"/>
      <c r="B42" s="16"/>
      <c r="C42" s="17" t="s">
        <v>107</v>
      </c>
      <c r="D42" s="17" t="s">
        <v>108</v>
      </c>
      <c r="E42" s="17" t="s">
        <v>109</v>
      </c>
      <c r="F42" s="114" t="b">
        <f t="shared" si="1"/>
        <v>1</v>
      </c>
      <c r="G42" s="17"/>
      <c r="H42" s="17"/>
      <c r="K42" s="17" t="s">
        <v>11</v>
      </c>
      <c r="L42" s="17" t="s">
        <v>11</v>
      </c>
      <c r="M42" s="17" t="s">
        <v>12</v>
      </c>
      <c r="N42" s="81" t="b">
        <f t="shared" si="2"/>
        <v>0</v>
      </c>
    </row>
    <row r="43" spans="1:17" x14ac:dyDescent="0.15">
      <c r="A43" s="16"/>
      <c r="B43" s="16"/>
      <c r="C43" s="17" t="s">
        <v>53</v>
      </c>
      <c r="D43" s="17" t="s">
        <v>53</v>
      </c>
      <c r="E43" s="17" t="s">
        <v>67</v>
      </c>
      <c r="F43" s="114" t="b">
        <f t="shared" si="1"/>
        <v>1</v>
      </c>
      <c r="G43" s="17"/>
      <c r="H43" s="17"/>
      <c r="K43" s="17" t="s">
        <v>11</v>
      </c>
      <c r="L43" s="17" t="s">
        <v>11</v>
      </c>
      <c r="M43" s="17" t="s">
        <v>13</v>
      </c>
      <c r="N43" s="81" t="b">
        <f t="shared" si="2"/>
        <v>0</v>
      </c>
    </row>
    <row r="44" spans="1:17" x14ac:dyDescent="0.15">
      <c r="A44" s="16"/>
      <c r="B44" s="16"/>
      <c r="C44" s="17" t="s">
        <v>106</v>
      </c>
      <c r="D44" s="17" t="s">
        <v>106</v>
      </c>
      <c r="E44" s="17" t="s">
        <v>7</v>
      </c>
      <c r="F44" s="114" t="b">
        <f t="shared" si="1"/>
        <v>1</v>
      </c>
      <c r="G44" s="17"/>
      <c r="H44" s="17"/>
      <c r="K44" s="17" t="s">
        <v>12</v>
      </c>
      <c r="L44" s="17" t="s">
        <v>12</v>
      </c>
      <c r="M44" s="17" t="s">
        <v>12</v>
      </c>
      <c r="N44" s="81" t="b">
        <f t="shared" si="2"/>
        <v>1</v>
      </c>
    </row>
    <row r="45" spans="1:17" x14ac:dyDescent="0.15">
      <c r="A45" s="16"/>
      <c r="B45" s="16"/>
      <c r="C45" s="17" t="s">
        <v>107</v>
      </c>
      <c r="D45" s="17" t="s">
        <v>50</v>
      </c>
      <c r="E45" s="17" t="s">
        <v>50</v>
      </c>
      <c r="F45" s="114" t="b">
        <f t="shared" si="1"/>
        <v>0</v>
      </c>
      <c r="G45" s="17"/>
      <c r="H45" s="17"/>
      <c r="K45" s="17" t="s">
        <v>12</v>
      </c>
      <c r="L45" s="17" t="s">
        <v>11</v>
      </c>
      <c r="M45" s="17" t="s">
        <v>13</v>
      </c>
      <c r="N45" s="81" t="b">
        <f t="shared" si="2"/>
        <v>1</v>
      </c>
    </row>
    <row r="46" spans="1:17" x14ac:dyDescent="0.15">
      <c r="A46" s="16"/>
      <c r="B46" s="16"/>
      <c r="C46" s="17" t="s">
        <v>53</v>
      </c>
      <c r="D46" s="17" t="s">
        <v>51</v>
      </c>
      <c r="E46" s="17" t="s">
        <v>7</v>
      </c>
      <c r="F46" s="114" t="b">
        <f t="shared" si="1"/>
        <v>0</v>
      </c>
      <c r="G46" s="17"/>
      <c r="H46" s="17"/>
      <c r="K46" s="17" t="s">
        <v>11</v>
      </c>
      <c r="L46" s="17" t="s">
        <v>12</v>
      </c>
      <c r="M46" s="17" t="s">
        <v>13</v>
      </c>
      <c r="N46" s="81" t="b">
        <f t="shared" si="2"/>
        <v>1</v>
      </c>
    </row>
    <row r="47" spans="1:17" x14ac:dyDescent="0.15">
      <c r="A47" s="16"/>
      <c r="B47" s="16"/>
      <c r="C47" s="17" t="s">
        <v>110</v>
      </c>
      <c r="D47" s="17" t="s">
        <v>111</v>
      </c>
      <c r="E47" s="17" t="s">
        <v>111</v>
      </c>
      <c r="F47" s="114" t="b">
        <f t="shared" si="1"/>
        <v>0</v>
      </c>
      <c r="G47" s="17"/>
      <c r="H47" s="17"/>
      <c r="K47" s="17" t="s">
        <v>11</v>
      </c>
      <c r="L47" s="17" t="s">
        <v>12</v>
      </c>
      <c r="M47" s="17" t="s">
        <v>11</v>
      </c>
      <c r="N47" s="81" t="b">
        <f t="shared" si="2"/>
        <v>0</v>
      </c>
    </row>
    <row r="48" spans="1:17" x14ac:dyDescent="0.15">
      <c r="A48" s="16"/>
      <c r="B48" s="16"/>
      <c r="C48" s="61" t="s">
        <v>110</v>
      </c>
      <c r="D48" s="61" t="s">
        <v>112</v>
      </c>
      <c r="E48" s="61" t="s">
        <v>115</v>
      </c>
      <c r="F48" s="116" t="b">
        <f t="shared" si="1"/>
        <v>0</v>
      </c>
      <c r="G48" s="17"/>
      <c r="H48" s="17"/>
      <c r="K48" s="17" t="s">
        <v>11</v>
      </c>
      <c r="L48" s="17" t="s">
        <v>13</v>
      </c>
      <c r="M48" s="17" t="s">
        <v>11</v>
      </c>
      <c r="N48" s="81" t="b">
        <f t="shared" si="2"/>
        <v>1</v>
      </c>
    </row>
    <row r="49" spans="1:14" x14ac:dyDescent="0.15">
      <c r="A49" s="16"/>
      <c r="B49" s="16"/>
      <c r="C49" s="63" t="s">
        <v>113</v>
      </c>
      <c r="D49" s="63" t="s">
        <v>114</v>
      </c>
      <c r="E49" s="63" t="s">
        <v>51</v>
      </c>
      <c r="F49" s="115" t="b">
        <f t="shared" si="1"/>
        <v>0</v>
      </c>
      <c r="G49" s="17"/>
      <c r="H49" s="17"/>
      <c r="K49" s="17" t="s">
        <v>11</v>
      </c>
      <c r="L49" s="17" t="s">
        <v>13</v>
      </c>
      <c r="M49" s="17" t="s">
        <v>12</v>
      </c>
      <c r="N49" s="81" t="b">
        <f t="shared" si="2"/>
        <v>0</v>
      </c>
    </row>
    <row r="50" spans="1:14" x14ac:dyDescent="0.15">
      <c r="A50" s="16"/>
      <c r="B50" s="16"/>
      <c r="D50" s="17"/>
      <c r="G50" s="17"/>
      <c r="H50" s="17"/>
      <c r="K50" s="17" t="s">
        <v>12</v>
      </c>
      <c r="L50" s="17" t="s">
        <v>13</v>
      </c>
      <c r="M50" s="17" t="s">
        <v>13</v>
      </c>
      <c r="N50" s="81" t="b">
        <f t="shared" si="2"/>
        <v>1</v>
      </c>
    </row>
    <row r="51" spans="1:14" x14ac:dyDescent="0.15">
      <c r="A51" s="16"/>
      <c r="B51" s="69" t="s">
        <v>879</v>
      </c>
      <c r="C51" s="58"/>
      <c r="D51" s="117" t="s">
        <v>1359</v>
      </c>
      <c r="E51" s="59"/>
      <c r="F51" s="58"/>
      <c r="G51" s="58"/>
      <c r="H51" s="71"/>
      <c r="K51" s="17" t="s">
        <v>13</v>
      </c>
      <c r="L51" s="17" t="s">
        <v>12</v>
      </c>
      <c r="M51" s="17" t="s">
        <v>11</v>
      </c>
      <c r="N51" s="81" t="b">
        <f t="shared" si="2"/>
        <v>0</v>
      </c>
    </row>
    <row r="52" spans="1:14" x14ac:dyDescent="0.15">
      <c r="A52" s="16"/>
      <c r="B52" s="72" t="s">
        <v>1042</v>
      </c>
      <c r="C52" s="32"/>
      <c r="D52" s="32" t="s">
        <v>1360</v>
      </c>
      <c r="E52" s="61"/>
      <c r="F52" s="32"/>
      <c r="G52" s="32"/>
      <c r="H52" s="73"/>
      <c r="K52" s="17" t="s">
        <v>13</v>
      </c>
      <c r="L52" s="17" t="s">
        <v>11</v>
      </c>
      <c r="M52" s="17" t="s">
        <v>13</v>
      </c>
      <c r="N52" s="81" t="b">
        <f t="shared" si="2"/>
        <v>1</v>
      </c>
    </row>
    <row r="53" spans="1:14" x14ac:dyDescent="0.15">
      <c r="A53" s="16"/>
      <c r="B53" s="72"/>
      <c r="C53" s="32"/>
      <c r="D53" s="32" t="s">
        <v>1361</v>
      </c>
      <c r="E53" s="32"/>
      <c r="F53" s="32"/>
      <c r="G53" s="32"/>
      <c r="H53" s="73"/>
      <c r="K53" s="17" t="s">
        <v>13</v>
      </c>
      <c r="L53" s="17" t="s">
        <v>13</v>
      </c>
      <c r="M53" s="17" t="s">
        <v>11</v>
      </c>
      <c r="N53" s="81" t="b">
        <f t="shared" si="2"/>
        <v>1</v>
      </c>
    </row>
    <row r="54" spans="1:14" x14ac:dyDescent="0.15">
      <c r="A54" s="16"/>
      <c r="B54" s="74" t="s">
        <v>887</v>
      </c>
      <c r="C54" s="62"/>
      <c r="D54" s="62" t="s">
        <v>1139</v>
      </c>
      <c r="E54" s="63"/>
      <c r="F54" s="62"/>
      <c r="G54" s="62"/>
      <c r="H54" s="75"/>
      <c r="K54" s="17" t="s">
        <v>13</v>
      </c>
      <c r="L54" s="17" t="s">
        <v>13</v>
      </c>
      <c r="M54" s="17" t="s">
        <v>12</v>
      </c>
      <c r="N54" s="81" t="b">
        <f t="shared" si="2"/>
        <v>1</v>
      </c>
    </row>
    <row r="55" spans="1:14" x14ac:dyDescent="0.15">
      <c r="A55" s="16"/>
      <c r="B55" s="16"/>
      <c r="K55" s="61" t="s">
        <v>13</v>
      </c>
      <c r="L55" s="61" t="s">
        <v>13</v>
      </c>
      <c r="M55" s="61" t="s">
        <v>13</v>
      </c>
      <c r="N55" s="83" t="b">
        <f t="shared" si="2"/>
        <v>1</v>
      </c>
    </row>
    <row r="56" spans="1:14" x14ac:dyDescent="0.15">
      <c r="A56" s="16"/>
      <c r="B56" s="16"/>
      <c r="C56" s="76" t="s">
        <v>1383</v>
      </c>
      <c r="F56" s="17"/>
      <c r="H56" s="17"/>
      <c r="K56" s="63" t="s">
        <v>13</v>
      </c>
      <c r="L56" s="63" t="s">
        <v>117</v>
      </c>
      <c r="M56" s="63" t="s">
        <v>11</v>
      </c>
      <c r="N56" s="84" t="b">
        <f t="shared" si="2"/>
        <v>0</v>
      </c>
    </row>
    <row r="57" spans="1:14" x14ac:dyDescent="0.15">
      <c r="D57" s="17"/>
      <c r="F57" s="17"/>
      <c r="H57" s="17"/>
    </row>
    <row r="58" spans="1:14" x14ac:dyDescent="0.15">
      <c r="C58" s="112" t="s">
        <v>103</v>
      </c>
      <c r="D58" s="112" t="s">
        <v>104</v>
      </c>
      <c r="E58" s="112" t="s">
        <v>105</v>
      </c>
      <c r="F58" s="113" t="s">
        <v>513</v>
      </c>
      <c r="G58" s="113"/>
      <c r="H58" s="113"/>
      <c r="I58" s="113"/>
    </row>
    <row r="59" spans="1:14" x14ac:dyDescent="0.15">
      <c r="C59" s="17" t="s">
        <v>62</v>
      </c>
      <c r="D59" s="17" t="s">
        <v>54</v>
      </c>
      <c r="E59" s="17" t="s">
        <v>42</v>
      </c>
      <c r="F59" s="81" t="b">
        <f t="shared" ref="F59:F67" si="3">SNPIsChild(E59,C59,D59)</f>
        <v>1</v>
      </c>
      <c r="H59" s="17"/>
    </row>
    <row r="60" spans="1:14" x14ac:dyDescent="0.15">
      <c r="C60" s="17" t="s">
        <v>62</v>
      </c>
      <c r="D60" s="17" t="s">
        <v>42</v>
      </c>
      <c r="E60" s="17" t="s">
        <v>42</v>
      </c>
      <c r="F60" s="81" t="b">
        <f t="shared" si="3"/>
        <v>1</v>
      </c>
      <c r="H60" s="17"/>
    </row>
    <row r="61" spans="1:14" x14ac:dyDescent="0.15">
      <c r="C61" s="17" t="s">
        <v>54</v>
      </c>
      <c r="D61" s="17" t="s">
        <v>54</v>
      </c>
      <c r="E61" s="17" t="s">
        <v>54</v>
      </c>
      <c r="F61" s="81" t="b">
        <f t="shared" si="3"/>
        <v>1</v>
      </c>
    </row>
    <row r="62" spans="1:14" x14ac:dyDescent="0.15">
      <c r="C62" s="17" t="s">
        <v>42</v>
      </c>
      <c r="D62" s="17" t="s">
        <v>42</v>
      </c>
      <c r="E62" s="17" t="s">
        <v>62</v>
      </c>
      <c r="F62" s="81" t="b">
        <f t="shared" si="3"/>
        <v>1</v>
      </c>
    </row>
    <row r="63" spans="1:14" x14ac:dyDescent="0.15">
      <c r="C63" s="17" t="s">
        <v>42</v>
      </c>
      <c r="D63" s="17" t="s">
        <v>42</v>
      </c>
      <c r="E63" s="17" t="s">
        <v>42</v>
      </c>
      <c r="F63" s="81" t="b">
        <f t="shared" si="3"/>
        <v>1</v>
      </c>
    </row>
    <row r="64" spans="1:14" x14ac:dyDescent="0.15">
      <c r="C64" s="17" t="s">
        <v>42</v>
      </c>
      <c r="D64" s="17" t="s">
        <v>42</v>
      </c>
      <c r="E64" s="17" t="s">
        <v>54</v>
      </c>
      <c r="F64" s="81" t="b">
        <f t="shared" si="3"/>
        <v>1</v>
      </c>
    </row>
    <row r="65" spans="1:18" x14ac:dyDescent="0.15">
      <c r="C65" s="17" t="s">
        <v>54</v>
      </c>
      <c r="D65" s="17" t="s">
        <v>42</v>
      </c>
      <c r="E65" s="17" t="s">
        <v>62</v>
      </c>
      <c r="F65" s="81" t="b">
        <f>SNPIsChild(E65,C65,D65)</f>
        <v>0</v>
      </c>
    </row>
    <row r="66" spans="1:18" x14ac:dyDescent="0.15">
      <c r="C66" s="17" t="s">
        <v>54</v>
      </c>
      <c r="D66" s="17" t="s">
        <v>42</v>
      </c>
      <c r="E66" s="17" t="s">
        <v>62</v>
      </c>
      <c r="F66" s="81" t="b">
        <f t="shared" si="3"/>
        <v>0</v>
      </c>
    </row>
    <row r="67" spans="1:18" x14ac:dyDescent="0.15">
      <c r="C67" s="63" t="s">
        <v>62</v>
      </c>
      <c r="D67" s="63" t="s">
        <v>42</v>
      </c>
      <c r="E67" s="63" t="s">
        <v>54</v>
      </c>
      <c r="F67" s="84" t="b">
        <f t="shared" si="3"/>
        <v>0</v>
      </c>
    </row>
    <row r="70" spans="1:18" x14ac:dyDescent="0.15">
      <c r="A70" s="66" t="s">
        <v>514</v>
      </c>
      <c r="B70" s="67" t="s">
        <v>717</v>
      </c>
      <c r="C70" s="67"/>
      <c r="D70" s="67"/>
      <c r="E70" s="67"/>
      <c r="F70" s="67"/>
      <c r="G70" s="68"/>
      <c r="H70" s="67"/>
      <c r="I70" s="67"/>
      <c r="J70" s="68"/>
      <c r="K70" s="67"/>
      <c r="L70" s="67"/>
      <c r="M70" s="67"/>
      <c r="N70" s="67"/>
      <c r="O70" s="67"/>
      <c r="P70" s="67"/>
      <c r="Q70" s="67"/>
    </row>
    <row r="71" spans="1:18" x14ac:dyDescent="0.15">
      <c r="B71" s="14" t="s">
        <v>718</v>
      </c>
    </row>
    <row r="72" spans="1:18" x14ac:dyDescent="0.15">
      <c r="B72" s="14" t="s">
        <v>1140</v>
      </c>
    </row>
    <row r="73" spans="1:18" x14ac:dyDescent="0.15">
      <c r="B73" s="14" t="s">
        <v>719</v>
      </c>
    </row>
    <row r="75" spans="1:18" x14ac:dyDescent="0.15">
      <c r="B75" s="69" t="s">
        <v>879</v>
      </c>
      <c r="C75" s="58"/>
      <c r="D75" s="70" t="s">
        <v>1362</v>
      </c>
      <c r="E75" s="59"/>
      <c r="F75" s="58"/>
      <c r="G75" s="58"/>
      <c r="H75" s="58"/>
      <c r="I75" s="71"/>
      <c r="K75" s="69" t="s">
        <v>879</v>
      </c>
      <c r="L75" s="58"/>
      <c r="M75" s="70" t="s">
        <v>1363</v>
      </c>
      <c r="N75" s="59"/>
      <c r="O75" s="58"/>
      <c r="P75" s="58"/>
      <c r="Q75" s="58"/>
      <c r="R75" s="71"/>
    </row>
    <row r="76" spans="1:18" x14ac:dyDescent="0.15">
      <c r="B76" s="72" t="s">
        <v>1042</v>
      </c>
      <c r="C76" s="32"/>
      <c r="D76" s="32" t="s">
        <v>1355</v>
      </c>
      <c r="E76" s="61"/>
      <c r="F76" s="32"/>
      <c r="G76" s="32"/>
      <c r="H76" s="32"/>
      <c r="I76" s="73"/>
      <c r="K76" s="72" t="s">
        <v>1042</v>
      </c>
      <c r="L76" s="32"/>
      <c r="M76" s="32" t="s">
        <v>1364</v>
      </c>
      <c r="N76" s="61"/>
      <c r="O76" s="32"/>
      <c r="P76" s="32"/>
      <c r="Q76" s="32"/>
      <c r="R76" s="73"/>
    </row>
    <row r="77" spans="1:18" x14ac:dyDescent="0.15">
      <c r="B77" s="72"/>
      <c r="C77" s="32"/>
      <c r="D77" s="32" t="s">
        <v>1365</v>
      </c>
      <c r="E77" s="61"/>
      <c r="F77" s="32"/>
      <c r="G77" s="32"/>
      <c r="H77" s="32"/>
      <c r="I77" s="73"/>
      <c r="K77" s="72"/>
      <c r="L77" s="32"/>
      <c r="M77" s="32" t="s">
        <v>1366</v>
      </c>
      <c r="N77" s="61"/>
      <c r="O77" s="32"/>
      <c r="P77" s="32"/>
      <c r="Q77" s="32"/>
      <c r="R77" s="73"/>
    </row>
    <row r="78" spans="1:18" x14ac:dyDescent="0.15">
      <c r="B78" s="72"/>
      <c r="C78" s="32"/>
      <c r="D78" s="32" t="s">
        <v>1367</v>
      </c>
      <c r="E78" s="61"/>
      <c r="F78" s="32"/>
      <c r="G78" s="32"/>
      <c r="H78" s="32"/>
      <c r="I78" s="73"/>
      <c r="K78" s="74" t="s">
        <v>887</v>
      </c>
      <c r="L78" s="62"/>
      <c r="M78" s="62" t="s">
        <v>1083</v>
      </c>
      <c r="N78" s="63"/>
      <c r="O78" s="62"/>
      <c r="P78" s="62"/>
      <c r="Q78" s="62"/>
      <c r="R78" s="75"/>
    </row>
    <row r="79" spans="1:18" x14ac:dyDescent="0.15">
      <c r="B79" s="74" t="s">
        <v>887</v>
      </c>
      <c r="C79" s="62"/>
      <c r="D79" s="62" t="s">
        <v>1083</v>
      </c>
      <c r="E79" s="63"/>
      <c r="F79" s="62"/>
      <c r="G79" s="62"/>
      <c r="H79" s="62"/>
      <c r="I79" s="75"/>
    </row>
    <row r="81" spans="1:17" x14ac:dyDescent="0.15">
      <c r="C81" s="76" t="s">
        <v>1382</v>
      </c>
      <c r="K81" s="76" t="s">
        <v>1383</v>
      </c>
    </row>
    <row r="83" spans="1:17" x14ac:dyDescent="0.15">
      <c r="C83" s="62"/>
      <c r="D83" s="57" t="s">
        <v>188</v>
      </c>
      <c r="E83" s="57" t="s">
        <v>189</v>
      </c>
      <c r="F83" s="57" t="s">
        <v>190</v>
      </c>
      <c r="G83" s="57" t="s">
        <v>210</v>
      </c>
      <c r="H83" s="57" t="s">
        <v>211</v>
      </c>
      <c r="L83" s="57" t="s">
        <v>188</v>
      </c>
      <c r="M83" s="57" t="s">
        <v>189</v>
      </c>
      <c r="N83" s="57" t="s">
        <v>190</v>
      </c>
      <c r="O83" s="57" t="s">
        <v>210</v>
      </c>
      <c r="P83" s="57" t="s">
        <v>211</v>
      </c>
    </row>
    <row r="84" spans="1:17" x14ac:dyDescent="0.25">
      <c r="C84" s="118" t="s">
        <v>516</v>
      </c>
      <c r="D84" s="88" t="s">
        <v>229</v>
      </c>
      <c r="E84" s="88" t="s">
        <v>244</v>
      </c>
      <c r="F84" s="88" t="s">
        <v>235</v>
      </c>
      <c r="G84" s="88" t="s">
        <v>221</v>
      </c>
      <c r="H84" s="88" t="s">
        <v>246</v>
      </c>
      <c r="K84" s="118" t="s">
        <v>516</v>
      </c>
      <c r="L84" s="60" t="s">
        <v>46</v>
      </c>
      <c r="M84" s="60" t="s">
        <v>204</v>
      </c>
      <c r="N84" s="60" t="s">
        <v>46</v>
      </c>
      <c r="O84" s="60" t="s">
        <v>208</v>
      </c>
      <c r="P84" s="60" t="s">
        <v>116</v>
      </c>
    </row>
    <row r="85" spans="1:17" x14ac:dyDescent="0.25">
      <c r="C85" s="118" t="s">
        <v>517</v>
      </c>
      <c r="D85" s="88" t="s">
        <v>253</v>
      </c>
      <c r="E85" s="88" t="s">
        <v>252</v>
      </c>
      <c r="F85" s="88" t="s">
        <v>220</v>
      </c>
      <c r="G85" s="88" t="s">
        <v>221</v>
      </c>
      <c r="H85" s="88" t="s">
        <v>251</v>
      </c>
      <c r="K85" s="118" t="s">
        <v>517</v>
      </c>
      <c r="L85" s="60" t="s">
        <v>46</v>
      </c>
      <c r="M85" s="60" t="s">
        <v>207</v>
      </c>
      <c r="N85" s="60" t="s">
        <v>116</v>
      </c>
      <c r="O85" s="60" t="s">
        <v>205</v>
      </c>
      <c r="P85" s="60" t="s">
        <v>116</v>
      </c>
    </row>
    <row r="86" spans="1:17" x14ac:dyDescent="0.25">
      <c r="C86" s="119" t="s">
        <v>515</v>
      </c>
      <c r="D86" s="89" t="s">
        <v>218</v>
      </c>
      <c r="E86" s="89" t="s">
        <v>250</v>
      </c>
      <c r="F86" s="89" t="s">
        <v>239</v>
      </c>
      <c r="G86" s="89" t="s">
        <v>221</v>
      </c>
      <c r="H86" s="89" t="s">
        <v>228</v>
      </c>
      <c r="K86" s="119" t="s">
        <v>515</v>
      </c>
      <c r="L86" s="60" t="s">
        <v>116</v>
      </c>
      <c r="M86" s="60" t="s">
        <v>204</v>
      </c>
      <c r="N86" s="60" t="s">
        <v>116</v>
      </c>
      <c r="O86" s="60" t="s">
        <v>205</v>
      </c>
      <c r="P86" s="60" t="s">
        <v>116</v>
      </c>
    </row>
    <row r="87" spans="1:17" ht="18.75" x14ac:dyDescent="0.15">
      <c r="C87" s="120" t="s">
        <v>1368</v>
      </c>
      <c r="D87" s="80">
        <f>SSRChildProbability(D86,D84,D85,0)</f>
        <v>0.5</v>
      </c>
      <c r="E87" s="80">
        <f>SSRChildProbability(E86,E84,E85,0)</f>
        <v>0.25</v>
      </c>
      <c r="F87" s="80">
        <f>SSRChildProbability(F86,F84,F85,0)</f>
        <v>0.5</v>
      </c>
      <c r="G87" s="80">
        <f>SSRChildProbability(G86,G84,G85,0)</f>
        <v>1</v>
      </c>
      <c r="H87" s="80">
        <f>SSRChildProbability(H86,H84,H85,0)</f>
        <v>0.5</v>
      </c>
      <c r="K87" s="120" t="s">
        <v>1368</v>
      </c>
      <c r="L87" s="80">
        <f>SNPChildProbability(L86,L84,L85)</f>
        <v>0.25</v>
      </c>
      <c r="M87" s="80">
        <f>SNPChildProbability(M86,M84,M85)</f>
        <v>0.5</v>
      </c>
      <c r="N87" s="80">
        <f>SNPChildProbability(N86,N84,N85)</f>
        <v>0.5</v>
      </c>
      <c r="O87" s="80">
        <f>SNPChildProbability(O86,O84,O85)</f>
        <v>0.5</v>
      </c>
      <c r="P87" s="80">
        <f>SNPChildProbability(P86,P84,P85)</f>
        <v>1</v>
      </c>
    </row>
    <row r="90" spans="1:17" x14ac:dyDescent="0.15">
      <c r="A90" s="66" t="s">
        <v>398</v>
      </c>
      <c r="B90" s="67" t="s">
        <v>738</v>
      </c>
      <c r="C90" s="67"/>
      <c r="D90" s="67"/>
      <c r="E90" s="67"/>
      <c r="F90" s="67"/>
      <c r="G90" s="68"/>
      <c r="H90" s="67"/>
      <c r="I90" s="67"/>
      <c r="J90" s="68"/>
      <c r="K90" s="67"/>
      <c r="L90" s="67"/>
      <c r="M90" s="67"/>
      <c r="N90" s="67"/>
      <c r="O90" s="67"/>
      <c r="P90" s="67"/>
      <c r="Q90" s="67"/>
    </row>
    <row r="91" spans="1:17" s="53" customFormat="1" x14ac:dyDescent="0.15">
      <c r="A91" s="101"/>
      <c r="B91" s="53" t="s">
        <v>720</v>
      </c>
      <c r="G91" s="85"/>
      <c r="J91" s="85"/>
    </row>
    <row r="92" spans="1:17" s="53" customFormat="1" x14ac:dyDescent="0.15">
      <c r="A92" s="101"/>
      <c r="B92" s="53" t="s">
        <v>721</v>
      </c>
      <c r="G92" s="85"/>
      <c r="J92" s="85"/>
    </row>
    <row r="93" spans="1:17" s="53" customFormat="1" x14ac:dyDescent="0.15">
      <c r="A93" s="101"/>
      <c r="G93" s="85"/>
      <c r="J93" s="85"/>
    </row>
    <row r="95" spans="1:17" x14ac:dyDescent="0.15">
      <c r="C95" s="55" t="s">
        <v>1287</v>
      </c>
      <c r="D95" s="56"/>
      <c r="E95" s="56"/>
      <c r="F95" s="56"/>
      <c r="K95" s="55" t="s">
        <v>1288</v>
      </c>
      <c r="L95" s="56"/>
      <c r="M95" s="56"/>
      <c r="N95" s="56"/>
      <c r="O95" s="56"/>
      <c r="P95" s="56"/>
    </row>
    <row r="97" spans="3:16" x14ac:dyDescent="0.15">
      <c r="D97" s="57" t="s">
        <v>188</v>
      </c>
      <c r="E97" s="57" t="s">
        <v>189</v>
      </c>
      <c r="F97" s="57" t="s">
        <v>190</v>
      </c>
      <c r="G97" s="57" t="s">
        <v>210</v>
      </c>
      <c r="H97" s="57" t="s">
        <v>211</v>
      </c>
      <c r="L97" s="57" t="s">
        <v>188</v>
      </c>
      <c r="M97" s="57" t="s">
        <v>189</v>
      </c>
      <c r="N97" s="57" t="s">
        <v>190</v>
      </c>
      <c r="O97" s="57" t="s">
        <v>210</v>
      </c>
      <c r="P97" s="57" t="s">
        <v>211</v>
      </c>
    </row>
    <row r="98" spans="3:16" x14ac:dyDescent="0.25">
      <c r="C98" s="121" t="s">
        <v>191</v>
      </c>
      <c r="D98" s="88" t="s">
        <v>213</v>
      </c>
      <c r="E98" s="88" t="s">
        <v>214</v>
      </c>
      <c r="F98" s="88" t="s">
        <v>215</v>
      </c>
      <c r="G98" s="88" t="s">
        <v>216</v>
      </c>
      <c r="H98" s="88" t="s">
        <v>217</v>
      </c>
      <c r="K98" s="121" t="s">
        <v>191</v>
      </c>
      <c r="L98" s="60" t="s">
        <v>116</v>
      </c>
      <c r="M98" s="60" t="s">
        <v>204</v>
      </c>
      <c r="N98" s="60" t="s">
        <v>121</v>
      </c>
      <c r="O98" s="60" t="s">
        <v>205</v>
      </c>
      <c r="P98" s="60" t="s">
        <v>206</v>
      </c>
    </row>
    <row r="99" spans="3:16" x14ac:dyDescent="0.25">
      <c r="C99" s="122" t="s">
        <v>192</v>
      </c>
      <c r="D99" s="88" t="s">
        <v>218</v>
      </c>
      <c r="E99" s="88" t="s">
        <v>219</v>
      </c>
      <c r="F99" s="88" t="s">
        <v>220</v>
      </c>
      <c r="G99" s="88" t="s">
        <v>221</v>
      </c>
      <c r="H99" s="88" t="s">
        <v>217</v>
      </c>
      <c r="K99" s="122" t="s">
        <v>192</v>
      </c>
      <c r="L99" s="60" t="s">
        <v>46</v>
      </c>
      <c r="M99" s="60" t="s">
        <v>207</v>
      </c>
      <c r="N99" s="60" t="s">
        <v>116</v>
      </c>
      <c r="O99" s="60" t="s">
        <v>205</v>
      </c>
      <c r="P99" s="60" t="s">
        <v>116</v>
      </c>
    </row>
    <row r="100" spans="3:16" x14ac:dyDescent="0.25">
      <c r="C100" s="122" t="s">
        <v>193</v>
      </c>
      <c r="D100" s="88" t="s">
        <v>222</v>
      </c>
      <c r="E100" s="88" t="s">
        <v>223</v>
      </c>
      <c r="F100" s="88" t="s">
        <v>224</v>
      </c>
      <c r="G100" s="88" t="s">
        <v>221</v>
      </c>
      <c r="H100" s="88" t="s">
        <v>217</v>
      </c>
      <c r="K100" s="122" t="s">
        <v>193</v>
      </c>
      <c r="L100" s="60" t="s">
        <v>121</v>
      </c>
      <c r="M100" s="60" t="s">
        <v>207</v>
      </c>
      <c r="N100" s="60" t="s">
        <v>46</v>
      </c>
      <c r="O100" s="60" t="s">
        <v>205</v>
      </c>
      <c r="P100" s="60" t="s">
        <v>116</v>
      </c>
    </row>
    <row r="101" spans="3:16" x14ac:dyDescent="0.25">
      <c r="C101" s="122" t="s">
        <v>194</v>
      </c>
      <c r="D101" s="88" t="s">
        <v>225</v>
      </c>
      <c r="E101" s="88" t="s">
        <v>226</v>
      </c>
      <c r="F101" s="88" t="s">
        <v>227</v>
      </c>
      <c r="G101" s="88" t="s">
        <v>221</v>
      </c>
      <c r="H101" s="88" t="s">
        <v>228</v>
      </c>
      <c r="K101" s="122" t="s">
        <v>194</v>
      </c>
      <c r="L101" s="60" t="s">
        <v>121</v>
      </c>
      <c r="M101" s="60" t="s">
        <v>204</v>
      </c>
      <c r="N101" s="60" t="s">
        <v>46</v>
      </c>
      <c r="O101" s="60" t="s">
        <v>205</v>
      </c>
      <c r="P101" s="60" t="s">
        <v>206</v>
      </c>
    </row>
    <row r="102" spans="3:16" x14ac:dyDescent="0.25">
      <c r="C102" s="122" t="s">
        <v>195</v>
      </c>
      <c r="D102" s="88" t="s">
        <v>229</v>
      </c>
      <c r="E102" s="88" t="s">
        <v>230</v>
      </c>
      <c r="F102" s="88" t="s">
        <v>224</v>
      </c>
      <c r="G102" s="88" t="s">
        <v>221</v>
      </c>
      <c r="H102" s="88" t="s">
        <v>217</v>
      </c>
      <c r="K102" s="122" t="s">
        <v>195</v>
      </c>
      <c r="L102" s="60" t="s">
        <v>46</v>
      </c>
      <c r="M102" s="60" t="s">
        <v>208</v>
      </c>
      <c r="N102" s="60" t="s">
        <v>116</v>
      </c>
      <c r="O102" s="60" t="s">
        <v>208</v>
      </c>
      <c r="P102" s="60" t="s">
        <v>206</v>
      </c>
    </row>
    <row r="103" spans="3:16" x14ac:dyDescent="0.25">
      <c r="C103" s="122" t="s">
        <v>196</v>
      </c>
      <c r="D103" s="88" t="s">
        <v>222</v>
      </c>
      <c r="E103" s="88" t="s">
        <v>230</v>
      </c>
      <c r="F103" s="88" t="s">
        <v>231</v>
      </c>
      <c r="G103" s="88" t="s">
        <v>232</v>
      </c>
      <c r="H103" s="88" t="s">
        <v>217</v>
      </c>
      <c r="K103" s="122" t="s">
        <v>196</v>
      </c>
      <c r="L103" s="60" t="s">
        <v>46</v>
      </c>
      <c r="M103" s="60" t="s">
        <v>204</v>
      </c>
      <c r="N103" s="60" t="s">
        <v>209</v>
      </c>
      <c r="O103" s="60" t="s">
        <v>205</v>
      </c>
      <c r="P103" s="60" t="s">
        <v>116</v>
      </c>
    </row>
    <row r="104" spans="3:16" x14ac:dyDescent="0.25">
      <c r="C104" s="122" t="s">
        <v>197</v>
      </c>
      <c r="D104" s="88" t="s">
        <v>233</v>
      </c>
      <c r="E104" s="88" t="s">
        <v>234</v>
      </c>
      <c r="F104" s="88" t="s">
        <v>235</v>
      </c>
      <c r="G104" s="88" t="s">
        <v>236</v>
      </c>
      <c r="H104" s="88" t="s">
        <v>237</v>
      </c>
      <c r="K104" s="122" t="s">
        <v>197</v>
      </c>
      <c r="L104" s="60" t="s">
        <v>116</v>
      </c>
      <c r="M104" s="60" t="s">
        <v>204</v>
      </c>
      <c r="N104" s="60" t="s">
        <v>116</v>
      </c>
      <c r="O104" s="60" t="s">
        <v>205</v>
      </c>
      <c r="P104" s="60" t="s">
        <v>116</v>
      </c>
    </row>
    <row r="105" spans="3:16" x14ac:dyDescent="0.25">
      <c r="C105" s="122" t="s">
        <v>198</v>
      </c>
      <c r="D105" s="88" t="s">
        <v>238</v>
      </c>
      <c r="E105" s="88" t="s">
        <v>223</v>
      </c>
      <c r="F105" s="88" t="s">
        <v>239</v>
      </c>
      <c r="G105" s="88" t="s">
        <v>240</v>
      </c>
      <c r="H105" s="88" t="s">
        <v>241</v>
      </c>
      <c r="K105" s="122" t="s">
        <v>198</v>
      </c>
      <c r="L105" s="60" t="s">
        <v>116</v>
      </c>
      <c r="M105" s="60" t="s">
        <v>207</v>
      </c>
      <c r="N105" s="60" t="s">
        <v>46</v>
      </c>
      <c r="O105" s="60" t="s">
        <v>205</v>
      </c>
      <c r="P105" s="60" t="s">
        <v>116</v>
      </c>
    </row>
    <row r="106" spans="3:16" x14ac:dyDescent="0.25">
      <c r="C106" s="122" t="s">
        <v>199</v>
      </c>
      <c r="D106" s="88" t="s">
        <v>238</v>
      </c>
      <c r="E106" s="88" t="s">
        <v>234</v>
      </c>
      <c r="F106" s="88" t="s">
        <v>235</v>
      </c>
      <c r="G106" s="88" t="s">
        <v>240</v>
      </c>
      <c r="H106" s="88" t="s">
        <v>242</v>
      </c>
      <c r="K106" s="122" t="s">
        <v>199</v>
      </c>
      <c r="L106" s="60" t="s">
        <v>121</v>
      </c>
      <c r="M106" s="60" t="s">
        <v>204</v>
      </c>
      <c r="N106" s="60" t="s">
        <v>116</v>
      </c>
      <c r="O106" s="60" t="s">
        <v>205</v>
      </c>
      <c r="P106" s="60" t="s">
        <v>206</v>
      </c>
    </row>
    <row r="107" spans="3:16" x14ac:dyDescent="0.25">
      <c r="C107" s="122" t="s">
        <v>200</v>
      </c>
      <c r="D107" s="88" t="s">
        <v>243</v>
      </c>
      <c r="E107" s="88" t="s">
        <v>244</v>
      </c>
      <c r="F107" s="88" t="s">
        <v>245</v>
      </c>
      <c r="G107" s="88" t="s">
        <v>221</v>
      </c>
      <c r="H107" s="88" t="s">
        <v>246</v>
      </c>
      <c r="K107" s="122" t="s">
        <v>200</v>
      </c>
      <c r="L107" s="60" t="s">
        <v>46</v>
      </c>
      <c r="M107" s="60" t="s">
        <v>207</v>
      </c>
      <c r="N107" s="60" t="s">
        <v>116</v>
      </c>
      <c r="O107" s="60" t="s">
        <v>205</v>
      </c>
      <c r="P107" s="60" t="s">
        <v>206</v>
      </c>
    </row>
    <row r="108" spans="3:16" x14ac:dyDescent="0.25">
      <c r="C108" s="122" t="s">
        <v>201</v>
      </c>
      <c r="D108" s="88" t="s">
        <v>225</v>
      </c>
      <c r="E108" s="88" t="s">
        <v>247</v>
      </c>
      <c r="F108" s="88" t="s">
        <v>248</v>
      </c>
      <c r="G108" s="88" t="s">
        <v>221</v>
      </c>
      <c r="H108" s="88" t="s">
        <v>249</v>
      </c>
      <c r="K108" s="122" t="s">
        <v>201</v>
      </c>
      <c r="L108" s="60" t="s">
        <v>46</v>
      </c>
      <c r="M108" s="60" t="s">
        <v>208</v>
      </c>
      <c r="N108" s="60" t="s">
        <v>46</v>
      </c>
      <c r="O108" s="60" t="s">
        <v>208</v>
      </c>
      <c r="P108" s="60" t="s">
        <v>116</v>
      </c>
    </row>
    <row r="109" spans="3:16" x14ac:dyDescent="0.25">
      <c r="C109" s="122" t="s">
        <v>202</v>
      </c>
      <c r="D109" s="88" t="s">
        <v>218</v>
      </c>
      <c r="E109" s="88" t="s">
        <v>250</v>
      </c>
      <c r="F109" s="88" t="s">
        <v>235</v>
      </c>
      <c r="G109" s="88" t="s">
        <v>221</v>
      </c>
      <c r="H109" s="88" t="s">
        <v>228</v>
      </c>
      <c r="K109" s="122" t="s">
        <v>202</v>
      </c>
      <c r="L109" s="60" t="s">
        <v>121</v>
      </c>
      <c r="M109" s="60" t="s">
        <v>207</v>
      </c>
      <c r="N109" s="60" t="s">
        <v>116</v>
      </c>
      <c r="O109" s="60" t="s">
        <v>205</v>
      </c>
      <c r="P109" s="60" t="s">
        <v>116</v>
      </c>
    </row>
    <row r="110" spans="3:16" x14ac:dyDescent="0.25">
      <c r="C110" s="122" t="s">
        <v>264</v>
      </c>
      <c r="D110" s="88" t="s">
        <v>229</v>
      </c>
      <c r="E110" s="88" t="s">
        <v>244</v>
      </c>
      <c r="F110" s="88" t="s">
        <v>239</v>
      </c>
      <c r="G110" s="88" t="s">
        <v>221</v>
      </c>
      <c r="H110" s="88" t="s">
        <v>251</v>
      </c>
      <c r="K110" s="122" t="s">
        <v>264</v>
      </c>
      <c r="L110" s="60" t="s">
        <v>116</v>
      </c>
      <c r="M110" s="60" t="s">
        <v>204</v>
      </c>
      <c r="N110" s="60" t="s">
        <v>116</v>
      </c>
      <c r="O110" s="60" t="s">
        <v>205</v>
      </c>
      <c r="P110" s="60" t="s">
        <v>206</v>
      </c>
    </row>
    <row r="111" spans="3:16" x14ac:dyDescent="0.25">
      <c r="C111" s="122" t="s">
        <v>265</v>
      </c>
      <c r="D111" s="88" t="s">
        <v>218</v>
      </c>
      <c r="E111" s="88" t="s">
        <v>252</v>
      </c>
      <c r="F111" s="88" t="s">
        <v>235</v>
      </c>
      <c r="G111" s="88" t="s">
        <v>221</v>
      </c>
      <c r="H111" s="88" t="s">
        <v>251</v>
      </c>
      <c r="K111" s="122" t="s">
        <v>265</v>
      </c>
      <c r="L111" s="60" t="s">
        <v>46</v>
      </c>
      <c r="M111" s="60" t="s">
        <v>207</v>
      </c>
      <c r="N111" s="60" t="s">
        <v>46</v>
      </c>
      <c r="O111" s="60" t="s">
        <v>205</v>
      </c>
      <c r="P111" s="60" t="s">
        <v>206</v>
      </c>
    </row>
    <row r="112" spans="3:16" x14ac:dyDescent="0.25">
      <c r="C112" s="122" t="s">
        <v>266</v>
      </c>
      <c r="D112" s="88" t="s">
        <v>253</v>
      </c>
      <c r="E112" s="88" t="s">
        <v>250</v>
      </c>
      <c r="F112" s="88" t="s">
        <v>235</v>
      </c>
      <c r="G112" s="88" t="s">
        <v>221</v>
      </c>
      <c r="H112" s="88" t="s">
        <v>228</v>
      </c>
      <c r="K112" s="122" t="s">
        <v>266</v>
      </c>
      <c r="L112" s="60" t="s">
        <v>121</v>
      </c>
      <c r="M112" s="60" t="s">
        <v>208</v>
      </c>
      <c r="N112" s="60" t="s">
        <v>116</v>
      </c>
      <c r="O112" s="60" t="s">
        <v>208</v>
      </c>
      <c r="P112" s="60" t="s">
        <v>206</v>
      </c>
    </row>
    <row r="113" spans="3:16" x14ac:dyDescent="0.25">
      <c r="C113" s="122" t="s">
        <v>267</v>
      </c>
      <c r="D113" s="88" t="s">
        <v>253</v>
      </c>
      <c r="E113" s="88" t="s">
        <v>250</v>
      </c>
      <c r="F113" s="88" t="s">
        <v>235</v>
      </c>
      <c r="G113" s="88" t="s">
        <v>221</v>
      </c>
      <c r="H113" s="88" t="s">
        <v>228</v>
      </c>
      <c r="K113" s="122" t="s">
        <v>267</v>
      </c>
      <c r="L113" s="60" t="s">
        <v>121</v>
      </c>
      <c r="M113" s="60" t="s">
        <v>207</v>
      </c>
      <c r="N113" s="60" t="s">
        <v>116</v>
      </c>
      <c r="O113" s="60" t="s">
        <v>116</v>
      </c>
      <c r="P113" s="60" t="s">
        <v>116</v>
      </c>
    </row>
    <row r="114" spans="3:16" x14ac:dyDescent="0.25">
      <c r="C114" s="122" t="s">
        <v>268</v>
      </c>
      <c r="D114" s="88" t="s">
        <v>254</v>
      </c>
      <c r="E114" s="88" t="s">
        <v>250</v>
      </c>
      <c r="F114" s="88" t="s">
        <v>239</v>
      </c>
      <c r="G114" s="88" t="s">
        <v>221</v>
      </c>
      <c r="H114" s="88" t="s">
        <v>251</v>
      </c>
      <c r="K114" s="122" t="s">
        <v>268</v>
      </c>
      <c r="L114" s="60" t="s">
        <v>46</v>
      </c>
      <c r="M114" s="60" t="s">
        <v>207</v>
      </c>
      <c r="N114" s="60" t="s">
        <v>116</v>
      </c>
      <c r="O114" s="60" t="s">
        <v>205</v>
      </c>
      <c r="P114" s="60" t="s">
        <v>116</v>
      </c>
    </row>
    <row r="115" spans="3:16" x14ac:dyDescent="0.25">
      <c r="C115" s="122" t="s">
        <v>269</v>
      </c>
      <c r="D115" s="88" t="s">
        <v>218</v>
      </c>
      <c r="E115" s="88" t="s">
        <v>252</v>
      </c>
      <c r="F115" s="88" t="s">
        <v>235</v>
      </c>
      <c r="G115" s="88" t="s">
        <v>221</v>
      </c>
      <c r="H115" s="88" t="s">
        <v>251</v>
      </c>
      <c r="K115" s="122" t="s">
        <v>269</v>
      </c>
      <c r="L115" s="60" t="s">
        <v>116</v>
      </c>
      <c r="M115" s="60" t="s">
        <v>207</v>
      </c>
      <c r="N115" s="60" t="s">
        <v>116</v>
      </c>
      <c r="O115" s="60" t="s">
        <v>205</v>
      </c>
      <c r="P115" s="60" t="s">
        <v>206</v>
      </c>
    </row>
    <row r="116" spans="3:16" x14ac:dyDescent="0.25">
      <c r="C116" s="122" t="s">
        <v>270</v>
      </c>
      <c r="D116" s="88" t="s">
        <v>218</v>
      </c>
      <c r="E116" s="88" t="s">
        <v>252</v>
      </c>
      <c r="F116" s="88" t="s">
        <v>235</v>
      </c>
      <c r="G116" s="88" t="s">
        <v>221</v>
      </c>
      <c r="H116" s="88" t="s">
        <v>251</v>
      </c>
      <c r="K116" s="122" t="s">
        <v>270</v>
      </c>
      <c r="L116" s="60" t="s">
        <v>116</v>
      </c>
      <c r="M116" s="60" t="s">
        <v>204</v>
      </c>
      <c r="N116" s="60" t="s">
        <v>116</v>
      </c>
      <c r="O116" s="60" t="s">
        <v>208</v>
      </c>
      <c r="P116" s="60" t="s">
        <v>206</v>
      </c>
    </row>
    <row r="117" spans="3:16" x14ac:dyDescent="0.25">
      <c r="C117" s="122" t="s">
        <v>271</v>
      </c>
      <c r="D117" s="88" t="s">
        <v>229</v>
      </c>
      <c r="E117" s="88" t="s">
        <v>250</v>
      </c>
      <c r="F117" s="88" t="s">
        <v>235</v>
      </c>
      <c r="G117" s="88" t="s">
        <v>221</v>
      </c>
      <c r="H117" s="88" t="s">
        <v>251</v>
      </c>
      <c r="K117" s="122" t="s">
        <v>271</v>
      </c>
      <c r="L117" s="60" t="s">
        <v>46</v>
      </c>
      <c r="M117" s="60" t="s">
        <v>204</v>
      </c>
      <c r="N117" s="60" t="s">
        <v>46</v>
      </c>
      <c r="O117" s="60" t="s">
        <v>208</v>
      </c>
      <c r="P117" s="60" t="s">
        <v>206</v>
      </c>
    </row>
    <row r="118" spans="3:16" x14ac:dyDescent="0.25">
      <c r="C118" s="122" t="s">
        <v>272</v>
      </c>
      <c r="D118" s="88" t="s">
        <v>255</v>
      </c>
      <c r="E118" s="88" t="s">
        <v>252</v>
      </c>
      <c r="F118" s="88" t="s">
        <v>239</v>
      </c>
      <c r="G118" s="88" t="s">
        <v>232</v>
      </c>
      <c r="H118" s="88" t="s">
        <v>217</v>
      </c>
      <c r="K118" s="122" t="s">
        <v>272</v>
      </c>
      <c r="L118" s="60" t="s">
        <v>121</v>
      </c>
      <c r="M118" s="60" t="s">
        <v>204</v>
      </c>
      <c r="N118" s="60" t="s">
        <v>116</v>
      </c>
      <c r="O118" s="60" t="s">
        <v>208</v>
      </c>
      <c r="P118" s="60" t="s">
        <v>206</v>
      </c>
    </row>
    <row r="119" spans="3:16" x14ac:dyDescent="0.25">
      <c r="C119" s="122" t="s">
        <v>273</v>
      </c>
      <c r="D119" s="88" t="s">
        <v>256</v>
      </c>
      <c r="E119" s="88" t="s">
        <v>230</v>
      </c>
      <c r="F119" s="88" t="s">
        <v>257</v>
      </c>
      <c r="G119" s="88" t="s">
        <v>232</v>
      </c>
      <c r="H119" s="88" t="s">
        <v>217</v>
      </c>
      <c r="K119" s="122" t="s">
        <v>273</v>
      </c>
      <c r="L119" s="60" t="s">
        <v>116</v>
      </c>
      <c r="M119" s="60" t="s">
        <v>207</v>
      </c>
      <c r="N119" s="60" t="s">
        <v>46</v>
      </c>
      <c r="O119" s="60" t="s">
        <v>208</v>
      </c>
      <c r="P119" s="60" t="s">
        <v>206</v>
      </c>
    </row>
    <row r="120" spans="3:16" x14ac:dyDescent="0.25">
      <c r="C120" s="122" t="s">
        <v>274</v>
      </c>
      <c r="D120" s="88" t="s">
        <v>225</v>
      </c>
      <c r="E120" s="88" t="s">
        <v>252</v>
      </c>
      <c r="F120" s="88" t="s">
        <v>224</v>
      </c>
      <c r="G120" s="88" t="s">
        <v>221</v>
      </c>
      <c r="H120" s="88" t="s">
        <v>217</v>
      </c>
      <c r="K120" s="122" t="s">
        <v>274</v>
      </c>
      <c r="L120" s="60" t="s">
        <v>46</v>
      </c>
      <c r="M120" s="60" t="s">
        <v>204</v>
      </c>
      <c r="N120" s="60" t="s">
        <v>46</v>
      </c>
      <c r="O120" s="60" t="s">
        <v>205</v>
      </c>
      <c r="P120" s="60" t="s">
        <v>206</v>
      </c>
    </row>
    <row r="121" spans="3:16" x14ac:dyDescent="0.25">
      <c r="C121" s="122" t="s">
        <v>275</v>
      </c>
      <c r="D121" s="88" t="s">
        <v>258</v>
      </c>
      <c r="E121" s="88" t="s">
        <v>244</v>
      </c>
      <c r="F121" s="88" t="s">
        <v>224</v>
      </c>
      <c r="G121" s="88" t="s">
        <v>221</v>
      </c>
      <c r="H121" s="88" t="s">
        <v>217</v>
      </c>
      <c r="K121" s="122" t="s">
        <v>275</v>
      </c>
      <c r="L121" s="60" t="s">
        <v>116</v>
      </c>
      <c r="M121" s="60" t="s">
        <v>204</v>
      </c>
      <c r="N121" s="60" t="s">
        <v>46</v>
      </c>
      <c r="O121" s="60" t="s">
        <v>205</v>
      </c>
      <c r="P121" s="60" t="s">
        <v>116</v>
      </c>
    </row>
    <row r="122" spans="3:16" x14ac:dyDescent="0.25">
      <c r="C122" s="122" t="s">
        <v>276</v>
      </c>
      <c r="D122" s="88" t="s">
        <v>259</v>
      </c>
      <c r="E122" s="88" t="s">
        <v>260</v>
      </c>
      <c r="F122" s="88" t="s">
        <v>261</v>
      </c>
      <c r="G122" s="88" t="s">
        <v>221</v>
      </c>
      <c r="H122" s="88" t="s">
        <v>262</v>
      </c>
      <c r="K122" s="122" t="s">
        <v>276</v>
      </c>
      <c r="L122" s="60" t="s">
        <v>116</v>
      </c>
      <c r="M122" s="60" t="s">
        <v>208</v>
      </c>
      <c r="N122" s="60" t="s">
        <v>46</v>
      </c>
      <c r="O122" s="60" t="s">
        <v>208</v>
      </c>
      <c r="P122" s="60" t="s">
        <v>116</v>
      </c>
    </row>
    <row r="123" spans="3:16" x14ac:dyDescent="0.25">
      <c r="C123" s="122" t="s">
        <v>277</v>
      </c>
      <c r="D123" s="88" t="s">
        <v>218</v>
      </c>
      <c r="E123" s="88" t="s">
        <v>244</v>
      </c>
      <c r="F123" s="88" t="s">
        <v>215</v>
      </c>
      <c r="G123" s="88" t="s">
        <v>232</v>
      </c>
      <c r="H123" s="88" t="s">
        <v>217</v>
      </c>
      <c r="K123" s="122" t="s">
        <v>277</v>
      </c>
      <c r="L123" s="60" t="s">
        <v>121</v>
      </c>
      <c r="M123" s="60" t="s">
        <v>204</v>
      </c>
      <c r="N123" s="60" t="s">
        <v>46</v>
      </c>
      <c r="O123" s="60" t="s">
        <v>208</v>
      </c>
      <c r="P123" s="60" t="s">
        <v>206</v>
      </c>
    </row>
    <row r="124" spans="3:16" x14ac:dyDescent="0.25">
      <c r="C124" s="122" t="s">
        <v>278</v>
      </c>
      <c r="D124" s="88" t="s">
        <v>218</v>
      </c>
      <c r="E124" s="88" t="s">
        <v>244</v>
      </c>
      <c r="F124" s="88" t="s">
        <v>239</v>
      </c>
      <c r="G124" s="88" t="s">
        <v>232</v>
      </c>
      <c r="H124" s="88" t="s">
        <v>228</v>
      </c>
      <c r="K124" s="122" t="s">
        <v>278</v>
      </c>
      <c r="L124" s="60" t="s">
        <v>121</v>
      </c>
      <c r="M124" s="60" t="s">
        <v>208</v>
      </c>
      <c r="N124" s="60" t="s">
        <v>116</v>
      </c>
      <c r="O124" s="60" t="s">
        <v>208</v>
      </c>
      <c r="P124" s="60" t="s">
        <v>206</v>
      </c>
    </row>
    <row r="125" spans="3:16" x14ac:dyDescent="0.25">
      <c r="C125" s="123" t="s">
        <v>279</v>
      </c>
      <c r="D125" s="89" t="s">
        <v>263</v>
      </c>
      <c r="E125" s="89" t="s">
        <v>250</v>
      </c>
      <c r="F125" s="89" t="s">
        <v>239</v>
      </c>
      <c r="G125" s="89" t="s">
        <v>232</v>
      </c>
      <c r="H125" s="89" t="s">
        <v>246</v>
      </c>
      <c r="K125" s="123" t="s">
        <v>279</v>
      </c>
      <c r="L125" s="64" t="s">
        <v>46</v>
      </c>
      <c r="M125" s="64" t="s">
        <v>204</v>
      </c>
      <c r="N125" s="64" t="s">
        <v>116</v>
      </c>
      <c r="O125" s="64" t="s">
        <v>205</v>
      </c>
      <c r="P125" s="64" t="s">
        <v>116</v>
      </c>
    </row>
    <row r="127" spans="3:16" x14ac:dyDescent="0.25">
      <c r="C127" s="78" t="s">
        <v>515</v>
      </c>
      <c r="D127" s="124" t="s">
        <v>218</v>
      </c>
      <c r="E127" s="124" t="s">
        <v>250</v>
      </c>
      <c r="F127" s="124" t="s">
        <v>239</v>
      </c>
      <c r="G127" s="124" t="s">
        <v>221</v>
      </c>
      <c r="H127" s="124" t="s">
        <v>228</v>
      </c>
      <c r="K127" s="78" t="s">
        <v>515</v>
      </c>
      <c r="L127" s="125" t="s">
        <v>520</v>
      </c>
      <c r="M127" s="125" t="s">
        <v>204</v>
      </c>
      <c r="N127" s="125" t="s">
        <v>116</v>
      </c>
      <c r="O127" s="125" t="s">
        <v>205</v>
      </c>
      <c r="P127" s="125" t="s">
        <v>116</v>
      </c>
    </row>
    <row r="129" spans="1:18" x14ac:dyDescent="0.15">
      <c r="B129" s="69" t="s">
        <v>879</v>
      </c>
      <c r="C129" s="58"/>
      <c r="D129" s="70" t="s">
        <v>1369</v>
      </c>
      <c r="E129" s="59"/>
      <c r="F129" s="58"/>
      <c r="G129" s="58"/>
      <c r="H129" s="58"/>
      <c r="I129" s="71"/>
      <c r="K129" s="69" t="s">
        <v>879</v>
      </c>
      <c r="L129" s="58"/>
      <c r="M129" s="70" t="s">
        <v>1370</v>
      </c>
      <c r="N129" s="59"/>
      <c r="O129" s="58"/>
      <c r="P129" s="58"/>
      <c r="Q129" s="58"/>
      <c r="R129" s="71"/>
    </row>
    <row r="130" spans="1:18" x14ac:dyDescent="0.15">
      <c r="B130" s="72" t="s">
        <v>1042</v>
      </c>
      <c r="C130" s="32"/>
      <c r="D130" s="32" t="s">
        <v>1371</v>
      </c>
      <c r="E130" s="61"/>
      <c r="F130" s="32"/>
      <c r="G130" s="32"/>
      <c r="H130" s="32"/>
      <c r="I130" s="73"/>
      <c r="K130" s="72" t="s">
        <v>1042</v>
      </c>
      <c r="L130" s="32"/>
      <c r="M130" s="32" t="s">
        <v>1372</v>
      </c>
      <c r="N130" s="61"/>
      <c r="O130" s="32"/>
      <c r="P130" s="32"/>
      <c r="Q130" s="32"/>
      <c r="R130" s="73"/>
    </row>
    <row r="131" spans="1:18" x14ac:dyDescent="0.15">
      <c r="B131" s="72"/>
      <c r="C131" s="32"/>
      <c r="D131" s="32" t="s">
        <v>1373</v>
      </c>
      <c r="E131" s="61"/>
      <c r="F131" s="32"/>
      <c r="G131" s="32"/>
      <c r="H131" s="32"/>
      <c r="I131" s="73"/>
      <c r="K131" s="72"/>
      <c r="L131" s="32"/>
      <c r="M131" s="32" t="s">
        <v>1364</v>
      </c>
      <c r="N131" s="61"/>
      <c r="O131" s="32"/>
      <c r="P131" s="32"/>
      <c r="Q131" s="32"/>
      <c r="R131" s="73"/>
    </row>
    <row r="132" spans="1:18" x14ac:dyDescent="0.15">
      <c r="B132" s="74" t="s">
        <v>887</v>
      </c>
      <c r="C132" s="62"/>
      <c r="D132" s="62" t="s">
        <v>1084</v>
      </c>
      <c r="E132" s="63"/>
      <c r="F132" s="62"/>
      <c r="G132" s="62"/>
      <c r="H132" s="62"/>
      <c r="I132" s="75"/>
      <c r="K132" s="74" t="s">
        <v>887</v>
      </c>
      <c r="L132" s="62"/>
      <c r="M132" s="62" t="s">
        <v>1084</v>
      </c>
      <c r="N132" s="63"/>
      <c r="O132" s="62"/>
      <c r="P132" s="62"/>
      <c r="Q132" s="62"/>
      <c r="R132" s="75"/>
    </row>
    <row r="134" spans="1:18" x14ac:dyDescent="0.15">
      <c r="C134" s="76" t="s">
        <v>1292</v>
      </c>
      <c r="K134" s="76" t="s">
        <v>1293</v>
      </c>
    </row>
    <row r="136" spans="1:18" x14ac:dyDescent="0.15">
      <c r="C136" s="126" t="s">
        <v>518</v>
      </c>
      <c r="D136" s="127">
        <f>SSRGTProbability(D98:D125,D127)</f>
        <v>0.17857142857142858</v>
      </c>
      <c r="E136" s="127">
        <f>SSRGTProbability(E98:E125,E127)</f>
        <v>0.21556122448979592</v>
      </c>
      <c r="F136" s="127">
        <f>SSRGTProbability(F98:F125,F127)</f>
        <v>0.15497448979591838</v>
      </c>
      <c r="G136" s="127">
        <f>SSRGTProbability(G98:G125,G127)</f>
        <v>0.58960459183673475</v>
      </c>
      <c r="H136" s="127">
        <f>SSRGTProbability(H98:H125,H127)</f>
        <v>0.125</v>
      </c>
      <c r="K136" s="126" t="s">
        <v>519</v>
      </c>
      <c r="L136" s="128">
        <f>SNPGTProbability(L98:L125,L127)</f>
        <v>0.25</v>
      </c>
      <c r="M136" s="128">
        <f>SNPGTProbability(M98:M125,M127)</f>
        <v>0.48405612244897961</v>
      </c>
      <c r="N136" s="128">
        <f>SNPGTProbability(N98:N125,N127)</f>
        <v>0.53603316326530603</v>
      </c>
      <c r="O136" s="128">
        <f>SNPGTProbability(O98:O125,O127)</f>
        <v>0.44834183673469391</v>
      </c>
      <c r="P136" s="128">
        <f>SNPGTProbability(P98:P125,P127)</f>
        <v>0.51020408163265307</v>
      </c>
    </row>
    <row r="139" spans="1:18" x14ac:dyDescent="0.15">
      <c r="A139" s="66" t="s">
        <v>399</v>
      </c>
      <c r="B139" s="67" t="s">
        <v>722</v>
      </c>
      <c r="C139" s="67"/>
      <c r="D139" s="67"/>
      <c r="E139" s="67"/>
      <c r="F139" s="67"/>
      <c r="G139" s="68"/>
      <c r="H139" s="67"/>
      <c r="I139" s="67"/>
      <c r="J139" s="68"/>
      <c r="K139" s="67"/>
      <c r="L139" s="67"/>
      <c r="M139" s="67"/>
      <c r="N139" s="67"/>
      <c r="O139" s="67"/>
      <c r="P139" s="67"/>
      <c r="Q139" s="67"/>
    </row>
    <row r="140" spans="1:18" x14ac:dyDescent="0.15">
      <c r="B140" s="14" t="s">
        <v>723</v>
      </c>
    </row>
    <row r="141" spans="1:18" x14ac:dyDescent="0.15">
      <c r="B141" s="14" t="s">
        <v>724</v>
      </c>
    </row>
    <row r="143" spans="1:18" x14ac:dyDescent="0.15">
      <c r="B143" s="69" t="s">
        <v>879</v>
      </c>
      <c r="C143" s="58"/>
      <c r="D143" s="70" t="s">
        <v>1374</v>
      </c>
      <c r="E143" s="59"/>
      <c r="F143" s="58"/>
      <c r="G143" s="58"/>
      <c r="H143" s="58"/>
      <c r="I143" s="71"/>
      <c r="K143" s="69" t="s">
        <v>879</v>
      </c>
      <c r="L143" s="58"/>
      <c r="M143" s="70" t="s">
        <v>1375</v>
      </c>
      <c r="N143" s="59"/>
      <c r="O143" s="58"/>
      <c r="P143" s="58"/>
      <c r="Q143" s="58"/>
      <c r="R143" s="71"/>
    </row>
    <row r="144" spans="1:18" x14ac:dyDescent="0.15">
      <c r="B144" s="72" t="s">
        <v>1042</v>
      </c>
      <c r="C144" s="32"/>
      <c r="D144" s="32" t="s">
        <v>1376</v>
      </c>
      <c r="E144" s="61"/>
      <c r="F144" s="32"/>
      <c r="G144" s="32"/>
      <c r="H144" s="32"/>
      <c r="I144" s="73"/>
      <c r="K144" s="72" t="s">
        <v>1042</v>
      </c>
      <c r="L144" s="32"/>
      <c r="M144" s="32" t="s">
        <v>1377</v>
      </c>
      <c r="N144" s="61"/>
      <c r="O144" s="32"/>
      <c r="P144" s="32"/>
      <c r="Q144" s="32"/>
      <c r="R144" s="73"/>
    </row>
    <row r="145" spans="2:18" x14ac:dyDescent="0.15">
      <c r="B145" s="72"/>
      <c r="C145" s="32"/>
      <c r="D145" s="32" t="s">
        <v>1378</v>
      </c>
      <c r="E145" s="61"/>
      <c r="F145" s="32"/>
      <c r="G145" s="32"/>
      <c r="H145" s="32"/>
      <c r="I145" s="73"/>
      <c r="K145" s="72"/>
      <c r="L145" s="32"/>
      <c r="M145" s="32" t="s">
        <v>1379</v>
      </c>
      <c r="N145" s="61"/>
      <c r="O145" s="32"/>
      <c r="P145" s="32"/>
      <c r="Q145" s="32"/>
      <c r="R145" s="73"/>
    </row>
    <row r="146" spans="2:18" x14ac:dyDescent="0.15">
      <c r="B146" s="72"/>
      <c r="C146" s="32"/>
      <c r="D146" s="32" t="s">
        <v>1380</v>
      </c>
      <c r="E146" s="61"/>
      <c r="F146" s="32"/>
      <c r="G146" s="32"/>
      <c r="H146" s="32"/>
      <c r="I146" s="73"/>
      <c r="K146" s="72"/>
      <c r="L146" s="32"/>
      <c r="M146" s="32" t="s">
        <v>1381</v>
      </c>
      <c r="N146" s="32"/>
      <c r="O146" s="32"/>
      <c r="P146" s="32"/>
      <c r="Q146" s="32"/>
      <c r="R146" s="73"/>
    </row>
    <row r="147" spans="2:18" x14ac:dyDescent="0.15">
      <c r="B147" s="74" t="s">
        <v>887</v>
      </c>
      <c r="C147" s="62"/>
      <c r="D147" s="62" t="s">
        <v>1085</v>
      </c>
      <c r="E147" s="63"/>
      <c r="F147" s="62"/>
      <c r="G147" s="62"/>
      <c r="H147" s="62"/>
      <c r="I147" s="75"/>
      <c r="K147" s="74" t="s">
        <v>887</v>
      </c>
      <c r="L147" s="62"/>
      <c r="M147" s="62" t="s">
        <v>1085</v>
      </c>
      <c r="N147" s="63"/>
      <c r="O147" s="62"/>
      <c r="P147" s="62"/>
      <c r="Q147" s="62"/>
      <c r="R147" s="75"/>
    </row>
    <row r="149" spans="2:18" x14ac:dyDescent="0.15">
      <c r="C149" s="76" t="s">
        <v>1292</v>
      </c>
      <c r="K149" s="76" t="s">
        <v>1293</v>
      </c>
    </row>
    <row r="151" spans="2:18" x14ac:dyDescent="0.15">
      <c r="C151" s="62"/>
      <c r="D151" s="57" t="s">
        <v>188</v>
      </c>
      <c r="E151" s="57" t="s">
        <v>189</v>
      </c>
      <c r="F151" s="57" t="s">
        <v>190</v>
      </c>
      <c r="G151" s="57" t="s">
        <v>210</v>
      </c>
      <c r="H151" s="57" t="s">
        <v>211</v>
      </c>
      <c r="K151" s="62"/>
      <c r="L151" s="57" t="s">
        <v>188</v>
      </c>
      <c r="M151" s="57" t="s">
        <v>189</v>
      </c>
      <c r="N151" s="57" t="s">
        <v>190</v>
      </c>
      <c r="O151" s="57" t="s">
        <v>210</v>
      </c>
      <c r="P151" s="57" t="s">
        <v>211</v>
      </c>
    </row>
    <row r="152" spans="2:18" x14ac:dyDescent="0.25">
      <c r="C152" s="118" t="s">
        <v>521</v>
      </c>
      <c r="D152" s="88" t="s">
        <v>229</v>
      </c>
      <c r="E152" s="88" t="s">
        <v>244</v>
      </c>
      <c r="F152" s="88" t="s">
        <v>235</v>
      </c>
      <c r="G152" s="88" t="s">
        <v>221</v>
      </c>
      <c r="H152" s="88" t="s">
        <v>246</v>
      </c>
      <c r="K152" s="118" t="s">
        <v>521</v>
      </c>
      <c r="L152" s="60" t="s">
        <v>46</v>
      </c>
      <c r="M152" s="60" t="s">
        <v>204</v>
      </c>
      <c r="N152" s="60" t="s">
        <v>46</v>
      </c>
      <c r="O152" s="60" t="s">
        <v>208</v>
      </c>
      <c r="P152" s="60" t="s">
        <v>116</v>
      </c>
    </row>
    <row r="153" spans="2:18" x14ac:dyDescent="0.25">
      <c r="C153" s="119" t="s">
        <v>515</v>
      </c>
      <c r="D153" s="89" t="s">
        <v>218</v>
      </c>
      <c r="E153" s="89" t="s">
        <v>250</v>
      </c>
      <c r="F153" s="89" t="s">
        <v>239</v>
      </c>
      <c r="G153" s="89" t="s">
        <v>221</v>
      </c>
      <c r="H153" s="89" t="s">
        <v>228</v>
      </c>
      <c r="K153" s="119" t="s">
        <v>515</v>
      </c>
      <c r="L153" s="64" t="s">
        <v>116</v>
      </c>
      <c r="M153" s="64" t="s">
        <v>204</v>
      </c>
      <c r="N153" s="64" t="s">
        <v>116</v>
      </c>
      <c r="O153" s="64" t="s">
        <v>205</v>
      </c>
      <c r="P153" s="64" t="s">
        <v>116</v>
      </c>
    </row>
    <row r="155" spans="2:18" x14ac:dyDescent="0.15">
      <c r="C155" s="126" t="s">
        <v>522</v>
      </c>
      <c r="D155" s="128">
        <f>SSRParentageProbability(D153,D152,D98:D125)</f>
        <v>0.25</v>
      </c>
      <c r="E155" s="128">
        <f>SSRParentageProbability(E153,E152,E98:E125)</f>
        <v>0.23214285714285715</v>
      </c>
      <c r="F155" s="128">
        <f>SSRParentageProbability(F153,F152,F98:F125)</f>
        <v>0.16071428571428573</v>
      </c>
      <c r="G155" s="128">
        <f>SSRParentageProbability(G153,G152,G98:G125)</f>
        <v>0.7678571428571429</v>
      </c>
      <c r="H155" s="128">
        <f>SSRParentageProbability(H153,H152,H98:H125)</f>
        <v>0.25</v>
      </c>
      <c r="K155" s="126" t="s">
        <v>636</v>
      </c>
      <c r="L155" s="128">
        <f>SNPParentageProbability(L153,L152,L98:L125)</f>
        <v>0.25</v>
      </c>
      <c r="M155" s="128">
        <f>SNPParentageProbability(M153,M152,M98:M125)</f>
        <v>0.5</v>
      </c>
      <c r="N155" s="128">
        <f>SNPParentageProbability(N153,N152,N98:N125)</f>
        <v>0.36607142857142855</v>
      </c>
      <c r="O155" s="128">
        <f>SNPParentageProbability(O153,O152,O98:O125)</f>
        <v>0.3392857142857143</v>
      </c>
      <c r="P155" s="128">
        <f>SNPParentageProbability(P153,P152,P98:P125)</f>
        <v>0.7142857142857143</v>
      </c>
    </row>
  </sheetData>
  <mergeCells count="1">
    <mergeCell ref="B5:J5"/>
  </mergeCells>
  <phoneticPr fontId="1"/>
  <conditionalFormatting sqref="D98:H98">
    <cfRule type="cellIs" dxfId="19" priority="24" stopIfTrue="1" operator="equal">
      <formula>"/"</formula>
    </cfRule>
  </conditionalFormatting>
  <conditionalFormatting sqref="D102:H103">
    <cfRule type="cellIs" dxfId="18" priority="21" stopIfTrue="1" operator="equal">
      <formula>"/"</formula>
    </cfRule>
  </conditionalFormatting>
  <conditionalFormatting sqref="D99:H99">
    <cfRule type="cellIs" dxfId="17" priority="23" stopIfTrue="1" operator="equal">
      <formula>"/"</formula>
    </cfRule>
  </conditionalFormatting>
  <conditionalFormatting sqref="D100:H101">
    <cfRule type="cellIs" dxfId="16" priority="22" stopIfTrue="1" operator="equal">
      <formula>"/"</formula>
    </cfRule>
  </conditionalFormatting>
  <conditionalFormatting sqref="D104:H122">
    <cfRule type="cellIs" dxfId="15" priority="20" stopIfTrue="1" operator="equal">
      <formula>"/"</formula>
    </cfRule>
  </conditionalFormatting>
  <conditionalFormatting sqref="D123:H125">
    <cfRule type="cellIs" dxfId="14" priority="19" stopIfTrue="1" operator="equal">
      <formula>"/"</formula>
    </cfRule>
  </conditionalFormatting>
  <conditionalFormatting sqref="D86:E86 E84 G84:H84 G86:H86 G85">
    <cfRule type="cellIs" dxfId="13" priority="18" stopIfTrue="1" operator="equal">
      <formula>"/"</formula>
    </cfRule>
  </conditionalFormatting>
  <conditionalFormatting sqref="D84">
    <cfRule type="cellIs" dxfId="12" priority="17" stopIfTrue="1" operator="equal">
      <formula>"/"</formula>
    </cfRule>
  </conditionalFormatting>
  <conditionalFormatting sqref="D85">
    <cfRule type="cellIs" dxfId="11" priority="16" stopIfTrue="1" operator="equal">
      <formula>"/"</formula>
    </cfRule>
  </conditionalFormatting>
  <conditionalFormatting sqref="E85">
    <cfRule type="cellIs" dxfId="10" priority="15" stopIfTrue="1" operator="equal">
      <formula>"/"</formula>
    </cfRule>
  </conditionalFormatting>
  <conditionalFormatting sqref="F86">
    <cfRule type="cellIs" dxfId="9" priority="14" stopIfTrue="1" operator="equal">
      <formula>"/"</formula>
    </cfRule>
  </conditionalFormatting>
  <conditionalFormatting sqref="F85">
    <cfRule type="cellIs" dxfId="8" priority="13" stopIfTrue="1" operator="equal">
      <formula>"/"</formula>
    </cfRule>
  </conditionalFormatting>
  <conditionalFormatting sqref="F84">
    <cfRule type="cellIs" dxfId="7" priority="12" stopIfTrue="1" operator="equal">
      <formula>"/"</formula>
    </cfRule>
  </conditionalFormatting>
  <conditionalFormatting sqref="H85">
    <cfRule type="cellIs" dxfId="6" priority="11" stopIfTrue="1" operator="equal">
      <formula>"/"</formula>
    </cfRule>
  </conditionalFormatting>
  <conditionalFormatting sqref="D127:E127 G127:H127">
    <cfRule type="cellIs" dxfId="5" priority="10" stopIfTrue="1" operator="equal">
      <formula>"/"</formula>
    </cfRule>
  </conditionalFormatting>
  <conditionalFormatting sqref="F127">
    <cfRule type="cellIs" dxfId="4" priority="9" stopIfTrue="1" operator="equal">
      <formula>"/"</formula>
    </cfRule>
  </conditionalFormatting>
  <conditionalFormatting sqref="D153:E153 E152 G152:H153">
    <cfRule type="cellIs" dxfId="3" priority="8" stopIfTrue="1" operator="equal">
      <formula>"/"</formula>
    </cfRule>
  </conditionalFormatting>
  <conditionalFormatting sqref="D152">
    <cfRule type="cellIs" dxfId="2" priority="7" stopIfTrue="1" operator="equal">
      <formula>"/"</formula>
    </cfRule>
  </conditionalFormatting>
  <conditionalFormatting sqref="F153">
    <cfRule type="cellIs" dxfId="1" priority="4" stopIfTrue="1" operator="equal">
      <formula>"/"</formula>
    </cfRule>
  </conditionalFormatting>
  <conditionalFormatting sqref="F152">
    <cfRule type="cellIs" dxfId="0" priority="2" stopIfTrue="1" operator="equal">
      <formula>"/"</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540"/>
  <sheetViews>
    <sheetView tabSelected="1" topLeftCell="A281" workbookViewId="0">
      <selection activeCell="D6" sqref="D6"/>
    </sheetView>
  </sheetViews>
  <sheetFormatPr defaultRowHeight="15.75" x14ac:dyDescent="0.15"/>
  <cols>
    <col min="1" max="1" width="8.75" style="14" customWidth="1"/>
    <col min="2" max="2" width="4.375" style="14" customWidth="1"/>
    <col min="3" max="3" width="6" style="14" customWidth="1"/>
    <col min="4" max="4" width="15.375" style="14" customWidth="1"/>
    <col min="5" max="5" width="9.625" style="14" bestFit="1" customWidth="1"/>
    <col min="6" max="16384" width="9" style="14"/>
  </cols>
  <sheetData>
    <row r="1" spans="1:17" ht="18.75" x14ac:dyDescent="0.15">
      <c r="A1" s="253" t="s">
        <v>129</v>
      </c>
      <c r="F1" s="17"/>
      <c r="I1" s="17" t="s">
        <v>130</v>
      </c>
      <c r="J1" s="14" t="str">
        <f>GUGS()</f>
        <v>GUGS: ver. 1.00</v>
      </c>
      <c r="K1" s="17"/>
      <c r="M1" s="17"/>
    </row>
    <row r="2" spans="1:17" x14ac:dyDescent="0.15">
      <c r="A2" s="16"/>
      <c r="F2" s="17"/>
      <c r="I2" s="17"/>
      <c r="K2" s="17"/>
      <c r="M2" s="17"/>
    </row>
    <row r="3" spans="1:17" x14ac:dyDescent="0.15">
      <c r="A3" s="47" t="s">
        <v>1219</v>
      </c>
      <c r="B3" s="48"/>
      <c r="C3" s="48"/>
      <c r="D3" s="48"/>
      <c r="E3" s="48"/>
      <c r="F3" s="49"/>
      <c r="G3" s="48"/>
      <c r="H3" s="48"/>
      <c r="I3" s="49"/>
      <c r="J3" s="48"/>
      <c r="K3" s="49"/>
      <c r="L3" s="48"/>
      <c r="M3" s="49"/>
      <c r="N3" s="48"/>
      <c r="O3" s="48"/>
      <c r="P3" s="48"/>
      <c r="Q3" s="48"/>
    </row>
    <row r="5" spans="1:17" ht="36.75" customHeight="1" x14ac:dyDescent="0.15">
      <c r="B5" s="284" t="s">
        <v>1576</v>
      </c>
      <c r="C5" s="284"/>
      <c r="D5" s="284"/>
      <c r="E5" s="284"/>
      <c r="F5" s="284"/>
      <c r="G5" s="284"/>
      <c r="H5" s="284"/>
      <c r="I5" s="284"/>
      <c r="J5" s="284"/>
    </row>
    <row r="8" spans="1:17" x14ac:dyDescent="0.15">
      <c r="A8" s="66" t="s">
        <v>395</v>
      </c>
      <c r="B8" s="67" t="s">
        <v>1093</v>
      </c>
      <c r="C8" s="67"/>
      <c r="D8" s="67"/>
      <c r="E8" s="67"/>
      <c r="F8" s="68"/>
      <c r="G8" s="67"/>
      <c r="H8" s="67"/>
      <c r="I8" s="68"/>
      <c r="J8" s="67"/>
      <c r="K8" s="68"/>
      <c r="L8" s="67"/>
      <c r="M8" s="68"/>
      <c r="N8" s="67"/>
      <c r="O8" s="67"/>
      <c r="P8" s="67"/>
      <c r="Q8" s="67"/>
    </row>
    <row r="9" spans="1:17" x14ac:dyDescent="0.15">
      <c r="C9" s="14" t="s">
        <v>878</v>
      </c>
    </row>
    <row r="11" spans="1:17" x14ac:dyDescent="0.15">
      <c r="D11" s="69" t="s">
        <v>879</v>
      </c>
      <c r="E11" s="70" t="s">
        <v>1385</v>
      </c>
      <c r="F11" s="58"/>
      <c r="G11" s="58"/>
      <c r="H11" s="58"/>
      <c r="I11" s="71"/>
    </row>
    <row r="12" spans="1:17" x14ac:dyDescent="0.15">
      <c r="D12" s="72" t="s">
        <v>886</v>
      </c>
      <c r="E12" s="32" t="s">
        <v>1386</v>
      </c>
      <c r="F12" s="32"/>
      <c r="G12" s="32"/>
      <c r="H12" s="32"/>
      <c r="I12" s="73"/>
    </row>
    <row r="13" spans="1:17" x14ac:dyDescent="0.15">
      <c r="D13" s="74" t="s">
        <v>887</v>
      </c>
      <c r="E13" s="62" t="s">
        <v>1103</v>
      </c>
      <c r="F13" s="62"/>
      <c r="G13" s="62"/>
      <c r="H13" s="62"/>
      <c r="I13" s="75"/>
    </row>
    <row r="15" spans="1:17" x14ac:dyDescent="0.15">
      <c r="D15" s="114"/>
      <c r="E15" s="129" t="s">
        <v>880</v>
      </c>
    </row>
    <row r="16" spans="1:17" x14ac:dyDescent="0.15">
      <c r="D16" s="130" t="s">
        <v>881</v>
      </c>
      <c r="E16" s="78" t="s">
        <v>882</v>
      </c>
    </row>
    <row r="17" spans="1:17" x14ac:dyDescent="0.15">
      <c r="D17" s="131" t="s">
        <v>11</v>
      </c>
      <c r="E17" s="81" t="str">
        <f>compnuc(D17)</f>
        <v>T</v>
      </c>
    </row>
    <row r="18" spans="1:17" x14ac:dyDescent="0.15">
      <c r="D18" s="131" t="s">
        <v>85</v>
      </c>
      <c r="E18" s="81" t="str">
        <f t="shared" ref="E18:E20" si="0">compnuc(D18)</f>
        <v>G</v>
      </c>
    </row>
    <row r="19" spans="1:17" x14ac:dyDescent="0.15">
      <c r="D19" s="131" t="s">
        <v>883</v>
      </c>
      <c r="E19" s="81" t="str">
        <f t="shared" si="0"/>
        <v>C</v>
      </c>
    </row>
    <row r="20" spans="1:17" x14ac:dyDescent="0.15">
      <c r="D20" s="131" t="s">
        <v>83</v>
      </c>
      <c r="E20" s="81" t="str">
        <f t="shared" si="0"/>
        <v>A</v>
      </c>
    </row>
    <row r="21" spans="1:17" x14ac:dyDescent="0.15">
      <c r="D21" s="131" t="s">
        <v>90</v>
      </c>
      <c r="E21" s="81" t="str">
        <f>compnuc(D21)</f>
        <v>N</v>
      </c>
    </row>
    <row r="22" spans="1:17" x14ac:dyDescent="0.15">
      <c r="D22" s="131" t="s">
        <v>885</v>
      </c>
      <c r="E22" s="81" t="str">
        <f>compnuc(D22)</f>
        <v>T</v>
      </c>
      <c r="F22" s="14" t="s">
        <v>1116</v>
      </c>
    </row>
    <row r="23" spans="1:17" x14ac:dyDescent="0.15">
      <c r="D23" s="132" t="s">
        <v>153</v>
      </c>
      <c r="E23" s="84" t="str">
        <f>compnuc(D23)</f>
        <v>*</v>
      </c>
      <c r="F23" s="14" t="s">
        <v>884</v>
      </c>
    </row>
    <row r="26" spans="1:17" x14ac:dyDescent="0.15">
      <c r="A26" s="66" t="s">
        <v>1018</v>
      </c>
      <c r="B26" s="67" t="s">
        <v>905</v>
      </c>
      <c r="C26" s="67"/>
      <c r="D26" s="67"/>
      <c r="E26" s="67"/>
      <c r="F26" s="68"/>
      <c r="G26" s="67"/>
      <c r="H26" s="67"/>
      <c r="I26" s="68"/>
      <c r="J26" s="67"/>
      <c r="K26" s="68"/>
      <c r="L26" s="67"/>
      <c r="M26" s="68"/>
      <c r="N26" s="67"/>
      <c r="O26" s="67"/>
      <c r="P26" s="67"/>
      <c r="Q26" s="67"/>
    </row>
    <row r="27" spans="1:17" x14ac:dyDescent="0.15">
      <c r="C27" s="14" t="s">
        <v>906</v>
      </c>
    </row>
    <row r="28" spans="1:17" x14ac:dyDescent="0.15">
      <c r="C28" s="14" t="s">
        <v>1092</v>
      </c>
    </row>
    <row r="30" spans="1:17" x14ac:dyDescent="0.15">
      <c r="D30" s="69" t="s">
        <v>879</v>
      </c>
      <c r="E30" s="70" t="s">
        <v>1387</v>
      </c>
      <c r="F30" s="58"/>
      <c r="G30" s="58"/>
      <c r="H30" s="71"/>
    </row>
    <row r="31" spans="1:17" x14ac:dyDescent="0.15">
      <c r="D31" s="72" t="s">
        <v>886</v>
      </c>
      <c r="E31" s="32" t="s">
        <v>1388</v>
      </c>
      <c r="F31" s="32"/>
      <c r="G31" s="32"/>
      <c r="H31" s="73"/>
    </row>
    <row r="32" spans="1:17" x14ac:dyDescent="0.15">
      <c r="D32" s="74" t="s">
        <v>887</v>
      </c>
      <c r="E32" s="62" t="s">
        <v>907</v>
      </c>
      <c r="F32" s="62"/>
      <c r="G32" s="62"/>
      <c r="H32" s="75"/>
    </row>
    <row r="34" spans="1:17" x14ac:dyDescent="0.15">
      <c r="D34" s="114"/>
      <c r="E34" s="129" t="s">
        <v>908</v>
      </c>
    </row>
    <row r="35" spans="1:17" x14ac:dyDescent="0.15">
      <c r="D35" s="130" t="s">
        <v>881</v>
      </c>
      <c r="E35" s="130"/>
      <c r="F35" s="78" t="s">
        <v>882</v>
      </c>
      <c r="G35" s="78"/>
    </row>
    <row r="36" spans="1:17" x14ac:dyDescent="0.15">
      <c r="D36" s="133" t="s">
        <v>890</v>
      </c>
      <c r="E36" s="131"/>
      <c r="F36" s="134" t="str">
        <f>comp(D36)</f>
        <v>TGCA</v>
      </c>
      <c r="G36" s="81"/>
      <c r="H36" s="14" t="s">
        <v>899</v>
      </c>
    </row>
    <row r="37" spans="1:17" x14ac:dyDescent="0.15">
      <c r="D37" s="133" t="s">
        <v>891</v>
      </c>
      <c r="E37" s="131"/>
      <c r="F37" s="134" t="str">
        <f t="shared" ref="F37:F42" si="1">comp(D37)</f>
        <v>GTTCGATGT</v>
      </c>
      <c r="G37" s="81"/>
      <c r="H37" s="14" t="s">
        <v>900</v>
      </c>
    </row>
    <row r="38" spans="1:17" x14ac:dyDescent="0.15">
      <c r="D38" s="133" t="s">
        <v>893</v>
      </c>
      <c r="E38" s="131"/>
      <c r="F38" s="134" t="str">
        <f t="shared" si="1"/>
        <v>***GN**T</v>
      </c>
      <c r="G38" s="81"/>
      <c r="H38" s="14" t="s">
        <v>910</v>
      </c>
    </row>
    <row r="39" spans="1:17" x14ac:dyDescent="0.15">
      <c r="D39" s="133" t="s">
        <v>898</v>
      </c>
      <c r="E39" s="133"/>
      <c r="F39" s="134" t="str">
        <f t="shared" si="1"/>
        <v>TTTCA</v>
      </c>
      <c r="G39" s="81"/>
      <c r="H39" s="14" t="s">
        <v>915</v>
      </c>
    </row>
    <row r="40" spans="1:17" x14ac:dyDescent="0.15">
      <c r="D40" s="133" t="s">
        <v>897</v>
      </c>
      <c r="E40" s="133"/>
      <c r="F40" s="134" t="str">
        <f t="shared" si="1"/>
        <v>TAANGG</v>
      </c>
      <c r="G40" s="81"/>
      <c r="H40" s="14" t="s">
        <v>914</v>
      </c>
    </row>
    <row r="41" spans="1:17" x14ac:dyDescent="0.15">
      <c r="D41" s="133"/>
      <c r="E41" s="133"/>
      <c r="F41" s="134" t="str">
        <f t="shared" si="1"/>
        <v/>
      </c>
      <c r="G41" s="81"/>
      <c r="H41" s="14" t="s">
        <v>904</v>
      </c>
    </row>
    <row r="42" spans="1:17" x14ac:dyDescent="0.15">
      <c r="D42" s="135">
        <v>123</v>
      </c>
      <c r="E42" s="135"/>
      <c r="F42" s="136" t="str">
        <f t="shared" si="1"/>
        <v>***</v>
      </c>
      <c r="G42" s="84"/>
      <c r="H42" s="14" t="s">
        <v>884</v>
      </c>
    </row>
    <row r="45" spans="1:17" x14ac:dyDescent="0.15">
      <c r="A45" s="66" t="s">
        <v>397</v>
      </c>
      <c r="B45" s="67" t="s">
        <v>888</v>
      </c>
      <c r="C45" s="67"/>
      <c r="D45" s="67"/>
      <c r="E45" s="67"/>
      <c r="F45" s="68"/>
      <c r="G45" s="67"/>
      <c r="H45" s="67"/>
      <c r="I45" s="68"/>
      <c r="J45" s="67"/>
      <c r="K45" s="68"/>
      <c r="L45" s="67"/>
      <c r="M45" s="68"/>
      <c r="N45" s="67"/>
      <c r="O45" s="67"/>
      <c r="P45" s="67"/>
      <c r="Q45" s="67"/>
    </row>
    <row r="46" spans="1:17" x14ac:dyDescent="0.15">
      <c r="C46" s="14" t="s">
        <v>894</v>
      </c>
    </row>
    <row r="47" spans="1:17" x14ac:dyDescent="0.15">
      <c r="C47" s="14" t="s">
        <v>895</v>
      </c>
    </row>
    <row r="49" spans="1:17" x14ac:dyDescent="0.15">
      <c r="D49" s="69" t="s">
        <v>879</v>
      </c>
      <c r="E49" s="70" t="s">
        <v>1389</v>
      </c>
      <c r="F49" s="58"/>
      <c r="G49" s="58"/>
      <c r="H49" s="71"/>
    </row>
    <row r="50" spans="1:17" x14ac:dyDescent="0.15">
      <c r="D50" s="72" t="s">
        <v>886</v>
      </c>
      <c r="E50" s="32" t="s">
        <v>1390</v>
      </c>
      <c r="F50" s="32"/>
      <c r="G50" s="32"/>
      <c r="H50" s="73"/>
    </row>
    <row r="51" spans="1:17" x14ac:dyDescent="0.15">
      <c r="D51" s="74" t="s">
        <v>887</v>
      </c>
      <c r="E51" s="62" t="s">
        <v>896</v>
      </c>
      <c r="F51" s="62"/>
      <c r="G51" s="62"/>
      <c r="H51" s="75"/>
    </row>
    <row r="53" spans="1:17" x14ac:dyDescent="0.15">
      <c r="D53" s="114"/>
      <c r="E53" s="129" t="s">
        <v>889</v>
      </c>
    </row>
    <row r="54" spans="1:17" x14ac:dyDescent="0.15">
      <c r="D54" s="130" t="s">
        <v>881</v>
      </c>
      <c r="E54" s="130"/>
      <c r="F54" s="78" t="s">
        <v>882</v>
      </c>
      <c r="G54" s="78"/>
    </row>
    <row r="55" spans="1:17" x14ac:dyDescent="0.15">
      <c r="D55" s="133" t="s">
        <v>890</v>
      </c>
      <c r="E55" s="131"/>
      <c r="F55" s="134" t="str">
        <f>reverse(D55)</f>
        <v>TGCA</v>
      </c>
      <c r="G55" s="81"/>
      <c r="H55" s="14" t="s">
        <v>899</v>
      </c>
    </row>
    <row r="56" spans="1:17" x14ac:dyDescent="0.15">
      <c r="D56" s="133" t="s">
        <v>891</v>
      </c>
      <c r="E56" s="131"/>
      <c r="F56" s="134" t="str">
        <f t="shared" ref="F56:F61" si="2">reverse(D56)</f>
        <v>ACATCGAAC</v>
      </c>
      <c r="G56" s="81"/>
      <c r="H56" s="14" t="s">
        <v>900</v>
      </c>
    </row>
    <row r="57" spans="1:17" x14ac:dyDescent="0.15">
      <c r="D57" s="133" t="s">
        <v>893</v>
      </c>
      <c r="E57" s="131"/>
      <c r="F57" s="81" t="str">
        <f t="shared" si="2"/>
        <v>ARLNCQLK</v>
      </c>
      <c r="G57" s="81"/>
      <c r="H57" s="14" t="s">
        <v>901</v>
      </c>
    </row>
    <row r="58" spans="1:17" x14ac:dyDescent="0.15">
      <c r="D58" s="133" t="s">
        <v>898</v>
      </c>
      <c r="E58" s="133"/>
      <c r="F58" s="134" t="str">
        <f t="shared" si="2"/>
        <v>UGAAA</v>
      </c>
      <c r="G58" s="81"/>
      <c r="H58" s="14" t="s">
        <v>902</v>
      </c>
    </row>
    <row r="59" spans="1:17" x14ac:dyDescent="0.15">
      <c r="D59" s="133" t="s">
        <v>897</v>
      </c>
      <c r="E59" s="133"/>
      <c r="F59" s="134" t="str">
        <f t="shared" si="2"/>
        <v>CCNTTA</v>
      </c>
      <c r="G59" s="81"/>
      <c r="H59" s="14" t="s">
        <v>903</v>
      </c>
    </row>
    <row r="60" spans="1:17" x14ac:dyDescent="0.15">
      <c r="D60" s="133"/>
      <c r="E60" s="133"/>
      <c r="F60" s="134"/>
      <c r="G60" s="81"/>
      <c r="H60" s="14" t="s">
        <v>904</v>
      </c>
    </row>
    <row r="61" spans="1:17" x14ac:dyDescent="0.15">
      <c r="D61" s="135">
        <v>123</v>
      </c>
      <c r="E61" s="135"/>
      <c r="F61" s="136" t="str">
        <f t="shared" si="2"/>
        <v>***</v>
      </c>
      <c r="G61" s="84"/>
      <c r="H61" s="14" t="s">
        <v>884</v>
      </c>
    </row>
    <row r="64" spans="1:17" x14ac:dyDescent="0.15">
      <c r="A64" s="66" t="s">
        <v>398</v>
      </c>
      <c r="B64" s="67" t="s">
        <v>911</v>
      </c>
      <c r="C64" s="67"/>
      <c r="D64" s="67"/>
      <c r="E64" s="67"/>
      <c r="F64" s="68"/>
      <c r="G64" s="67"/>
      <c r="H64" s="67"/>
      <c r="I64" s="68"/>
      <c r="J64" s="67"/>
      <c r="K64" s="68"/>
      <c r="L64" s="67"/>
      <c r="M64" s="68"/>
      <c r="N64" s="67"/>
      <c r="O64" s="67"/>
      <c r="P64" s="67"/>
      <c r="Q64" s="67"/>
    </row>
    <row r="65" spans="3:8" x14ac:dyDescent="0.15">
      <c r="C65" s="14" t="s">
        <v>1096</v>
      </c>
    </row>
    <row r="66" spans="3:8" x14ac:dyDescent="0.15">
      <c r="C66" s="14" t="s">
        <v>1092</v>
      </c>
    </row>
    <row r="68" spans="3:8" x14ac:dyDescent="0.15">
      <c r="D68" s="69" t="s">
        <v>879</v>
      </c>
      <c r="E68" s="70" t="s">
        <v>1391</v>
      </c>
      <c r="F68" s="58"/>
      <c r="G68" s="58"/>
      <c r="H68" s="71"/>
    </row>
    <row r="69" spans="3:8" x14ac:dyDescent="0.15">
      <c r="D69" s="72" t="s">
        <v>886</v>
      </c>
      <c r="E69" s="32" t="s">
        <v>1392</v>
      </c>
      <c r="F69" s="32"/>
      <c r="G69" s="32"/>
      <c r="H69" s="73"/>
    </row>
    <row r="70" spans="3:8" x14ac:dyDescent="0.15">
      <c r="D70" s="74" t="s">
        <v>887</v>
      </c>
      <c r="E70" s="62" t="s">
        <v>1094</v>
      </c>
      <c r="F70" s="62"/>
      <c r="G70" s="62"/>
      <c r="H70" s="75"/>
    </row>
    <row r="72" spans="3:8" x14ac:dyDescent="0.15">
      <c r="D72" s="114"/>
      <c r="E72" s="129" t="s">
        <v>913</v>
      </c>
    </row>
    <row r="73" spans="3:8" x14ac:dyDescent="0.15">
      <c r="D73" s="130" t="s">
        <v>881</v>
      </c>
      <c r="E73" s="130"/>
      <c r="F73" s="78" t="s">
        <v>882</v>
      </c>
      <c r="G73" s="78"/>
    </row>
    <row r="74" spans="3:8" x14ac:dyDescent="0.15">
      <c r="D74" s="133" t="s">
        <v>890</v>
      </c>
      <c r="E74" s="131"/>
      <c r="F74" s="134" t="str">
        <f>revcomp(D74)</f>
        <v>ACGT</v>
      </c>
      <c r="G74" s="81"/>
      <c r="H74" s="14" t="s">
        <v>899</v>
      </c>
    </row>
    <row r="75" spans="3:8" x14ac:dyDescent="0.15">
      <c r="D75" s="133" t="s">
        <v>891</v>
      </c>
      <c r="E75" s="131"/>
      <c r="F75" s="134" t="str">
        <f t="shared" ref="F75:F80" si="3">revcomp(D75)</f>
        <v>TGTAGCTTG</v>
      </c>
      <c r="G75" s="81"/>
      <c r="H75" s="14" t="s">
        <v>900</v>
      </c>
    </row>
    <row r="76" spans="3:8" x14ac:dyDescent="0.15">
      <c r="D76" s="133" t="s">
        <v>893</v>
      </c>
      <c r="E76" s="131"/>
      <c r="F76" s="134" t="str">
        <f t="shared" si="3"/>
        <v>T**NG***</v>
      </c>
      <c r="G76" s="81"/>
      <c r="H76" s="14" t="s">
        <v>910</v>
      </c>
    </row>
    <row r="77" spans="3:8" x14ac:dyDescent="0.15">
      <c r="D77" s="133" t="s">
        <v>898</v>
      </c>
      <c r="E77" s="133"/>
      <c r="F77" s="134" t="str">
        <f t="shared" si="3"/>
        <v>ACTTT</v>
      </c>
      <c r="G77" s="81"/>
      <c r="H77" s="14" t="s">
        <v>915</v>
      </c>
    </row>
    <row r="78" spans="3:8" x14ac:dyDescent="0.15">
      <c r="D78" s="133" t="s">
        <v>897</v>
      </c>
      <c r="E78" s="133"/>
      <c r="F78" s="134" t="str">
        <f t="shared" si="3"/>
        <v>GGNAAT</v>
      </c>
      <c r="G78" s="81"/>
      <c r="H78" s="14" t="s">
        <v>914</v>
      </c>
    </row>
    <row r="79" spans="3:8" x14ac:dyDescent="0.15">
      <c r="D79" s="133"/>
      <c r="E79" s="133"/>
      <c r="F79" s="134" t="str">
        <f t="shared" si="3"/>
        <v/>
      </c>
      <c r="G79" s="81"/>
      <c r="H79" s="14" t="s">
        <v>904</v>
      </c>
    </row>
    <row r="80" spans="3:8" x14ac:dyDescent="0.15">
      <c r="D80" s="135">
        <v>123</v>
      </c>
      <c r="E80" s="135"/>
      <c r="F80" s="136" t="str">
        <f t="shared" si="3"/>
        <v>***</v>
      </c>
      <c r="G80" s="84"/>
      <c r="H80" s="14" t="s">
        <v>884</v>
      </c>
    </row>
    <row r="83" spans="1:17" x14ac:dyDescent="0.15">
      <c r="A83" s="66" t="s">
        <v>399</v>
      </c>
      <c r="B83" s="67" t="s">
        <v>920</v>
      </c>
      <c r="C83" s="67"/>
      <c r="D83" s="67"/>
      <c r="E83" s="67"/>
      <c r="F83" s="68"/>
      <c r="G83" s="67"/>
      <c r="H83" s="67"/>
      <c r="I83" s="68"/>
      <c r="J83" s="67"/>
      <c r="K83" s="68"/>
      <c r="L83" s="67"/>
      <c r="M83" s="68"/>
      <c r="N83" s="67"/>
      <c r="O83" s="67"/>
      <c r="P83" s="67"/>
      <c r="Q83" s="67"/>
    </row>
    <row r="84" spans="1:17" x14ac:dyDescent="0.15">
      <c r="C84" s="14" t="s">
        <v>1095</v>
      </c>
    </row>
    <row r="85" spans="1:17" x14ac:dyDescent="0.15">
      <c r="C85" s="14" t="s">
        <v>895</v>
      </c>
    </row>
    <row r="87" spans="1:17" x14ac:dyDescent="0.15">
      <c r="D87" s="69" t="s">
        <v>879</v>
      </c>
      <c r="E87" s="70" t="s">
        <v>1393</v>
      </c>
      <c r="F87" s="58"/>
      <c r="G87" s="58"/>
      <c r="H87" s="71"/>
    </row>
    <row r="88" spans="1:17" x14ac:dyDescent="0.15">
      <c r="D88" s="72" t="s">
        <v>886</v>
      </c>
      <c r="E88" s="32" t="s">
        <v>1394</v>
      </c>
      <c r="F88" s="32"/>
      <c r="G88" s="32"/>
      <c r="H88" s="73"/>
    </row>
    <row r="89" spans="1:17" x14ac:dyDescent="0.15">
      <c r="D89" s="72"/>
      <c r="E89" s="32" t="s">
        <v>1395</v>
      </c>
      <c r="F89" s="32"/>
      <c r="G89" s="32"/>
      <c r="H89" s="73"/>
    </row>
    <row r="90" spans="1:17" x14ac:dyDescent="0.15">
      <c r="D90" s="74" t="s">
        <v>887</v>
      </c>
      <c r="E90" s="62" t="s">
        <v>916</v>
      </c>
      <c r="F90" s="62"/>
      <c r="G90" s="62"/>
      <c r="H90" s="75"/>
    </row>
    <row r="92" spans="1:17" x14ac:dyDescent="0.15">
      <c r="D92" s="84"/>
      <c r="E92" s="115"/>
      <c r="F92" s="137" t="s">
        <v>918</v>
      </c>
    </row>
    <row r="93" spans="1:17" x14ac:dyDescent="0.15">
      <c r="D93" s="138" t="s">
        <v>1000</v>
      </c>
      <c r="E93" s="133" t="s">
        <v>917</v>
      </c>
      <c r="F93" s="133"/>
      <c r="G93" s="133"/>
      <c r="H93" s="133"/>
      <c r="I93" s="133"/>
      <c r="J93" s="133"/>
      <c r="K93" s="133"/>
      <c r="L93" s="133"/>
      <c r="M93" s="133"/>
      <c r="N93" s="133"/>
      <c r="O93" s="133"/>
    </row>
    <row r="94" spans="1:17" x14ac:dyDescent="0.15">
      <c r="D94" s="133" t="s">
        <v>919</v>
      </c>
      <c r="E94" s="133">
        <v>3</v>
      </c>
    </row>
    <row r="95" spans="1:17" x14ac:dyDescent="0.15">
      <c r="D95" s="136" t="s">
        <v>882</v>
      </c>
      <c r="E95" s="136" t="str">
        <f>splitseq(E93,E94)</f>
        <v xml:space="preserve">CAA GCT ACA GTG TAA TTT ACG AGC CCA ATT TTG CTA CTG GTC ACC CTC TGA CTC AAC AAT </v>
      </c>
      <c r="F95" s="84"/>
      <c r="G95" s="84"/>
      <c r="H95" s="84"/>
      <c r="I95" s="84"/>
      <c r="J95" s="84"/>
      <c r="K95" s="84"/>
      <c r="L95" s="84"/>
      <c r="M95" s="84"/>
      <c r="N95" s="84"/>
      <c r="O95" s="84"/>
    </row>
    <row r="96" spans="1:17" x14ac:dyDescent="0.15">
      <c r="D96" s="138" t="s">
        <v>1000</v>
      </c>
      <c r="E96" s="133" t="s">
        <v>917</v>
      </c>
      <c r="F96" s="133"/>
      <c r="G96" s="133"/>
      <c r="H96" s="133"/>
      <c r="I96" s="133"/>
      <c r="J96" s="133"/>
      <c r="K96" s="133"/>
      <c r="L96" s="133"/>
      <c r="M96" s="133"/>
      <c r="N96" s="133"/>
      <c r="O96" s="133"/>
    </row>
    <row r="97" spans="1:17" x14ac:dyDescent="0.15">
      <c r="D97" s="133" t="s">
        <v>919</v>
      </c>
      <c r="E97" s="133">
        <v>5</v>
      </c>
    </row>
    <row r="98" spans="1:17" x14ac:dyDescent="0.15">
      <c r="D98" s="136" t="s">
        <v>882</v>
      </c>
      <c r="E98" s="136" t="str">
        <f>splitseq(E96,E97)</f>
        <v xml:space="preserve">CAAGC TACAG TGTAA TTTAC GAGCC CAATT TTGCT ACTGG TCACC CTCTG ACTCA ACAAT </v>
      </c>
      <c r="F98" s="84"/>
      <c r="G98" s="84"/>
      <c r="H98" s="84"/>
      <c r="I98" s="84"/>
      <c r="J98" s="84"/>
      <c r="K98" s="84"/>
      <c r="L98" s="84"/>
      <c r="M98" s="84"/>
      <c r="N98" s="84"/>
      <c r="O98" s="84"/>
    </row>
    <row r="99" spans="1:17" x14ac:dyDescent="0.15">
      <c r="D99" s="138" t="s">
        <v>1000</v>
      </c>
      <c r="E99" s="133" t="s">
        <v>917</v>
      </c>
      <c r="F99" s="133"/>
      <c r="G99" s="133"/>
      <c r="H99" s="133"/>
      <c r="I99" s="133"/>
      <c r="J99" s="133"/>
      <c r="K99" s="133"/>
      <c r="L99" s="133"/>
      <c r="M99" s="133"/>
      <c r="N99" s="133"/>
      <c r="O99" s="133"/>
    </row>
    <row r="100" spans="1:17" x14ac:dyDescent="0.15">
      <c r="D100" s="133" t="s">
        <v>919</v>
      </c>
      <c r="E100" s="133" t="s">
        <v>953</v>
      </c>
      <c r="H100" s="14" t="s">
        <v>954</v>
      </c>
    </row>
    <row r="101" spans="1:17" x14ac:dyDescent="0.15">
      <c r="D101" s="136" t="s">
        <v>882</v>
      </c>
      <c r="E101" s="136" t="str">
        <f>splitseq(E99)</f>
        <v xml:space="preserve">CAA GCT ACA GTG TAA TTT ACG AGC CCA ATT TTG CTA CTG GTC ACC CTC TGA CTC AAC AAT </v>
      </c>
      <c r="F101" s="84"/>
      <c r="G101" s="84"/>
      <c r="H101" s="84"/>
      <c r="I101" s="84"/>
      <c r="J101" s="84"/>
      <c r="K101" s="84"/>
      <c r="L101" s="84"/>
      <c r="M101" s="84"/>
      <c r="N101" s="84"/>
      <c r="O101" s="84"/>
    </row>
    <row r="104" spans="1:17" x14ac:dyDescent="0.15">
      <c r="A104" s="66" t="s">
        <v>393</v>
      </c>
      <c r="B104" s="67" t="s">
        <v>1117</v>
      </c>
      <c r="C104" s="67"/>
      <c r="D104" s="67"/>
      <c r="E104" s="67"/>
      <c r="F104" s="68"/>
      <c r="G104" s="67"/>
      <c r="H104" s="67"/>
      <c r="I104" s="68"/>
      <c r="J104" s="67"/>
      <c r="K104" s="68"/>
      <c r="L104" s="67"/>
      <c r="M104" s="68"/>
      <c r="N104" s="67"/>
      <c r="O104" s="67"/>
      <c r="P104" s="67"/>
      <c r="Q104" s="67"/>
    </row>
    <row r="105" spans="1:17" x14ac:dyDescent="0.15">
      <c r="C105" s="14" t="s">
        <v>1097</v>
      </c>
    </row>
    <row r="106" spans="1:17" x14ac:dyDescent="0.15">
      <c r="C106" s="14" t="s">
        <v>895</v>
      </c>
    </row>
    <row r="108" spans="1:17" x14ac:dyDescent="0.15">
      <c r="D108" s="69" t="s">
        <v>879</v>
      </c>
      <c r="E108" s="70" t="s">
        <v>1396</v>
      </c>
      <c r="F108" s="58"/>
      <c r="G108" s="58"/>
      <c r="H108" s="71"/>
    </row>
    <row r="109" spans="1:17" x14ac:dyDescent="0.15">
      <c r="D109" s="72" t="s">
        <v>886</v>
      </c>
      <c r="E109" s="32" t="s">
        <v>1397</v>
      </c>
      <c r="F109" s="32"/>
      <c r="G109" s="32"/>
      <c r="H109" s="73"/>
    </row>
    <row r="110" spans="1:17" x14ac:dyDescent="0.15">
      <c r="D110" s="72"/>
      <c r="E110" s="32" t="s">
        <v>1398</v>
      </c>
      <c r="F110" s="32"/>
      <c r="G110" s="32"/>
      <c r="H110" s="73"/>
    </row>
    <row r="111" spans="1:17" x14ac:dyDescent="0.15">
      <c r="D111" s="74" t="s">
        <v>887</v>
      </c>
      <c r="E111" s="62" t="s">
        <v>1099</v>
      </c>
      <c r="F111" s="62"/>
      <c r="G111" s="62"/>
      <c r="H111" s="75"/>
    </row>
    <row r="113" spans="1:17" x14ac:dyDescent="0.15">
      <c r="D113" s="84"/>
      <c r="E113" s="115"/>
      <c r="F113" s="137" t="s">
        <v>921</v>
      </c>
    </row>
    <row r="114" spans="1:17" x14ac:dyDescent="0.15">
      <c r="D114" s="138" t="s">
        <v>1000</v>
      </c>
      <c r="E114" s="133" t="s">
        <v>917</v>
      </c>
      <c r="F114" s="133"/>
      <c r="G114" s="133"/>
      <c r="H114" s="133"/>
      <c r="I114" s="133"/>
      <c r="J114" s="133"/>
      <c r="K114" s="133"/>
      <c r="L114" s="133"/>
      <c r="M114" s="133"/>
      <c r="N114" s="133"/>
      <c r="O114" s="133"/>
    </row>
    <row r="115" spans="1:17" x14ac:dyDescent="0.15">
      <c r="D115" s="133" t="s">
        <v>922</v>
      </c>
      <c r="E115" s="133">
        <v>3</v>
      </c>
    </row>
    <row r="116" spans="1:17" x14ac:dyDescent="0.15">
      <c r="D116" s="136" t="s">
        <v>882</v>
      </c>
      <c r="E116" s="136" t="str">
        <f>bracket(E114,E115)</f>
        <v>CA[A]GCTACAGTGTAATTTACGAGCCCAATTTTGCTACTGGTCACCCTCTGACTCAACAAT</v>
      </c>
      <c r="F116" s="84"/>
      <c r="G116" s="84"/>
      <c r="H116" s="84"/>
      <c r="I116" s="84"/>
      <c r="J116" s="84"/>
      <c r="K116" s="84"/>
      <c r="L116" s="84"/>
      <c r="M116" s="84"/>
      <c r="N116" s="84"/>
      <c r="O116" s="84"/>
    </row>
    <row r="117" spans="1:17" x14ac:dyDescent="0.15">
      <c r="D117" s="138" t="s">
        <v>1000</v>
      </c>
      <c r="E117" s="133" t="s">
        <v>917</v>
      </c>
      <c r="F117" s="133"/>
      <c r="G117" s="133"/>
      <c r="H117" s="133"/>
      <c r="I117" s="133"/>
      <c r="J117" s="133"/>
      <c r="K117" s="133"/>
      <c r="L117" s="133"/>
      <c r="M117" s="133"/>
      <c r="N117" s="133"/>
      <c r="O117" s="133"/>
    </row>
    <row r="118" spans="1:17" x14ac:dyDescent="0.15">
      <c r="D118" s="133" t="s">
        <v>923</v>
      </c>
      <c r="E118" s="133">
        <v>20</v>
      </c>
    </row>
    <row r="119" spans="1:17" x14ac:dyDescent="0.15">
      <c r="D119" s="136" t="s">
        <v>882</v>
      </c>
      <c r="E119" s="136" t="str">
        <f>bracket(E117,E118)</f>
        <v>CAAGCTACAGTGTAATTTA[C]GAGCCCAATTTTGCTACTGGTCACCCTCTGACTCAACAAT</v>
      </c>
      <c r="F119" s="84"/>
      <c r="G119" s="84"/>
      <c r="H119" s="84"/>
      <c r="I119" s="84"/>
      <c r="J119" s="84"/>
      <c r="K119" s="84"/>
      <c r="L119" s="84"/>
      <c r="M119" s="84"/>
      <c r="N119" s="84"/>
      <c r="O119" s="84"/>
    </row>
    <row r="120" spans="1:17" x14ac:dyDescent="0.15">
      <c r="D120" s="138" t="s">
        <v>1000</v>
      </c>
      <c r="E120" s="133" t="s">
        <v>917</v>
      </c>
      <c r="F120" s="133"/>
      <c r="G120" s="133"/>
      <c r="H120" s="133"/>
      <c r="I120" s="133"/>
      <c r="J120" s="133"/>
      <c r="K120" s="133"/>
      <c r="L120" s="133"/>
      <c r="M120" s="133"/>
      <c r="N120" s="133"/>
      <c r="O120" s="133"/>
    </row>
    <row r="121" spans="1:17" x14ac:dyDescent="0.15">
      <c r="D121" s="133" t="s">
        <v>923</v>
      </c>
      <c r="E121" s="133">
        <v>100</v>
      </c>
      <c r="F121" s="14" t="s">
        <v>1118</v>
      </c>
    </row>
    <row r="122" spans="1:17" x14ac:dyDescent="0.15">
      <c r="D122" s="136" t="s">
        <v>882</v>
      </c>
      <c r="E122" s="136" t="str">
        <f>bracket(E120,E121)</f>
        <v>CAAGCTACAGTGTAATTTACGAGCCCAATTTTGCTACTGGTCACCCTCTGACTCAACAA[T]</v>
      </c>
      <c r="F122" s="84"/>
      <c r="G122" s="84"/>
      <c r="H122" s="84"/>
      <c r="I122" s="84"/>
      <c r="J122" s="84"/>
      <c r="K122" s="84"/>
      <c r="L122" s="84"/>
      <c r="M122" s="84"/>
      <c r="N122" s="84"/>
      <c r="O122" s="84"/>
    </row>
    <row r="125" spans="1:17" x14ac:dyDescent="0.15">
      <c r="A125" s="66" t="s">
        <v>394</v>
      </c>
      <c r="B125" s="67" t="s">
        <v>924</v>
      </c>
      <c r="C125" s="67"/>
      <c r="D125" s="67"/>
      <c r="E125" s="67"/>
      <c r="F125" s="68"/>
      <c r="G125" s="67"/>
      <c r="H125" s="67"/>
      <c r="I125" s="68"/>
      <c r="J125" s="67"/>
      <c r="K125" s="68"/>
      <c r="L125" s="67"/>
      <c r="M125" s="68"/>
      <c r="N125" s="67"/>
      <c r="O125" s="67"/>
      <c r="P125" s="67"/>
      <c r="Q125" s="67"/>
    </row>
    <row r="126" spans="1:17" x14ac:dyDescent="0.15">
      <c r="C126" s="14" t="s">
        <v>1098</v>
      </c>
    </row>
    <row r="127" spans="1:17" x14ac:dyDescent="0.15">
      <c r="C127" s="14" t="s">
        <v>895</v>
      </c>
    </row>
    <row r="129" spans="4:15" x14ac:dyDescent="0.15">
      <c r="D129" s="69" t="s">
        <v>879</v>
      </c>
      <c r="E129" s="70" t="s">
        <v>1399</v>
      </c>
      <c r="F129" s="58"/>
      <c r="G129" s="58"/>
      <c r="H129" s="71"/>
    </row>
    <row r="130" spans="4:15" x14ac:dyDescent="0.15">
      <c r="D130" s="72" t="s">
        <v>886</v>
      </c>
      <c r="E130" s="32" t="s">
        <v>1400</v>
      </c>
      <c r="F130" s="32"/>
      <c r="G130" s="32"/>
      <c r="H130" s="73"/>
    </row>
    <row r="131" spans="4:15" x14ac:dyDescent="0.15">
      <c r="D131" s="74" t="s">
        <v>887</v>
      </c>
      <c r="E131" s="62" t="s">
        <v>1119</v>
      </c>
      <c r="F131" s="62"/>
      <c r="G131" s="62"/>
      <c r="H131" s="75"/>
    </row>
    <row r="133" spans="4:15" x14ac:dyDescent="0.15">
      <c r="D133" s="84"/>
      <c r="E133" s="115"/>
      <c r="F133" s="137" t="s">
        <v>926</v>
      </c>
    </row>
    <row r="134" spans="4:15" x14ac:dyDescent="0.15">
      <c r="D134" s="138" t="s">
        <v>1000</v>
      </c>
      <c r="E134" s="133" t="s">
        <v>927</v>
      </c>
      <c r="F134" s="133"/>
      <c r="G134" s="133"/>
      <c r="H134" s="133"/>
      <c r="I134" s="133"/>
      <c r="J134" s="133"/>
      <c r="K134" s="133"/>
      <c r="L134" s="133"/>
      <c r="M134" s="133"/>
      <c r="N134" s="133"/>
      <c r="O134" s="133"/>
    </row>
    <row r="135" spans="4:15" x14ac:dyDescent="0.15">
      <c r="D135" s="136" t="s">
        <v>882</v>
      </c>
      <c r="E135" s="136" t="str">
        <f>shrink(E134)</f>
        <v>CAAGCTACAGTGTAATTTACGAGCCCAATTTTGCTACTGGTCACCCTCTGACTCAACAAT</v>
      </c>
      <c r="F135" s="84"/>
      <c r="G135" s="84"/>
      <c r="H135" s="84"/>
      <c r="I135" s="84"/>
      <c r="J135" s="84"/>
      <c r="K135" s="84"/>
      <c r="L135" s="84"/>
      <c r="M135" s="139" t="s">
        <v>933</v>
      </c>
      <c r="N135" s="84"/>
      <c r="O135" s="84"/>
    </row>
    <row r="136" spans="4:15" x14ac:dyDescent="0.15">
      <c r="D136" s="138" t="s">
        <v>1000</v>
      </c>
      <c r="E136" s="133" t="s">
        <v>928</v>
      </c>
      <c r="F136" s="133"/>
      <c r="G136" s="133"/>
      <c r="H136" s="133"/>
      <c r="I136" s="133"/>
      <c r="J136" s="133"/>
      <c r="K136" s="133"/>
      <c r="L136" s="133"/>
      <c r="M136" s="133"/>
      <c r="N136" s="133"/>
      <c r="O136" s="133"/>
    </row>
    <row r="137" spans="4:15" x14ac:dyDescent="0.15">
      <c r="D137" s="136" t="s">
        <v>882</v>
      </c>
      <c r="E137" s="136" t="str">
        <f>shrink(E136)</f>
        <v>CAAGCTACAGTGTAATTTACGAGCCCAATTTTGCTACTGGTCACCCTCTGACTCAACAAT</v>
      </c>
      <c r="F137" s="84"/>
      <c r="G137" s="84"/>
      <c r="H137" s="84"/>
      <c r="I137" s="84"/>
      <c r="J137" s="84"/>
      <c r="K137" s="84"/>
      <c r="L137" s="84"/>
      <c r="M137" s="139" t="s">
        <v>932</v>
      </c>
      <c r="N137" s="84"/>
      <c r="O137" s="84"/>
    </row>
    <row r="138" spans="4:15" x14ac:dyDescent="0.15">
      <c r="D138" s="138" t="s">
        <v>1000</v>
      </c>
      <c r="E138" s="133" t="s">
        <v>931</v>
      </c>
      <c r="F138" s="133"/>
      <c r="G138" s="133"/>
      <c r="H138" s="133"/>
      <c r="I138" s="133"/>
      <c r="J138" s="133"/>
      <c r="K138" s="133"/>
      <c r="L138" s="133"/>
      <c r="M138" s="133"/>
      <c r="N138" s="133"/>
      <c r="O138" s="133"/>
    </row>
    <row r="139" spans="4:15" x14ac:dyDescent="0.15">
      <c r="D139" s="136" t="s">
        <v>882</v>
      </c>
      <c r="E139" s="136" t="str">
        <f>shrink(E138)</f>
        <v>CAAGCTACAGTGTAATTTACGAGCCCAATTTTGCTACTGGTCACCCTCTGACTCAACAAT</v>
      </c>
      <c r="F139" s="84"/>
      <c r="G139" s="84"/>
      <c r="H139" s="84"/>
      <c r="I139" s="84"/>
      <c r="J139" s="84"/>
      <c r="K139" s="84"/>
      <c r="L139" s="84"/>
      <c r="M139" s="139" t="s">
        <v>934</v>
      </c>
      <c r="N139" s="84"/>
      <c r="O139" s="84"/>
    </row>
    <row r="140" spans="4:15" x14ac:dyDescent="0.15">
      <c r="D140" s="138" t="s">
        <v>1000</v>
      </c>
      <c r="E140" s="133" t="s">
        <v>929</v>
      </c>
      <c r="F140" s="133"/>
      <c r="G140" s="133"/>
      <c r="H140" s="133"/>
      <c r="I140" s="133"/>
      <c r="J140" s="133"/>
      <c r="K140" s="133"/>
      <c r="L140" s="133"/>
      <c r="M140" s="133"/>
      <c r="N140" s="133"/>
      <c r="O140" s="133"/>
    </row>
    <row r="141" spans="4:15" x14ac:dyDescent="0.15">
      <c r="D141" s="136" t="s">
        <v>882</v>
      </c>
      <c r="E141" s="136" t="str">
        <f>shrink(E140)</f>
        <v>CAAGCTACAGTGTAATTTACGAGCCCAATTTTGCTACTGGTCACCCTCTGACTCAACAAT</v>
      </c>
      <c r="F141" s="84"/>
      <c r="G141" s="84"/>
      <c r="H141" s="84"/>
      <c r="I141" s="84"/>
      <c r="J141" s="84"/>
      <c r="K141" s="84"/>
      <c r="L141" s="84"/>
      <c r="M141" s="139" t="s">
        <v>935</v>
      </c>
      <c r="N141" s="84"/>
      <c r="O141" s="84"/>
    </row>
    <row r="142" spans="4:15" ht="97.5" customHeight="1" x14ac:dyDescent="0.15">
      <c r="D142" s="138" t="s">
        <v>1000</v>
      </c>
      <c r="E142" s="285" t="s">
        <v>930</v>
      </c>
      <c r="F142" s="285"/>
      <c r="G142" s="133"/>
      <c r="H142" s="133"/>
      <c r="I142" s="133"/>
      <c r="J142" s="133"/>
      <c r="K142" s="133"/>
      <c r="L142" s="133"/>
      <c r="M142" s="133"/>
      <c r="N142" s="133"/>
      <c r="O142" s="133"/>
    </row>
    <row r="143" spans="4:15" x14ac:dyDescent="0.15">
      <c r="D143" s="136" t="s">
        <v>882</v>
      </c>
      <c r="E143" s="136" t="str">
        <f>shrink(E142)</f>
        <v>CAAGCTACAGTGTAATTTACGAGCCCAATTTTGCTACTGGTCACCCTCTGACTCAACAAT</v>
      </c>
      <c r="F143" s="84"/>
      <c r="G143" s="84"/>
      <c r="H143" s="84"/>
      <c r="I143" s="84"/>
      <c r="J143" s="84"/>
      <c r="K143" s="84"/>
      <c r="L143" s="84"/>
      <c r="M143" s="139" t="s">
        <v>936</v>
      </c>
      <c r="N143" s="84"/>
      <c r="O143" s="84"/>
    </row>
    <row r="146" spans="1:17" x14ac:dyDescent="0.15">
      <c r="A146" s="66" t="s">
        <v>425</v>
      </c>
      <c r="B146" s="67" t="s">
        <v>1102</v>
      </c>
      <c r="C146" s="67"/>
      <c r="D146" s="67"/>
      <c r="E146" s="67"/>
      <c r="F146" s="68"/>
      <c r="G146" s="67"/>
      <c r="H146" s="67"/>
      <c r="I146" s="68"/>
      <c r="J146" s="67"/>
      <c r="K146" s="68"/>
      <c r="L146" s="67"/>
      <c r="M146" s="68"/>
      <c r="N146" s="67"/>
      <c r="O146" s="67"/>
      <c r="P146" s="67"/>
      <c r="Q146" s="67"/>
    </row>
    <row r="147" spans="1:17" x14ac:dyDescent="0.15">
      <c r="C147" s="14" t="s">
        <v>1100</v>
      </c>
    </row>
    <row r="148" spans="1:17" x14ac:dyDescent="0.15">
      <c r="C148" s="14" t="s">
        <v>938</v>
      </c>
    </row>
    <row r="150" spans="1:17" x14ac:dyDescent="0.15">
      <c r="D150" s="69" t="s">
        <v>879</v>
      </c>
      <c r="E150" s="70" t="s">
        <v>1401</v>
      </c>
      <c r="F150" s="58"/>
      <c r="G150" s="58"/>
      <c r="H150" s="58"/>
      <c r="I150" s="58"/>
      <c r="J150" s="71"/>
    </row>
    <row r="151" spans="1:17" x14ac:dyDescent="0.15">
      <c r="D151" s="72" t="s">
        <v>886</v>
      </c>
      <c r="E151" s="32" t="s">
        <v>1402</v>
      </c>
      <c r="F151" s="32"/>
      <c r="G151" s="32"/>
      <c r="H151" s="32"/>
      <c r="I151" s="32"/>
      <c r="J151" s="73"/>
    </row>
    <row r="152" spans="1:17" x14ac:dyDescent="0.15">
      <c r="D152" s="74" t="s">
        <v>887</v>
      </c>
      <c r="E152" s="62" t="s">
        <v>1104</v>
      </c>
      <c r="F152" s="62"/>
      <c r="G152" s="62"/>
      <c r="H152" s="62"/>
      <c r="I152" s="62"/>
      <c r="J152" s="75"/>
    </row>
    <row r="154" spans="1:17" x14ac:dyDescent="0.15">
      <c r="D154" s="114"/>
      <c r="E154" s="129" t="s">
        <v>973</v>
      </c>
    </row>
    <row r="155" spans="1:17" x14ac:dyDescent="0.15">
      <c r="D155" s="130" t="s">
        <v>881</v>
      </c>
      <c r="E155" s="130"/>
      <c r="F155" s="78" t="s">
        <v>882</v>
      </c>
      <c r="G155" s="78"/>
    </row>
    <row r="156" spans="1:17" x14ac:dyDescent="0.15">
      <c r="D156" s="131" t="s">
        <v>11</v>
      </c>
      <c r="E156" s="131"/>
      <c r="F156" s="82" t="str">
        <f>DNA2Rnuc(D156)</f>
        <v>A</v>
      </c>
      <c r="G156" s="81"/>
      <c r="H156" s="14" t="s">
        <v>969</v>
      </c>
    </row>
    <row r="157" spans="1:17" x14ac:dyDescent="0.15">
      <c r="D157" s="131" t="s">
        <v>83</v>
      </c>
      <c r="E157" s="131"/>
      <c r="F157" s="83" t="str">
        <f t="shared" ref="F157:F163" si="4">DNA2Rnuc(D157)</f>
        <v>U</v>
      </c>
      <c r="G157" s="81"/>
      <c r="H157" s="14" t="s">
        <v>967</v>
      </c>
    </row>
    <row r="158" spans="1:17" x14ac:dyDescent="0.15">
      <c r="D158" s="131" t="s">
        <v>77</v>
      </c>
      <c r="E158" s="131"/>
      <c r="F158" s="83" t="str">
        <f t="shared" si="4"/>
        <v>a</v>
      </c>
      <c r="G158" s="81"/>
      <c r="H158" s="14" t="s">
        <v>966</v>
      </c>
    </row>
    <row r="159" spans="1:17" x14ac:dyDescent="0.15">
      <c r="D159" s="131" t="s">
        <v>315</v>
      </c>
      <c r="E159" s="133"/>
      <c r="F159" s="83" t="str">
        <f t="shared" si="4"/>
        <v>U</v>
      </c>
      <c r="G159" s="81"/>
      <c r="H159" s="14" t="s">
        <v>965</v>
      </c>
    </row>
    <row r="160" spans="1:17" x14ac:dyDescent="0.15">
      <c r="D160" s="131" t="s">
        <v>90</v>
      </c>
      <c r="E160" s="133"/>
      <c r="F160" s="83" t="str">
        <f t="shared" si="4"/>
        <v>N</v>
      </c>
      <c r="G160" s="81"/>
    </row>
    <row r="161" spans="1:17" x14ac:dyDescent="0.15">
      <c r="D161" s="140" t="s">
        <v>970</v>
      </c>
      <c r="E161" s="133"/>
      <c r="F161" s="83" t="str">
        <f t="shared" si="4"/>
        <v>/</v>
      </c>
      <c r="G161" s="81"/>
      <c r="H161" s="14" t="s">
        <v>972</v>
      </c>
    </row>
    <row r="162" spans="1:17" x14ac:dyDescent="0.15">
      <c r="D162" s="131" t="s">
        <v>971</v>
      </c>
      <c r="E162" s="133"/>
      <c r="F162" s="83" t="str">
        <f t="shared" si="4"/>
        <v>[</v>
      </c>
      <c r="G162" s="81"/>
      <c r="H162" s="14" t="s">
        <v>972</v>
      </c>
    </row>
    <row r="163" spans="1:17" x14ac:dyDescent="0.15">
      <c r="D163" s="132">
        <v>123</v>
      </c>
      <c r="E163" s="135"/>
      <c r="F163" s="84" t="str">
        <f t="shared" si="4"/>
        <v>*</v>
      </c>
      <c r="G163" s="84"/>
      <c r="H163" s="14" t="s">
        <v>884</v>
      </c>
    </row>
    <row r="166" spans="1:17" x14ac:dyDescent="0.15">
      <c r="A166" s="66" t="s">
        <v>426</v>
      </c>
      <c r="B166" s="67" t="s">
        <v>1101</v>
      </c>
      <c r="C166" s="67"/>
      <c r="D166" s="67"/>
      <c r="E166" s="67"/>
      <c r="F166" s="68"/>
      <c r="G166" s="67"/>
      <c r="H166" s="67"/>
      <c r="I166" s="67"/>
      <c r="J166" s="68"/>
      <c r="K166" s="68"/>
      <c r="L166" s="67"/>
      <c r="M166" s="68"/>
      <c r="N166" s="67"/>
      <c r="O166" s="67"/>
      <c r="P166" s="67"/>
      <c r="Q166" s="67"/>
    </row>
    <row r="167" spans="1:17" x14ac:dyDescent="0.15">
      <c r="C167" s="14" t="s">
        <v>968</v>
      </c>
    </row>
    <row r="168" spans="1:17" x14ac:dyDescent="0.15">
      <c r="C168" s="14" t="s">
        <v>938</v>
      </c>
    </row>
    <row r="170" spans="1:17" x14ac:dyDescent="0.15">
      <c r="D170" s="69" t="s">
        <v>879</v>
      </c>
      <c r="E170" s="70" t="s">
        <v>1403</v>
      </c>
      <c r="F170" s="58"/>
      <c r="G170" s="58"/>
      <c r="H170" s="58"/>
      <c r="I170" s="58"/>
      <c r="J170" s="71"/>
    </row>
    <row r="171" spans="1:17" x14ac:dyDescent="0.15">
      <c r="D171" s="72" t="s">
        <v>886</v>
      </c>
      <c r="E171" s="32" t="s">
        <v>1404</v>
      </c>
      <c r="F171" s="32"/>
      <c r="G171" s="32"/>
      <c r="H171" s="32"/>
      <c r="I171" s="32"/>
      <c r="J171" s="73"/>
    </row>
    <row r="172" spans="1:17" x14ac:dyDescent="0.15">
      <c r="D172" s="74" t="s">
        <v>887</v>
      </c>
      <c r="E172" s="62" t="s">
        <v>1105</v>
      </c>
      <c r="F172" s="62"/>
      <c r="G172" s="62"/>
      <c r="H172" s="62"/>
      <c r="I172" s="62"/>
      <c r="J172" s="75"/>
    </row>
    <row r="174" spans="1:17" x14ac:dyDescent="0.15">
      <c r="D174" s="114"/>
      <c r="E174" s="129" t="s">
        <v>974</v>
      </c>
    </row>
    <row r="175" spans="1:17" x14ac:dyDescent="0.15">
      <c r="D175" s="130" t="s">
        <v>881</v>
      </c>
      <c r="E175" s="130"/>
      <c r="F175" s="78" t="s">
        <v>882</v>
      </c>
      <c r="G175" s="78"/>
    </row>
    <row r="176" spans="1:17" x14ac:dyDescent="0.15">
      <c r="D176" s="131" t="s">
        <v>11</v>
      </c>
      <c r="E176" s="131"/>
      <c r="F176" s="81" t="str">
        <f>RNA2Dnuc(D176)</f>
        <v>A</v>
      </c>
      <c r="G176" s="81"/>
      <c r="H176" s="14" t="s">
        <v>969</v>
      </c>
    </row>
    <row r="177" spans="1:17" x14ac:dyDescent="0.15">
      <c r="D177" s="131" t="s">
        <v>83</v>
      </c>
      <c r="E177" s="131"/>
      <c r="F177" s="81" t="str">
        <f t="shared" ref="F177:F183" si="5">RNA2Dnuc(D177)</f>
        <v>T</v>
      </c>
      <c r="G177" s="81"/>
      <c r="H177" s="14" t="s">
        <v>967</v>
      </c>
    </row>
    <row r="178" spans="1:17" x14ac:dyDescent="0.15">
      <c r="D178" s="131" t="s">
        <v>77</v>
      </c>
      <c r="E178" s="131"/>
      <c r="F178" s="81" t="str">
        <f t="shared" si="5"/>
        <v>a</v>
      </c>
      <c r="G178" s="81"/>
      <c r="H178" s="14" t="s">
        <v>966</v>
      </c>
    </row>
    <row r="179" spans="1:17" x14ac:dyDescent="0.15">
      <c r="D179" s="131" t="s">
        <v>315</v>
      </c>
      <c r="E179" s="133"/>
      <c r="F179" s="81" t="str">
        <f t="shared" si="5"/>
        <v>T</v>
      </c>
      <c r="G179" s="81"/>
      <c r="H179" s="14" t="s">
        <v>965</v>
      </c>
    </row>
    <row r="180" spans="1:17" x14ac:dyDescent="0.15">
      <c r="D180" s="131" t="s">
        <v>90</v>
      </c>
      <c r="E180" s="133"/>
      <c r="F180" s="81" t="str">
        <f t="shared" si="5"/>
        <v>N</v>
      </c>
      <c r="G180" s="81"/>
    </row>
    <row r="181" spans="1:17" x14ac:dyDescent="0.15">
      <c r="D181" s="140" t="s">
        <v>970</v>
      </c>
      <c r="E181" s="133"/>
      <c r="F181" s="81" t="str">
        <f t="shared" si="5"/>
        <v>/</v>
      </c>
      <c r="G181" s="81"/>
      <c r="H181" s="14" t="s">
        <v>972</v>
      </c>
    </row>
    <row r="182" spans="1:17" x14ac:dyDescent="0.15">
      <c r="D182" s="131" t="s">
        <v>971</v>
      </c>
      <c r="E182" s="133"/>
      <c r="F182" s="81" t="str">
        <f t="shared" si="5"/>
        <v>[</v>
      </c>
      <c r="G182" s="81"/>
      <c r="H182" s="14" t="s">
        <v>972</v>
      </c>
    </row>
    <row r="183" spans="1:17" x14ac:dyDescent="0.15">
      <c r="D183" s="132">
        <v>123</v>
      </c>
      <c r="E183" s="135"/>
      <c r="F183" s="84" t="str">
        <f t="shared" si="5"/>
        <v>*</v>
      </c>
      <c r="G183" s="84"/>
      <c r="H183" s="14" t="s">
        <v>884</v>
      </c>
    </row>
    <row r="186" spans="1:17" x14ac:dyDescent="0.15">
      <c r="A186" s="66" t="s">
        <v>975</v>
      </c>
      <c r="B186" s="67" t="s">
        <v>1106</v>
      </c>
      <c r="C186" s="67"/>
      <c r="D186" s="67"/>
      <c r="E186" s="67"/>
      <c r="F186" s="68"/>
      <c r="G186" s="67"/>
      <c r="H186" s="67"/>
      <c r="I186" s="68"/>
      <c r="J186" s="67"/>
      <c r="K186" s="68"/>
      <c r="L186" s="67"/>
      <c r="M186" s="68"/>
      <c r="N186" s="67"/>
      <c r="O186" s="67"/>
      <c r="P186" s="67"/>
      <c r="Q186" s="67"/>
    </row>
    <row r="187" spans="1:17" x14ac:dyDescent="0.15">
      <c r="C187" s="14" t="s">
        <v>1108</v>
      </c>
    </row>
    <row r="188" spans="1:17" x14ac:dyDescent="0.15">
      <c r="C188" s="14" t="s">
        <v>938</v>
      </c>
    </row>
    <row r="190" spans="1:17" x14ac:dyDescent="0.15">
      <c r="D190" s="69" t="s">
        <v>879</v>
      </c>
      <c r="E190" s="70" t="s">
        <v>1405</v>
      </c>
      <c r="F190" s="58"/>
      <c r="G190" s="58"/>
      <c r="H190" s="58"/>
      <c r="I190" s="58"/>
      <c r="J190" s="71"/>
    </row>
    <row r="191" spans="1:17" x14ac:dyDescent="0.15">
      <c r="D191" s="72" t="s">
        <v>886</v>
      </c>
      <c r="E191" s="32" t="s">
        <v>1406</v>
      </c>
      <c r="F191" s="32"/>
      <c r="G191" s="32"/>
      <c r="H191" s="32"/>
      <c r="I191" s="32"/>
      <c r="J191" s="73"/>
    </row>
    <row r="192" spans="1:17" x14ac:dyDescent="0.15">
      <c r="D192" s="74" t="s">
        <v>887</v>
      </c>
      <c r="E192" s="62" t="s">
        <v>1086</v>
      </c>
      <c r="F192" s="62"/>
      <c r="G192" s="62"/>
      <c r="H192" s="62"/>
      <c r="I192" s="62"/>
      <c r="J192" s="75"/>
    </row>
    <row r="194" spans="1:17" x14ac:dyDescent="0.15">
      <c r="D194" s="114"/>
      <c r="E194" s="129" t="s">
        <v>939</v>
      </c>
    </row>
    <row r="195" spans="1:17" x14ac:dyDescent="0.15">
      <c r="D195" s="130" t="s">
        <v>881</v>
      </c>
      <c r="E195" s="130"/>
      <c r="F195" s="78" t="s">
        <v>882</v>
      </c>
      <c r="G195" s="78"/>
    </row>
    <row r="196" spans="1:17" x14ac:dyDescent="0.15">
      <c r="D196" s="133" t="s">
        <v>890</v>
      </c>
      <c r="E196" s="131"/>
      <c r="F196" s="134" t="str">
        <f>toRNA(D196)</f>
        <v>ACGU</v>
      </c>
      <c r="G196" s="81"/>
      <c r="H196" s="14" t="s">
        <v>899</v>
      </c>
    </row>
    <row r="197" spans="1:17" x14ac:dyDescent="0.15">
      <c r="D197" s="133" t="s">
        <v>891</v>
      </c>
      <c r="E197" s="131"/>
      <c r="F197" s="134" t="str">
        <f t="shared" ref="F197:F202" si="6">toRNA(D197)</f>
        <v>CAAGCUACA</v>
      </c>
      <c r="G197" s="81"/>
      <c r="H197" s="14" t="s">
        <v>900</v>
      </c>
    </row>
    <row r="198" spans="1:17" x14ac:dyDescent="0.15">
      <c r="D198" s="133" t="s">
        <v>893</v>
      </c>
      <c r="E198" s="131"/>
      <c r="F198" s="134" t="str">
        <f t="shared" si="6"/>
        <v>***CN**A</v>
      </c>
      <c r="G198" s="81"/>
      <c r="H198" s="14" t="s">
        <v>910</v>
      </c>
    </row>
    <row r="199" spans="1:17" x14ac:dyDescent="0.15">
      <c r="D199" s="133" t="s">
        <v>898</v>
      </c>
      <c r="E199" s="133"/>
      <c r="F199" s="134" t="str">
        <f t="shared" si="6"/>
        <v>AAAGU</v>
      </c>
      <c r="G199" s="81"/>
      <c r="H199" s="14" t="s">
        <v>947</v>
      </c>
    </row>
    <row r="200" spans="1:17" x14ac:dyDescent="0.15">
      <c r="D200" s="133" t="s">
        <v>897</v>
      </c>
      <c r="E200" s="133"/>
      <c r="F200" s="134" t="str">
        <f t="shared" si="6"/>
        <v>AUUNCC</v>
      </c>
      <c r="G200" s="81"/>
      <c r="H200" s="14" t="s">
        <v>940</v>
      </c>
    </row>
    <row r="201" spans="1:17" x14ac:dyDescent="0.15">
      <c r="D201" s="133"/>
      <c r="E201" s="133"/>
      <c r="F201" s="134" t="str">
        <f t="shared" si="6"/>
        <v/>
      </c>
      <c r="G201" s="81"/>
      <c r="H201" s="14" t="s">
        <v>904</v>
      </c>
    </row>
    <row r="202" spans="1:17" x14ac:dyDescent="0.15">
      <c r="D202" s="135">
        <v>123</v>
      </c>
      <c r="E202" s="135"/>
      <c r="F202" s="136" t="str">
        <f t="shared" si="6"/>
        <v>***</v>
      </c>
      <c r="G202" s="84"/>
      <c r="H202" s="14" t="s">
        <v>884</v>
      </c>
    </row>
    <row r="205" spans="1:17" x14ac:dyDescent="0.15">
      <c r="A205" s="66" t="s">
        <v>428</v>
      </c>
      <c r="B205" s="67" t="s">
        <v>1109</v>
      </c>
      <c r="C205" s="67"/>
      <c r="D205" s="67"/>
      <c r="E205" s="67"/>
      <c r="F205" s="68"/>
      <c r="G205" s="67"/>
      <c r="H205" s="67"/>
      <c r="I205" s="68"/>
      <c r="J205" s="67"/>
      <c r="K205" s="68"/>
      <c r="L205" s="67"/>
      <c r="M205" s="68"/>
      <c r="N205" s="67"/>
      <c r="O205" s="67"/>
      <c r="P205" s="67"/>
      <c r="Q205" s="67"/>
    </row>
    <row r="206" spans="1:17" x14ac:dyDescent="0.15">
      <c r="C206" s="14" t="s">
        <v>1107</v>
      </c>
    </row>
    <row r="207" spans="1:17" x14ac:dyDescent="0.15">
      <c r="C207" s="14" t="s">
        <v>941</v>
      </c>
    </row>
    <row r="209" spans="1:17" x14ac:dyDescent="0.15">
      <c r="D209" s="69" t="s">
        <v>879</v>
      </c>
      <c r="E209" s="70" t="s">
        <v>1407</v>
      </c>
      <c r="F209" s="58"/>
      <c r="G209" s="58"/>
      <c r="H209" s="58"/>
      <c r="I209" s="58"/>
      <c r="J209" s="71"/>
    </row>
    <row r="210" spans="1:17" x14ac:dyDescent="0.15">
      <c r="D210" s="72" t="s">
        <v>886</v>
      </c>
      <c r="E210" s="32" t="s">
        <v>1408</v>
      </c>
      <c r="F210" s="32"/>
      <c r="G210" s="32"/>
      <c r="H210" s="32"/>
      <c r="I210" s="32"/>
      <c r="J210" s="73"/>
    </row>
    <row r="211" spans="1:17" x14ac:dyDescent="0.15">
      <c r="D211" s="74" t="s">
        <v>887</v>
      </c>
      <c r="E211" s="62" t="s">
        <v>1087</v>
      </c>
      <c r="F211" s="62"/>
      <c r="G211" s="62"/>
      <c r="H211" s="62"/>
      <c r="I211" s="62"/>
      <c r="J211" s="75"/>
    </row>
    <row r="213" spans="1:17" x14ac:dyDescent="0.15">
      <c r="D213" s="114"/>
      <c r="E213" s="129" t="s">
        <v>942</v>
      </c>
    </row>
    <row r="214" spans="1:17" x14ac:dyDescent="0.15">
      <c r="D214" s="130" t="s">
        <v>881</v>
      </c>
      <c r="E214" s="130"/>
      <c r="F214" s="78" t="s">
        <v>882</v>
      </c>
      <c r="G214" s="78"/>
    </row>
    <row r="215" spans="1:17" x14ac:dyDescent="0.15">
      <c r="D215" s="133" t="s">
        <v>943</v>
      </c>
      <c r="E215" s="131"/>
      <c r="F215" s="134" t="str">
        <f>toDNA(D215)</f>
        <v>ACGT</v>
      </c>
      <c r="G215" s="81"/>
      <c r="H215" s="14" t="s">
        <v>899</v>
      </c>
    </row>
    <row r="216" spans="1:17" x14ac:dyDescent="0.15">
      <c r="D216" s="133" t="s">
        <v>944</v>
      </c>
      <c r="E216" s="131"/>
      <c r="F216" s="134" t="str">
        <f t="shared" ref="F216:F221" si="7">toDNA(D216)</f>
        <v>CAAGCTACA</v>
      </c>
      <c r="G216" s="81"/>
      <c r="H216" s="14" t="s">
        <v>900</v>
      </c>
    </row>
    <row r="217" spans="1:17" x14ac:dyDescent="0.15">
      <c r="D217" s="133" t="s">
        <v>893</v>
      </c>
      <c r="E217" s="131"/>
      <c r="F217" s="134" t="str">
        <f t="shared" si="7"/>
        <v>***CN**A</v>
      </c>
      <c r="G217" s="81"/>
      <c r="H217" s="14" t="s">
        <v>910</v>
      </c>
    </row>
    <row r="218" spans="1:17" x14ac:dyDescent="0.15">
      <c r="D218" s="133" t="s">
        <v>945</v>
      </c>
      <c r="E218" s="133"/>
      <c r="F218" s="134" t="str">
        <f t="shared" si="7"/>
        <v>AAAGT</v>
      </c>
      <c r="G218" s="81"/>
      <c r="H218" s="14" t="s">
        <v>946</v>
      </c>
    </row>
    <row r="219" spans="1:17" x14ac:dyDescent="0.15">
      <c r="D219" s="133" t="s">
        <v>897</v>
      </c>
      <c r="E219" s="133"/>
      <c r="F219" s="134" t="str">
        <f t="shared" si="7"/>
        <v>ATTNCC</v>
      </c>
      <c r="G219" s="81"/>
      <c r="H219" s="14" t="s">
        <v>940</v>
      </c>
    </row>
    <row r="220" spans="1:17" x14ac:dyDescent="0.15">
      <c r="D220" s="133"/>
      <c r="E220" s="133"/>
      <c r="F220" s="134" t="str">
        <f t="shared" si="7"/>
        <v/>
      </c>
      <c r="G220" s="81"/>
      <c r="H220" s="14" t="s">
        <v>904</v>
      </c>
    </row>
    <row r="221" spans="1:17" x14ac:dyDescent="0.15">
      <c r="D221" s="135">
        <v>123</v>
      </c>
      <c r="E221" s="135"/>
      <c r="F221" s="136" t="str">
        <f t="shared" si="7"/>
        <v>***</v>
      </c>
      <c r="G221" s="84"/>
      <c r="H221" s="14" t="s">
        <v>884</v>
      </c>
    </row>
    <row r="224" spans="1:17" x14ac:dyDescent="0.15">
      <c r="A224" s="66" t="s">
        <v>976</v>
      </c>
      <c r="B224" s="67" t="s">
        <v>1110</v>
      </c>
      <c r="C224" s="67"/>
      <c r="D224" s="67"/>
      <c r="E224" s="67"/>
      <c r="F224" s="68"/>
      <c r="G224" s="67"/>
      <c r="H224" s="67"/>
      <c r="I224" s="68"/>
      <c r="J224" s="67"/>
      <c r="K224" s="68"/>
      <c r="L224" s="67"/>
      <c r="M224" s="68"/>
      <c r="N224" s="67"/>
      <c r="O224" s="67"/>
      <c r="P224" s="67"/>
      <c r="Q224" s="67"/>
    </row>
    <row r="225" spans="3:15" x14ac:dyDescent="0.15">
      <c r="C225" s="14" t="s">
        <v>1611</v>
      </c>
    </row>
    <row r="226" spans="3:15" x14ac:dyDescent="0.15">
      <c r="C226" s="14" t="s">
        <v>895</v>
      </c>
    </row>
    <row r="227" spans="3:15" x14ac:dyDescent="0.15">
      <c r="C227" s="141" t="s">
        <v>950</v>
      </c>
      <c r="D227" s="14" t="s">
        <v>1010</v>
      </c>
    </row>
    <row r="228" spans="3:15" x14ac:dyDescent="0.15">
      <c r="C228" s="142"/>
    </row>
    <row r="229" spans="3:15" x14ac:dyDescent="0.15">
      <c r="D229" s="69" t="s">
        <v>879</v>
      </c>
      <c r="E229" s="70" t="s">
        <v>1409</v>
      </c>
      <c r="F229" s="58"/>
      <c r="G229" s="58"/>
      <c r="H229" s="58"/>
      <c r="I229" s="71"/>
    </row>
    <row r="230" spans="3:15" x14ac:dyDescent="0.15">
      <c r="D230" s="72" t="s">
        <v>886</v>
      </c>
      <c r="E230" s="32" t="s">
        <v>1410</v>
      </c>
      <c r="F230" s="32"/>
      <c r="G230" s="32"/>
      <c r="H230" s="32"/>
      <c r="I230" s="73"/>
    </row>
    <row r="231" spans="3:15" x14ac:dyDescent="0.15">
      <c r="D231" s="72"/>
      <c r="E231" s="32" t="s">
        <v>1411</v>
      </c>
      <c r="F231" s="32"/>
      <c r="G231" s="32"/>
      <c r="H231" s="32"/>
      <c r="I231" s="73"/>
    </row>
    <row r="232" spans="3:15" x14ac:dyDescent="0.15">
      <c r="D232" s="74" t="s">
        <v>887</v>
      </c>
      <c r="E232" s="62" t="s">
        <v>948</v>
      </c>
      <c r="F232" s="62"/>
      <c r="G232" s="62"/>
      <c r="H232" s="62"/>
      <c r="I232" s="75"/>
    </row>
    <row r="234" spans="3:15" x14ac:dyDescent="0.15">
      <c r="D234" s="84"/>
      <c r="E234" s="115"/>
      <c r="F234" s="137" t="s">
        <v>949</v>
      </c>
    </row>
    <row r="235" spans="3:15" x14ac:dyDescent="0.15">
      <c r="D235" s="138" t="s">
        <v>1000</v>
      </c>
      <c r="E235" s="133" t="s">
        <v>917</v>
      </c>
      <c r="F235" s="133"/>
      <c r="G235" s="133"/>
      <c r="H235" s="133"/>
      <c r="I235" s="133"/>
      <c r="J235" s="133"/>
      <c r="K235" s="133"/>
      <c r="L235" s="133"/>
      <c r="M235" s="133"/>
      <c r="N235" s="133"/>
      <c r="O235" s="133"/>
    </row>
    <row r="236" spans="3:15" x14ac:dyDescent="0.15">
      <c r="D236" s="133" t="s">
        <v>919</v>
      </c>
      <c r="E236" s="133">
        <v>5</v>
      </c>
    </row>
    <row r="237" spans="3:15" ht="171" customHeight="1" x14ac:dyDescent="0.15">
      <c r="D237" s="136" t="s">
        <v>882</v>
      </c>
      <c r="E237" s="143" t="str">
        <f>fold(E235,E236)</f>
        <v xml:space="preserve">CAAGC_x000D_
TACAG_x000D_
TGTAA_x000D_
TTTAC_x000D_
GAGCC_x000D_
CAATT_x000D_
TTGCT_x000D_
ACTGG_x000D_
TCACC_x000D_
CTCTG_x000D_
ACTCA_x000D_
ACAAT_x000D_
</v>
      </c>
      <c r="F237" s="84"/>
      <c r="G237" s="84"/>
      <c r="H237" s="84"/>
      <c r="I237" s="84"/>
      <c r="J237" s="84"/>
      <c r="K237" s="84"/>
      <c r="L237" s="84"/>
      <c r="M237" s="84"/>
      <c r="N237" s="84"/>
      <c r="O237" s="84"/>
    </row>
    <row r="238" spans="3:15" x14ac:dyDescent="0.15">
      <c r="D238" s="138" t="s">
        <v>1000</v>
      </c>
      <c r="E238" s="133" t="s">
        <v>917</v>
      </c>
      <c r="F238" s="133"/>
      <c r="G238" s="133"/>
      <c r="H238" s="133"/>
      <c r="I238" s="133"/>
      <c r="J238" s="133"/>
      <c r="K238" s="133"/>
      <c r="L238" s="133"/>
      <c r="M238" s="133"/>
      <c r="N238" s="133"/>
      <c r="O238" s="133"/>
    </row>
    <row r="239" spans="3:15" x14ac:dyDescent="0.15">
      <c r="D239" s="133" t="s">
        <v>919</v>
      </c>
      <c r="E239" s="133">
        <v>10</v>
      </c>
    </row>
    <row r="240" spans="3:15" ht="99.75" customHeight="1" x14ac:dyDescent="0.15">
      <c r="D240" s="136" t="s">
        <v>882</v>
      </c>
      <c r="E240" s="286" t="str">
        <f>fold(E238,E239)</f>
        <v xml:space="preserve">CAAGCTACAG_x000D_
TGTAATTTAC_x000D_
GAGCCCAATT_x000D_
TTGCTACTGG_x000D_
TCACCCTCTG_x000D_
ACTCAACAAT_x000D_
</v>
      </c>
      <c r="F240" s="286"/>
      <c r="G240" s="286"/>
      <c r="H240" s="286"/>
      <c r="I240" s="84"/>
      <c r="J240" s="84"/>
      <c r="K240" s="84"/>
      <c r="L240" s="84"/>
      <c r="M240" s="84"/>
      <c r="N240" s="84"/>
      <c r="O240" s="84"/>
    </row>
    <row r="241" spans="1:17" x14ac:dyDescent="0.15">
      <c r="D241" s="138" t="s">
        <v>1000</v>
      </c>
      <c r="E241" s="133" t="s">
        <v>917</v>
      </c>
      <c r="F241" s="133"/>
      <c r="G241" s="133"/>
      <c r="H241" s="133"/>
      <c r="I241" s="133"/>
      <c r="J241" s="133"/>
      <c r="K241" s="133"/>
      <c r="L241" s="133"/>
      <c r="M241" s="133"/>
      <c r="N241" s="133"/>
      <c r="O241" s="133"/>
    </row>
    <row r="242" spans="1:17" x14ac:dyDescent="0.15">
      <c r="D242" s="133" t="s">
        <v>919</v>
      </c>
      <c r="E242" s="133">
        <v>20</v>
      </c>
    </row>
    <row r="243" spans="1:17" ht="52.5" customHeight="1" x14ac:dyDescent="0.15">
      <c r="D243" s="136" t="s">
        <v>882</v>
      </c>
      <c r="E243" s="286" t="str">
        <f>fold(E241,E242)</f>
        <v xml:space="preserve">CAAGCTACAGTGTAATTTAC_x000D_
GAGCCCAATTTTGCTACTGG_x000D_
TCACCCTCTGACTCAACAAT_x000D_
</v>
      </c>
      <c r="F243" s="286"/>
      <c r="G243" s="286"/>
      <c r="H243" s="286"/>
      <c r="I243" s="84"/>
      <c r="J243" s="84"/>
      <c r="K243" s="84"/>
      <c r="L243" s="84"/>
      <c r="M243" s="84"/>
      <c r="N243" s="84"/>
      <c r="O243" s="84"/>
    </row>
    <row r="246" spans="1:17" x14ac:dyDescent="0.15">
      <c r="A246" s="66" t="s">
        <v>958</v>
      </c>
      <c r="B246" s="67" t="s">
        <v>1111</v>
      </c>
      <c r="C246" s="67"/>
      <c r="D246" s="67"/>
      <c r="E246" s="67"/>
      <c r="F246" s="68"/>
      <c r="G246" s="67"/>
      <c r="H246" s="67"/>
      <c r="I246" s="68"/>
      <c r="J246" s="67"/>
      <c r="K246" s="68"/>
      <c r="L246" s="67"/>
      <c r="M246" s="68"/>
      <c r="N246" s="67"/>
      <c r="O246" s="67"/>
      <c r="P246" s="67"/>
      <c r="Q246" s="67"/>
    </row>
    <row r="247" spans="1:17" x14ac:dyDescent="0.15">
      <c r="C247" s="14" t="s">
        <v>1135</v>
      </c>
    </row>
    <row r="248" spans="1:17" x14ac:dyDescent="0.15">
      <c r="C248" s="14" t="s">
        <v>1092</v>
      </c>
    </row>
    <row r="250" spans="1:17" x14ac:dyDescent="0.15">
      <c r="D250" s="69" t="s">
        <v>879</v>
      </c>
      <c r="E250" s="70" t="s">
        <v>1412</v>
      </c>
      <c r="F250" s="58"/>
      <c r="G250" s="58"/>
      <c r="H250" s="71"/>
    </row>
    <row r="251" spans="1:17" x14ac:dyDescent="0.15">
      <c r="D251" s="72" t="s">
        <v>886</v>
      </c>
      <c r="E251" s="32" t="s">
        <v>1394</v>
      </c>
      <c r="F251" s="32"/>
      <c r="G251" s="32"/>
      <c r="H251" s="73"/>
    </row>
    <row r="252" spans="1:17" x14ac:dyDescent="0.15">
      <c r="D252" s="72"/>
      <c r="E252" s="32" t="s">
        <v>1413</v>
      </c>
      <c r="F252" s="32"/>
      <c r="G252" s="32"/>
      <c r="H252" s="73"/>
    </row>
    <row r="253" spans="1:17" x14ac:dyDescent="0.15">
      <c r="D253" s="74" t="s">
        <v>887</v>
      </c>
      <c r="E253" s="62" t="s">
        <v>983</v>
      </c>
      <c r="F253" s="62"/>
      <c r="G253" s="62"/>
      <c r="H253" s="75"/>
    </row>
    <row r="255" spans="1:17" x14ac:dyDescent="0.15">
      <c r="D255" s="84"/>
      <c r="E255" s="115"/>
      <c r="F255" s="137" t="s">
        <v>984</v>
      </c>
    </row>
    <row r="256" spans="1:17" x14ac:dyDescent="0.15">
      <c r="D256" s="138" t="s">
        <v>1000</v>
      </c>
      <c r="E256" s="133" t="s">
        <v>917</v>
      </c>
      <c r="F256" s="133"/>
      <c r="G256" s="133"/>
      <c r="H256" s="133"/>
      <c r="I256" s="133"/>
      <c r="J256" s="133"/>
      <c r="K256" s="133"/>
      <c r="L256" s="133"/>
      <c r="M256" s="133"/>
      <c r="N256" s="133"/>
      <c r="O256" s="133"/>
    </row>
    <row r="257" spans="1:17" x14ac:dyDescent="0.15">
      <c r="D257" s="133" t="s">
        <v>985</v>
      </c>
      <c r="E257" s="133">
        <v>5</v>
      </c>
    </row>
    <row r="258" spans="1:17" x14ac:dyDescent="0.15">
      <c r="D258" s="136" t="s">
        <v>882</v>
      </c>
      <c r="E258" s="136" t="str">
        <f>clip5(E256,E257)</f>
        <v>CAAGC</v>
      </c>
      <c r="F258" s="84"/>
      <c r="G258" s="84"/>
      <c r="H258" s="84"/>
      <c r="I258" s="84"/>
      <c r="J258" s="84"/>
      <c r="K258" s="84"/>
      <c r="L258" s="84"/>
      <c r="M258" s="84"/>
      <c r="N258" s="84"/>
      <c r="O258" s="84"/>
    </row>
    <row r="259" spans="1:17" x14ac:dyDescent="0.15">
      <c r="D259" s="138" t="s">
        <v>1000</v>
      </c>
      <c r="E259" s="133" t="s">
        <v>917</v>
      </c>
      <c r="F259" s="133"/>
      <c r="G259" s="133"/>
      <c r="H259" s="133"/>
      <c r="I259" s="133"/>
      <c r="J259" s="133"/>
      <c r="K259" s="133"/>
      <c r="L259" s="133"/>
      <c r="M259" s="133"/>
      <c r="N259" s="133"/>
      <c r="O259" s="133"/>
    </row>
    <row r="260" spans="1:17" x14ac:dyDescent="0.15">
      <c r="D260" s="133" t="s">
        <v>985</v>
      </c>
      <c r="E260" s="133">
        <v>10</v>
      </c>
    </row>
    <row r="261" spans="1:17" x14ac:dyDescent="0.15">
      <c r="D261" s="136" t="s">
        <v>882</v>
      </c>
      <c r="E261" s="136" t="str">
        <f>clip5(E259,E260)</f>
        <v>CAAGCTACAG</v>
      </c>
      <c r="F261" s="84"/>
      <c r="G261" s="84"/>
      <c r="H261" s="84"/>
      <c r="I261" s="84"/>
      <c r="J261" s="84"/>
      <c r="K261" s="84"/>
      <c r="L261" s="84"/>
      <c r="M261" s="84"/>
      <c r="N261" s="84"/>
      <c r="O261" s="84"/>
    </row>
    <row r="262" spans="1:17" x14ac:dyDescent="0.15">
      <c r="D262" s="138" t="s">
        <v>1000</v>
      </c>
      <c r="E262" s="133" t="s">
        <v>917</v>
      </c>
      <c r="F262" s="133"/>
      <c r="G262" s="133"/>
      <c r="H262" s="133"/>
      <c r="I262" s="133"/>
      <c r="J262" s="133"/>
      <c r="K262" s="133"/>
      <c r="L262" s="133"/>
      <c r="M262" s="133"/>
      <c r="N262" s="133"/>
      <c r="O262" s="133"/>
    </row>
    <row r="263" spans="1:17" x14ac:dyDescent="0.15">
      <c r="D263" s="133" t="s">
        <v>985</v>
      </c>
      <c r="E263" s="133">
        <v>15</v>
      </c>
    </row>
    <row r="264" spans="1:17" x14ac:dyDescent="0.15">
      <c r="D264" s="136" t="s">
        <v>882</v>
      </c>
      <c r="E264" s="136" t="str">
        <f>clip5(E262,E263)</f>
        <v>CAAGCTACAGTGTAA</v>
      </c>
      <c r="F264" s="84"/>
      <c r="G264" s="84"/>
      <c r="H264" s="84"/>
      <c r="I264" s="84"/>
      <c r="J264" s="84"/>
      <c r="K264" s="84"/>
      <c r="L264" s="84"/>
      <c r="M264" s="84"/>
      <c r="N264" s="84"/>
      <c r="O264" s="84"/>
    </row>
    <row r="265" spans="1:17" x14ac:dyDescent="0.15">
      <c r="D265" s="138" t="s">
        <v>1000</v>
      </c>
      <c r="E265" s="133" t="s">
        <v>917</v>
      </c>
      <c r="F265" s="133"/>
      <c r="G265" s="133"/>
      <c r="H265" s="133"/>
      <c r="I265" s="133"/>
      <c r="J265" s="133"/>
      <c r="K265" s="133"/>
      <c r="L265" s="133"/>
      <c r="M265" s="133"/>
      <c r="N265" s="133"/>
      <c r="O265" s="133"/>
    </row>
    <row r="266" spans="1:17" x14ac:dyDescent="0.15">
      <c r="D266" s="133" t="s">
        <v>985</v>
      </c>
      <c r="E266" s="133"/>
      <c r="G266" s="14" t="s">
        <v>1112</v>
      </c>
    </row>
    <row r="267" spans="1:17" x14ac:dyDescent="0.15">
      <c r="D267" s="136" t="s">
        <v>882</v>
      </c>
      <c r="E267" s="136" t="str">
        <f>clip5(E265)</f>
        <v>C</v>
      </c>
      <c r="F267" s="84"/>
      <c r="G267" s="84"/>
      <c r="H267" s="84"/>
      <c r="I267" s="84"/>
      <c r="J267" s="84"/>
      <c r="K267" s="84"/>
      <c r="L267" s="84"/>
      <c r="M267" s="139"/>
      <c r="N267" s="84"/>
      <c r="O267" s="84"/>
    </row>
    <row r="270" spans="1:17" x14ac:dyDescent="0.15">
      <c r="A270" s="66" t="s">
        <v>959</v>
      </c>
      <c r="B270" s="67" t="s">
        <v>1113</v>
      </c>
      <c r="C270" s="67"/>
      <c r="D270" s="67"/>
      <c r="E270" s="67"/>
      <c r="F270" s="68"/>
      <c r="G270" s="67"/>
      <c r="H270" s="67"/>
      <c r="I270" s="68"/>
      <c r="J270" s="67"/>
      <c r="K270" s="68"/>
      <c r="L270" s="67"/>
      <c r="M270" s="68"/>
      <c r="N270" s="67"/>
      <c r="O270" s="67"/>
      <c r="P270" s="67"/>
      <c r="Q270" s="67"/>
    </row>
    <row r="271" spans="1:17" x14ac:dyDescent="0.15">
      <c r="C271" s="14" t="s">
        <v>1136</v>
      </c>
    </row>
    <row r="272" spans="1:17" x14ac:dyDescent="0.15">
      <c r="C272" s="14" t="s">
        <v>1092</v>
      </c>
    </row>
    <row r="274" spans="4:15" x14ac:dyDescent="0.15">
      <c r="D274" s="69" t="s">
        <v>879</v>
      </c>
      <c r="E274" s="70" t="s">
        <v>1414</v>
      </c>
      <c r="F274" s="58"/>
      <c r="G274" s="58"/>
      <c r="H274" s="71"/>
    </row>
    <row r="275" spans="4:15" x14ac:dyDescent="0.15">
      <c r="D275" s="72" t="s">
        <v>886</v>
      </c>
      <c r="E275" s="32" t="s">
        <v>1392</v>
      </c>
      <c r="F275" s="32"/>
      <c r="G275" s="32"/>
      <c r="H275" s="73"/>
    </row>
    <row r="276" spans="4:15" x14ac:dyDescent="0.15">
      <c r="D276" s="72"/>
      <c r="E276" s="32" t="s">
        <v>1415</v>
      </c>
      <c r="F276" s="32"/>
      <c r="G276" s="32"/>
      <c r="H276" s="73"/>
    </row>
    <row r="277" spans="4:15" x14ac:dyDescent="0.15">
      <c r="D277" s="74" t="s">
        <v>887</v>
      </c>
      <c r="E277" s="62" t="s">
        <v>983</v>
      </c>
      <c r="F277" s="62"/>
      <c r="G277" s="62"/>
      <c r="H277" s="75"/>
    </row>
    <row r="279" spans="4:15" x14ac:dyDescent="0.15">
      <c r="D279" s="84"/>
      <c r="E279" s="115"/>
      <c r="F279" s="137" t="s">
        <v>988</v>
      </c>
    </row>
    <row r="280" spans="4:15" x14ac:dyDescent="0.15">
      <c r="D280" s="138" t="s">
        <v>1000</v>
      </c>
      <c r="E280" s="133" t="s">
        <v>917</v>
      </c>
      <c r="F280" s="133"/>
      <c r="G280" s="133"/>
      <c r="H280" s="133"/>
      <c r="I280" s="133"/>
      <c r="J280" s="133"/>
      <c r="K280" s="133"/>
      <c r="L280" s="133"/>
      <c r="M280" s="133"/>
      <c r="N280" s="133"/>
      <c r="O280" s="133"/>
    </row>
    <row r="281" spans="4:15" x14ac:dyDescent="0.15">
      <c r="D281" s="133" t="s">
        <v>985</v>
      </c>
      <c r="E281" s="133">
        <v>5</v>
      </c>
    </row>
    <row r="282" spans="4:15" x14ac:dyDescent="0.15">
      <c r="D282" s="136" t="s">
        <v>882</v>
      </c>
      <c r="E282" s="136" t="str">
        <f>clip3(E280,E281)</f>
        <v>ACAAT</v>
      </c>
      <c r="F282" s="84"/>
      <c r="G282" s="84"/>
      <c r="H282" s="84"/>
      <c r="I282" s="84"/>
      <c r="J282" s="84"/>
      <c r="K282" s="84"/>
      <c r="L282" s="84"/>
      <c r="M282" s="84"/>
      <c r="N282" s="84"/>
      <c r="O282" s="84"/>
    </row>
    <row r="283" spans="4:15" x14ac:dyDescent="0.15">
      <c r="D283" s="138" t="s">
        <v>1000</v>
      </c>
      <c r="E283" s="133" t="s">
        <v>917</v>
      </c>
      <c r="F283" s="133"/>
      <c r="G283" s="133"/>
      <c r="H283" s="133"/>
      <c r="I283" s="133"/>
      <c r="J283" s="133"/>
      <c r="K283" s="133"/>
      <c r="L283" s="133"/>
      <c r="M283" s="133"/>
      <c r="N283" s="133"/>
      <c r="O283" s="133"/>
    </row>
    <row r="284" spans="4:15" x14ac:dyDescent="0.15">
      <c r="D284" s="133" t="s">
        <v>985</v>
      </c>
      <c r="E284" s="133">
        <v>10</v>
      </c>
    </row>
    <row r="285" spans="4:15" x14ac:dyDescent="0.15">
      <c r="D285" s="136" t="s">
        <v>882</v>
      </c>
      <c r="E285" s="136" t="str">
        <f>clip3(E283,E284)</f>
        <v>ACTCAACAAT</v>
      </c>
      <c r="F285" s="84"/>
      <c r="G285" s="84"/>
      <c r="H285" s="84"/>
      <c r="I285" s="84"/>
      <c r="J285" s="84"/>
      <c r="K285" s="84"/>
      <c r="L285" s="84"/>
      <c r="M285" s="84"/>
      <c r="N285" s="84"/>
      <c r="O285" s="84"/>
    </row>
    <row r="286" spans="4:15" x14ac:dyDescent="0.15">
      <c r="D286" s="138" t="s">
        <v>1000</v>
      </c>
      <c r="E286" s="133" t="s">
        <v>917</v>
      </c>
      <c r="F286" s="133"/>
      <c r="G286" s="133"/>
      <c r="H286" s="133"/>
      <c r="I286" s="133"/>
      <c r="J286" s="133"/>
      <c r="K286" s="133"/>
      <c r="L286" s="133"/>
      <c r="M286" s="133"/>
      <c r="N286" s="133"/>
      <c r="O286" s="133"/>
    </row>
    <row r="287" spans="4:15" x14ac:dyDescent="0.15">
      <c r="D287" s="133" t="s">
        <v>985</v>
      </c>
      <c r="E287" s="133">
        <v>15</v>
      </c>
    </row>
    <row r="288" spans="4:15" x14ac:dyDescent="0.15">
      <c r="D288" s="136" t="s">
        <v>882</v>
      </c>
      <c r="E288" s="136" t="str">
        <f>clip3(E286,E287)</f>
        <v>CTCTGACTCAACAAT</v>
      </c>
      <c r="F288" s="84"/>
      <c r="G288" s="84"/>
      <c r="H288" s="84"/>
      <c r="I288" s="84"/>
      <c r="J288" s="84"/>
      <c r="K288" s="84"/>
      <c r="L288" s="84"/>
      <c r="M288" s="84"/>
      <c r="N288" s="84"/>
      <c r="O288" s="84"/>
    </row>
    <row r="289" spans="1:17" x14ac:dyDescent="0.15">
      <c r="D289" s="138" t="s">
        <v>1000</v>
      </c>
      <c r="E289" s="133" t="s">
        <v>917</v>
      </c>
      <c r="F289" s="133"/>
      <c r="G289" s="133"/>
      <c r="H289" s="133"/>
      <c r="I289" s="133"/>
      <c r="J289" s="133"/>
      <c r="K289" s="133"/>
      <c r="L289" s="133"/>
      <c r="M289" s="133"/>
      <c r="N289" s="133"/>
      <c r="O289" s="133"/>
    </row>
    <row r="290" spans="1:17" x14ac:dyDescent="0.15">
      <c r="D290" s="133" t="s">
        <v>985</v>
      </c>
      <c r="E290" s="133"/>
      <c r="G290" s="14" t="s">
        <v>1114</v>
      </c>
    </row>
    <row r="291" spans="1:17" x14ac:dyDescent="0.15">
      <c r="D291" s="136" t="s">
        <v>882</v>
      </c>
      <c r="E291" s="136" t="str">
        <f>clip3(E289)</f>
        <v>T</v>
      </c>
      <c r="F291" s="84"/>
      <c r="G291" s="84"/>
      <c r="H291" s="84"/>
      <c r="I291" s="84"/>
      <c r="J291" s="84"/>
      <c r="K291" s="84"/>
      <c r="L291" s="84"/>
      <c r="M291" s="139"/>
      <c r="N291" s="84"/>
      <c r="O291" s="84"/>
    </row>
    <row r="294" spans="1:17" x14ac:dyDescent="0.15">
      <c r="A294" s="66" t="s">
        <v>960</v>
      </c>
      <c r="B294" s="67" t="s">
        <v>1120</v>
      </c>
      <c r="C294" s="67"/>
      <c r="D294" s="67"/>
      <c r="E294" s="67"/>
      <c r="F294" s="68"/>
      <c r="G294" s="67"/>
      <c r="H294" s="67"/>
      <c r="I294" s="68"/>
      <c r="J294" s="67"/>
      <c r="K294" s="68"/>
      <c r="L294" s="67"/>
      <c r="M294" s="68"/>
      <c r="N294" s="67"/>
      <c r="O294" s="67"/>
      <c r="P294" s="67"/>
      <c r="Q294" s="67"/>
    </row>
    <row r="295" spans="1:17" x14ac:dyDescent="0.15">
      <c r="C295" s="14" t="s">
        <v>1121</v>
      </c>
    </row>
    <row r="296" spans="1:17" x14ac:dyDescent="0.15">
      <c r="C296" s="14" t="s">
        <v>1092</v>
      </c>
    </row>
    <row r="298" spans="1:17" x14ac:dyDescent="0.15">
      <c r="D298" s="69" t="s">
        <v>879</v>
      </c>
      <c r="E298" s="70" t="s">
        <v>1416</v>
      </c>
      <c r="F298" s="58"/>
      <c r="G298" s="58"/>
      <c r="H298" s="71"/>
    </row>
    <row r="299" spans="1:17" x14ac:dyDescent="0.15">
      <c r="D299" s="72" t="s">
        <v>886</v>
      </c>
      <c r="E299" s="32" t="s">
        <v>1417</v>
      </c>
      <c r="F299" s="32"/>
      <c r="G299" s="32"/>
      <c r="H299" s="73"/>
    </row>
    <row r="300" spans="1:17" x14ac:dyDescent="0.15">
      <c r="D300" s="72"/>
      <c r="E300" s="32" t="s">
        <v>1418</v>
      </c>
      <c r="F300" s="32"/>
      <c r="G300" s="32"/>
      <c r="H300" s="73"/>
    </row>
    <row r="301" spans="1:17" x14ac:dyDescent="0.15">
      <c r="D301" s="74" t="s">
        <v>887</v>
      </c>
      <c r="E301" s="62" t="s">
        <v>1122</v>
      </c>
      <c r="F301" s="62"/>
      <c r="G301" s="62"/>
      <c r="H301" s="75"/>
    </row>
    <row r="303" spans="1:17" x14ac:dyDescent="0.15">
      <c r="D303" s="84"/>
      <c r="E303" s="115"/>
      <c r="F303" s="137" t="s">
        <v>1088</v>
      </c>
    </row>
    <row r="304" spans="1:17" x14ac:dyDescent="0.15">
      <c r="D304" s="138" t="s">
        <v>1000</v>
      </c>
      <c r="E304" s="133" t="s">
        <v>917</v>
      </c>
      <c r="F304" s="133"/>
      <c r="G304" s="133"/>
      <c r="H304" s="133"/>
      <c r="I304" s="133"/>
      <c r="J304" s="133"/>
      <c r="K304" s="133"/>
      <c r="L304" s="133"/>
      <c r="M304" s="133"/>
      <c r="N304" s="133"/>
      <c r="O304" s="133"/>
    </row>
    <row r="305" spans="4:15" x14ac:dyDescent="0.15">
      <c r="D305" s="133" t="s">
        <v>952</v>
      </c>
      <c r="E305" s="133">
        <v>1</v>
      </c>
    </row>
    <row r="306" spans="4:15" x14ac:dyDescent="0.15">
      <c r="D306" s="136" t="s">
        <v>882</v>
      </c>
      <c r="E306" s="136" t="str">
        <f>nuc2aa(E304,E305)</f>
        <v>QATV*FTSPILLLVTL*LNN</v>
      </c>
      <c r="F306" s="84"/>
      <c r="G306" s="84"/>
      <c r="H306" s="84"/>
      <c r="I306" s="84"/>
      <c r="J306" s="84"/>
      <c r="K306" s="84"/>
      <c r="L306" s="84"/>
      <c r="M306" s="84"/>
      <c r="N306" s="84"/>
      <c r="O306" s="84"/>
    </row>
    <row r="307" spans="4:15" x14ac:dyDescent="0.15">
      <c r="D307" s="138" t="s">
        <v>1000</v>
      </c>
      <c r="E307" s="133" t="s">
        <v>917</v>
      </c>
      <c r="F307" s="133"/>
      <c r="G307" s="133"/>
      <c r="H307" s="133"/>
      <c r="I307" s="133"/>
      <c r="J307" s="133"/>
      <c r="K307" s="133"/>
      <c r="L307" s="133"/>
      <c r="M307" s="133"/>
      <c r="N307" s="133"/>
      <c r="O307" s="133"/>
    </row>
    <row r="308" spans="4:15" x14ac:dyDescent="0.15">
      <c r="D308" s="133" t="s">
        <v>952</v>
      </c>
      <c r="E308" s="133">
        <v>2</v>
      </c>
    </row>
    <row r="309" spans="4:15" x14ac:dyDescent="0.15">
      <c r="D309" s="136" t="s">
        <v>882</v>
      </c>
      <c r="E309" s="136" t="str">
        <f>nuc2aa(E307,E308)</f>
        <v>KLQCNLRAQFCYWSPSDST-</v>
      </c>
      <c r="F309" s="84"/>
      <c r="G309" s="84"/>
      <c r="H309" s="84"/>
      <c r="I309" s="84"/>
      <c r="J309" s="84"/>
      <c r="K309" s="84"/>
      <c r="L309" s="84"/>
      <c r="M309" s="84"/>
      <c r="N309" s="84"/>
      <c r="O309" s="84"/>
    </row>
    <row r="310" spans="4:15" x14ac:dyDescent="0.15">
      <c r="D310" s="138" t="s">
        <v>1000</v>
      </c>
      <c r="E310" s="133" t="s">
        <v>917</v>
      </c>
      <c r="F310" s="133"/>
      <c r="G310" s="133"/>
      <c r="H310" s="133"/>
      <c r="I310" s="133"/>
      <c r="J310" s="133"/>
      <c r="K310" s="133"/>
      <c r="L310" s="133"/>
      <c r="M310" s="133"/>
      <c r="N310" s="133"/>
      <c r="O310" s="133"/>
    </row>
    <row r="311" spans="4:15" x14ac:dyDescent="0.15">
      <c r="D311" s="133" t="s">
        <v>952</v>
      </c>
      <c r="E311" s="133">
        <v>3</v>
      </c>
    </row>
    <row r="312" spans="4:15" x14ac:dyDescent="0.15">
      <c r="D312" s="136" t="s">
        <v>882</v>
      </c>
      <c r="E312" s="136" t="str">
        <f>nuc2aa(E310,E311)</f>
        <v>SYSVIYEPNFATGHPLTQQ-</v>
      </c>
      <c r="F312" s="84"/>
      <c r="G312" s="84"/>
      <c r="H312" s="84"/>
      <c r="I312" s="84"/>
      <c r="J312" s="84"/>
      <c r="K312" s="84"/>
      <c r="L312" s="84"/>
      <c r="M312" s="84"/>
      <c r="N312" s="84"/>
      <c r="O312" s="84"/>
    </row>
    <row r="313" spans="4:15" x14ac:dyDescent="0.15">
      <c r="D313" s="138" t="s">
        <v>1000</v>
      </c>
      <c r="E313" s="133" t="s">
        <v>917</v>
      </c>
      <c r="F313" s="133"/>
      <c r="G313" s="133"/>
      <c r="H313" s="133"/>
      <c r="I313" s="133"/>
      <c r="J313" s="133"/>
      <c r="K313" s="133"/>
      <c r="L313" s="133"/>
      <c r="M313" s="133"/>
      <c r="N313" s="133"/>
      <c r="O313" s="133"/>
    </row>
    <row r="314" spans="4:15" x14ac:dyDescent="0.15">
      <c r="D314" s="133" t="s">
        <v>952</v>
      </c>
      <c r="E314" s="133">
        <v>5</v>
      </c>
      <c r="G314" s="14" t="s">
        <v>1014</v>
      </c>
    </row>
    <row r="315" spans="4:15" x14ac:dyDescent="0.15">
      <c r="D315" s="136" t="s">
        <v>882</v>
      </c>
      <c r="E315" s="136" t="str">
        <f>nuc2aa(E313,E314)</f>
        <v>KLQCNLRAQFCYWSPSDST-</v>
      </c>
      <c r="F315" s="84"/>
      <c r="G315" s="84"/>
      <c r="H315" s="84"/>
      <c r="I315" s="84"/>
      <c r="J315" s="84"/>
      <c r="K315" s="84"/>
      <c r="L315" s="84"/>
      <c r="M315" s="139"/>
      <c r="N315" s="84"/>
      <c r="O315" s="84"/>
    </row>
    <row r="316" spans="4:15" x14ac:dyDescent="0.15">
      <c r="D316" s="138" t="s">
        <v>1000</v>
      </c>
      <c r="E316" s="133" t="s">
        <v>917</v>
      </c>
      <c r="F316" s="133"/>
      <c r="G316" s="133"/>
      <c r="H316" s="133"/>
      <c r="I316" s="133"/>
      <c r="J316" s="133"/>
      <c r="K316" s="133"/>
      <c r="L316" s="133"/>
      <c r="M316" s="133"/>
      <c r="N316" s="133"/>
      <c r="O316" s="133"/>
    </row>
    <row r="317" spans="4:15" x14ac:dyDescent="0.15">
      <c r="D317" s="133" t="s">
        <v>952</v>
      </c>
      <c r="E317" s="133">
        <v>-3</v>
      </c>
      <c r="G317" s="14" t="s">
        <v>1013</v>
      </c>
    </row>
    <row r="318" spans="4:15" x14ac:dyDescent="0.15">
      <c r="D318" s="136" t="s">
        <v>882</v>
      </c>
      <c r="E318" s="136" t="str">
        <f>nuc2aa(E316,E317)</f>
        <v>QATV*FTSPILLLVTL*LNN</v>
      </c>
      <c r="F318" s="84"/>
      <c r="G318" s="84"/>
      <c r="H318" s="84"/>
      <c r="I318" s="84"/>
      <c r="J318" s="84"/>
      <c r="K318" s="84"/>
      <c r="L318" s="84"/>
      <c r="M318" s="139"/>
      <c r="N318" s="84"/>
      <c r="O318" s="84"/>
    </row>
    <row r="321" spans="1:17" x14ac:dyDescent="0.15">
      <c r="A321" s="66" t="s">
        <v>961</v>
      </c>
      <c r="B321" s="67" t="s">
        <v>1123</v>
      </c>
      <c r="C321" s="67"/>
      <c r="D321" s="67"/>
      <c r="E321" s="67"/>
      <c r="F321" s="68"/>
      <c r="G321" s="67"/>
      <c r="H321" s="67"/>
      <c r="I321" s="68"/>
      <c r="J321" s="67"/>
      <c r="K321" s="68"/>
      <c r="L321" s="67"/>
      <c r="M321" s="68"/>
      <c r="N321" s="67"/>
      <c r="O321" s="67"/>
      <c r="P321" s="67"/>
      <c r="Q321" s="67"/>
    </row>
    <row r="322" spans="1:17" x14ac:dyDescent="0.15">
      <c r="C322" s="14" t="s">
        <v>1137</v>
      </c>
    </row>
    <row r="323" spans="1:17" x14ac:dyDescent="0.15">
      <c r="C323" s="14" t="s">
        <v>1092</v>
      </c>
    </row>
    <row r="325" spans="1:17" x14ac:dyDescent="0.15">
      <c r="D325" s="69" t="s">
        <v>879</v>
      </c>
      <c r="E325" s="70" t="s">
        <v>1419</v>
      </c>
      <c r="F325" s="58"/>
      <c r="G325" s="58"/>
      <c r="H325" s="58"/>
      <c r="I325" s="58"/>
      <c r="J325" s="58"/>
      <c r="K325" s="71"/>
    </row>
    <row r="326" spans="1:17" x14ac:dyDescent="0.15">
      <c r="D326" s="72" t="s">
        <v>886</v>
      </c>
      <c r="E326" s="32" t="s">
        <v>1394</v>
      </c>
      <c r="F326" s="32"/>
      <c r="G326" s="32"/>
      <c r="H326" s="32"/>
      <c r="I326" s="32"/>
      <c r="J326" s="32"/>
      <c r="K326" s="73"/>
    </row>
    <row r="327" spans="1:17" x14ac:dyDescent="0.15">
      <c r="D327" s="74" t="s">
        <v>887</v>
      </c>
      <c r="E327" s="62" t="s">
        <v>1124</v>
      </c>
      <c r="F327" s="62"/>
      <c r="G327" s="62"/>
      <c r="H327" s="62"/>
      <c r="I327" s="62"/>
      <c r="J327" s="62"/>
      <c r="K327" s="75"/>
    </row>
    <row r="329" spans="1:17" x14ac:dyDescent="0.15">
      <c r="D329" s="84"/>
      <c r="E329" s="115"/>
      <c r="F329" s="137" t="s">
        <v>980</v>
      </c>
    </row>
    <row r="330" spans="1:17" x14ac:dyDescent="0.15">
      <c r="D330" s="138" t="s">
        <v>1000</v>
      </c>
      <c r="E330" s="133" t="s">
        <v>917</v>
      </c>
      <c r="F330" s="133"/>
      <c r="G330" s="133"/>
      <c r="H330" s="133"/>
      <c r="I330" s="133"/>
      <c r="J330" s="133"/>
      <c r="K330" s="133"/>
      <c r="L330" s="133"/>
      <c r="M330" s="133"/>
      <c r="N330" s="133"/>
      <c r="O330" s="133"/>
    </row>
    <row r="331" spans="1:17" x14ac:dyDescent="0.15">
      <c r="D331" s="136" t="s">
        <v>882</v>
      </c>
      <c r="E331" s="136" t="str">
        <f>composition(E330)</f>
        <v>A:17 C:17 G:9 T:17 Else:0 Total:60</v>
      </c>
      <c r="F331" s="84"/>
      <c r="G331" s="84"/>
      <c r="H331" s="84"/>
      <c r="I331" s="84"/>
      <c r="J331" s="84"/>
      <c r="K331" s="84"/>
      <c r="L331" s="84"/>
      <c r="M331" s="84"/>
      <c r="N331" s="84"/>
      <c r="O331" s="84"/>
    </row>
    <row r="332" spans="1:17" x14ac:dyDescent="0.15">
      <c r="D332" s="138" t="s">
        <v>1000</v>
      </c>
      <c r="E332" s="133" t="s">
        <v>981</v>
      </c>
      <c r="F332" s="133"/>
      <c r="G332" s="133"/>
      <c r="H332" s="133"/>
      <c r="I332" s="133"/>
      <c r="J332" s="133"/>
      <c r="K332" s="133"/>
      <c r="L332" s="133"/>
      <c r="M332" s="133"/>
      <c r="N332" s="133"/>
      <c r="O332" s="133"/>
    </row>
    <row r="333" spans="1:17" x14ac:dyDescent="0.15">
      <c r="D333" s="136" t="s">
        <v>882</v>
      </c>
      <c r="E333" s="136" t="str">
        <f>composition(E332)</f>
        <v>A:16 C:16 G:13 T:15 Else:0 Total:60</v>
      </c>
      <c r="F333" s="84"/>
      <c r="G333" s="84"/>
      <c r="H333" s="84"/>
      <c r="I333" s="84"/>
      <c r="J333" s="84"/>
      <c r="K333" s="84"/>
      <c r="L333" s="84"/>
      <c r="M333" s="84"/>
      <c r="N333" s="84"/>
      <c r="O333" s="84"/>
    </row>
    <row r="334" spans="1:17" x14ac:dyDescent="0.15">
      <c r="D334" s="138" t="s">
        <v>1000</v>
      </c>
      <c r="E334" s="133" t="s">
        <v>982</v>
      </c>
      <c r="F334" s="133"/>
      <c r="G334" s="133"/>
      <c r="H334" s="133"/>
      <c r="I334" s="133"/>
      <c r="J334" s="133"/>
      <c r="K334" s="133"/>
      <c r="L334" s="133"/>
      <c r="M334" s="133"/>
      <c r="N334" s="133"/>
      <c r="O334" s="133"/>
    </row>
    <row r="335" spans="1:17" x14ac:dyDescent="0.15">
      <c r="D335" s="136" t="s">
        <v>882</v>
      </c>
      <c r="E335" s="136" t="str">
        <f>composition(E334)</f>
        <v>A:16 C:17 G:13 T:17 Else:18 Total:81</v>
      </c>
      <c r="F335" s="84"/>
      <c r="G335" s="84"/>
      <c r="H335" s="84"/>
      <c r="I335" s="84"/>
      <c r="J335" s="84"/>
      <c r="K335" s="84"/>
      <c r="L335" s="84"/>
      <c r="M335" s="84"/>
      <c r="N335" s="84"/>
      <c r="O335" s="84"/>
    </row>
    <row r="338" spans="1:17" x14ac:dyDescent="0.15">
      <c r="A338" s="66" t="s">
        <v>989</v>
      </c>
      <c r="B338" s="67" t="s">
        <v>1125</v>
      </c>
      <c r="C338" s="67"/>
      <c r="D338" s="67"/>
      <c r="E338" s="67"/>
      <c r="F338" s="68"/>
      <c r="G338" s="67"/>
      <c r="H338" s="67"/>
      <c r="I338" s="68"/>
      <c r="J338" s="67"/>
      <c r="K338" s="68"/>
      <c r="L338" s="67"/>
      <c r="M338" s="68"/>
      <c r="N338" s="67"/>
      <c r="O338" s="67"/>
      <c r="P338" s="67"/>
      <c r="Q338" s="67"/>
    </row>
    <row r="339" spans="1:17" x14ac:dyDescent="0.15">
      <c r="C339" s="14" t="s">
        <v>1126</v>
      </c>
    </row>
    <row r="340" spans="1:17" x14ac:dyDescent="0.15">
      <c r="C340" s="14" t="s">
        <v>1092</v>
      </c>
    </row>
    <row r="342" spans="1:17" x14ac:dyDescent="0.15">
      <c r="D342" s="69" t="s">
        <v>879</v>
      </c>
      <c r="E342" s="70" t="s">
        <v>1420</v>
      </c>
      <c r="F342" s="58"/>
      <c r="G342" s="58"/>
      <c r="H342" s="71"/>
    </row>
    <row r="343" spans="1:17" x14ac:dyDescent="0.15">
      <c r="D343" s="72" t="s">
        <v>886</v>
      </c>
      <c r="E343" s="32" t="s">
        <v>1394</v>
      </c>
      <c r="F343" s="32"/>
      <c r="G343" s="32"/>
      <c r="H343" s="73"/>
    </row>
    <row r="344" spans="1:17" x14ac:dyDescent="0.15">
      <c r="D344" s="74" t="s">
        <v>887</v>
      </c>
      <c r="E344" s="62" t="s">
        <v>991</v>
      </c>
      <c r="F344" s="62"/>
      <c r="G344" s="62"/>
      <c r="H344" s="75"/>
    </row>
    <row r="346" spans="1:17" x14ac:dyDescent="0.15">
      <c r="D346" s="84"/>
      <c r="E346" s="115"/>
      <c r="F346" s="137" t="s">
        <v>992</v>
      </c>
    </row>
    <row r="347" spans="1:17" x14ac:dyDescent="0.15">
      <c r="D347" s="138" t="s">
        <v>1000</v>
      </c>
      <c r="E347" s="133" t="s">
        <v>917</v>
      </c>
      <c r="F347" s="133"/>
      <c r="G347" s="133"/>
      <c r="H347" s="133"/>
      <c r="I347" s="133"/>
      <c r="J347" s="133"/>
      <c r="K347" s="133"/>
      <c r="L347" s="133"/>
      <c r="M347" s="133"/>
      <c r="N347" s="133"/>
      <c r="O347" s="133"/>
    </row>
    <row r="348" spans="1:17" x14ac:dyDescent="0.15">
      <c r="D348" s="136" t="s">
        <v>882</v>
      </c>
      <c r="E348" s="136">
        <f>GCratio(E347)</f>
        <v>0.43333333333333335</v>
      </c>
      <c r="F348" s="84"/>
      <c r="G348" s="84"/>
      <c r="H348" s="84"/>
      <c r="I348" s="84"/>
      <c r="J348" s="84"/>
      <c r="K348" s="84"/>
      <c r="L348" s="84"/>
      <c r="M348" s="84"/>
      <c r="N348" s="84"/>
      <c r="O348" s="84"/>
    </row>
    <row r="349" spans="1:17" x14ac:dyDescent="0.15">
      <c r="D349" s="138" t="s">
        <v>1000</v>
      </c>
      <c r="E349" s="133" t="s">
        <v>981</v>
      </c>
      <c r="F349" s="133"/>
      <c r="G349" s="133"/>
      <c r="H349" s="133"/>
      <c r="I349" s="133"/>
      <c r="J349" s="133"/>
      <c r="K349" s="133"/>
      <c r="L349" s="133"/>
      <c r="M349" s="133"/>
      <c r="N349" s="133"/>
      <c r="O349" s="133"/>
    </row>
    <row r="350" spans="1:17" x14ac:dyDescent="0.15">
      <c r="D350" s="136" t="s">
        <v>882</v>
      </c>
      <c r="E350" s="136">
        <f>GCratio(E349)</f>
        <v>0.48333333333333334</v>
      </c>
      <c r="F350" s="84"/>
      <c r="G350" s="84"/>
      <c r="H350" s="84"/>
      <c r="I350" s="84"/>
      <c r="J350" s="84"/>
      <c r="K350" s="84"/>
      <c r="L350" s="84"/>
      <c r="M350" s="84"/>
      <c r="N350" s="84"/>
      <c r="O350" s="84"/>
    </row>
    <row r="351" spans="1:17" x14ac:dyDescent="0.15">
      <c r="D351" s="138" t="s">
        <v>1000</v>
      </c>
      <c r="E351" s="133" t="s">
        <v>982</v>
      </c>
      <c r="F351" s="133"/>
      <c r="G351" s="133"/>
      <c r="H351" s="133"/>
      <c r="I351" s="133"/>
      <c r="J351" s="133"/>
      <c r="K351" s="133"/>
      <c r="L351" s="133"/>
      <c r="M351" s="133"/>
      <c r="N351" s="133"/>
      <c r="O351" s="133"/>
    </row>
    <row r="352" spans="1:17" x14ac:dyDescent="0.15">
      <c r="D352" s="136" t="s">
        <v>882</v>
      </c>
      <c r="E352" s="136">
        <f>GCratio(E351)</f>
        <v>0.37037037037037035</v>
      </c>
      <c r="F352" s="84"/>
      <c r="G352" s="84"/>
      <c r="H352" s="84"/>
      <c r="I352" s="84"/>
      <c r="J352" s="84"/>
      <c r="K352" s="84"/>
      <c r="L352" s="84"/>
      <c r="M352" s="84"/>
      <c r="N352" s="84"/>
      <c r="O352" s="84"/>
    </row>
    <row r="355" spans="1:17" x14ac:dyDescent="0.15">
      <c r="A355" s="66" t="s">
        <v>993</v>
      </c>
      <c r="B355" s="67" t="s">
        <v>1115</v>
      </c>
      <c r="C355" s="67"/>
      <c r="D355" s="67"/>
      <c r="E355" s="67"/>
      <c r="F355" s="68"/>
      <c r="G355" s="67"/>
      <c r="H355" s="67"/>
      <c r="I355" s="68"/>
      <c r="J355" s="67"/>
      <c r="K355" s="68"/>
      <c r="L355" s="67"/>
      <c r="M355" s="68"/>
      <c r="N355" s="67"/>
      <c r="O355" s="67"/>
      <c r="P355" s="67"/>
      <c r="Q355" s="67"/>
    </row>
    <row r="356" spans="1:17" x14ac:dyDescent="0.15">
      <c r="C356" s="14" t="s">
        <v>1127</v>
      </c>
    </row>
    <row r="357" spans="1:17" x14ac:dyDescent="0.15">
      <c r="C357" s="14" t="s">
        <v>1021</v>
      </c>
    </row>
    <row r="359" spans="1:17" x14ac:dyDescent="0.15">
      <c r="D359" s="69" t="s">
        <v>879</v>
      </c>
      <c r="E359" s="70" t="s">
        <v>1421</v>
      </c>
      <c r="F359" s="58"/>
      <c r="G359" s="58"/>
      <c r="H359" s="58"/>
      <c r="I359" s="58"/>
      <c r="J359" s="58"/>
      <c r="K359" s="58"/>
      <c r="L359" s="58"/>
      <c r="M359" s="71"/>
    </row>
    <row r="360" spans="1:17" x14ac:dyDescent="0.15">
      <c r="D360" s="72" t="s">
        <v>886</v>
      </c>
      <c r="E360" s="32" t="s">
        <v>1422</v>
      </c>
      <c r="F360" s="32"/>
      <c r="G360" s="32"/>
      <c r="H360" s="32"/>
      <c r="I360" s="32"/>
      <c r="J360" s="32"/>
      <c r="K360" s="32"/>
      <c r="L360" s="32"/>
      <c r="M360" s="73"/>
    </row>
    <row r="361" spans="1:17" x14ac:dyDescent="0.15">
      <c r="D361" s="72"/>
      <c r="E361" s="32" t="s">
        <v>1423</v>
      </c>
      <c r="F361" s="32"/>
      <c r="G361" s="32"/>
      <c r="H361" s="32"/>
      <c r="I361" s="32"/>
      <c r="J361" s="32"/>
      <c r="K361" s="32"/>
      <c r="L361" s="32"/>
      <c r="M361" s="73"/>
    </row>
    <row r="362" spans="1:17" x14ac:dyDescent="0.15">
      <c r="D362" s="72"/>
      <c r="E362" s="32" t="s">
        <v>1424</v>
      </c>
      <c r="F362" s="32"/>
      <c r="G362" s="32"/>
      <c r="H362" s="32"/>
      <c r="I362" s="32"/>
      <c r="J362" s="32"/>
      <c r="K362" s="32"/>
      <c r="L362" s="32"/>
      <c r="M362" s="73"/>
    </row>
    <row r="363" spans="1:17" x14ac:dyDescent="0.15">
      <c r="D363" s="74" t="s">
        <v>887</v>
      </c>
      <c r="E363" s="62" t="s">
        <v>996</v>
      </c>
      <c r="F363" s="62"/>
      <c r="G363" s="62"/>
      <c r="H363" s="62"/>
      <c r="I363" s="62"/>
      <c r="J363" s="62"/>
      <c r="K363" s="62"/>
      <c r="L363" s="62"/>
      <c r="M363" s="75"/>
    </row>
    <row r="365" spans="1:17" x14ac:dyDescent="0.15">
      <c r="D365" s="84"/>
      <c r="E365" s="115"/>
      <c r="F365" s="137" t="s">
        <v>997</v>
      </c>
    </row>
    <row r="366" spans="1:17" x14ac:dyDescent="0.15">
      <c r="D366" s="138" t="s">
        <v>1000</v>
      </c>
      <c r="E366" s="133" t="s">
        <v>999</v>
      </c>
      <c r="F366" s="133"/>
      <c r="G366" s="133"/>
      <c r="H366" s="133"/>
      <c r="I366" s="133"/>
      <c r="J366" s="133"/>
      <c r="K366" s="133"/>
      <c r="L366" s="133"/>
      <c r="M366" s="133"/>
      <c r="N366" s="133"/>
      <c r="O366" s="133"/>
    </row>
    <row r="367" spans="1:17" x14ac:dyDescent="0.15">
      <c r="D367" s="138" t="s">
        <v>995</v>
      </c>
      <c r="E367" s="133" t="s">
        <v>1001</v>
      </c>
      <c r="F367" s="133"/>
      <c r="G367" s="133"/>
      <c r="H367" s="133"/>
      <c r="I367" s="133"/>
      <c r="J367" s="133"/>
      <c r="K367" s="133"/>
      <c r="L367" s="133"/>
      <c r="M367" s="133"/>
      <c r="N367" s="133"/>
      <c r="O367" s="133"/>
    </row>
    <row r="368" spans="1:17" x14ac:dyDescent="0.15">
      <c r="D368" s="133" t="s">
        <v>998</v>
      </c>
      <c r="E368" s="133">
        <v>1</v>
      </c>
    </row>
    <row r="369" spans="1:17" x14ac:dyDescent="0.15">
      <c r="D369" s="136" t="s">
        <v>882</v>
      </c>
      <c r="E369" s="136">
        <f>motifcount(E366,E367,E368)</f>
        <v>1</v>
      </c>
      <c r="F369" s="84"/>
      <c r="G369" s="84"/>
      <c r="H369" s="84"/>
      <c r="I369" s="84"/>
      <c r="J369" s="84"/>
      <c r="K369" s="84"/>
      <c r="L369" s="84"/>
      <c r="M369" s="84"/>
      <c r="N369" s="84"/>
      <c r="O369" s="84"/>
    </row>
    <row r="370" spans="1:17" x14ac:dyDescent="0.15">
      <c r="D370" s="138" t="s">
        <v>1000</v>
      </c>
      <c r="E370" s="133" t="s">
        <v>999</v>
      </c>
      <c r="F370" s="133"/>
      <c r="G370" s="133"/>
      <c r="H370" s="133"/>
      <c r="I370" s="133"/>
      <c r="J370" s="133"/>
      <c r="K370" s="133"/>
      <c r="L370" s="133"/>
      <c r="M370" s="133"/>
      <c r="N370" s="133"/>
      <c r="O370" s="133"/>
    </row>
    <row r="371" spans="1:17" x14ac:dyDescent="0.15">
      <c r="D371" s="138" t="s">
        <v>995</v>
      </c>
      <c r="E371" s="133" t="s">
        <v>1002</v>
      </c>
      <c r="F371" s="133"/>
      <c r="G371" s="133"/>
      <c r="H371" s="133"/>
      <c r="I371" s="133"/>
      <c r="J371" s="133"/>
      <c r="K371" s="133"/>
      <c r="L371" s="133"/>
      <c r="M371" s="133"/>
      <c r="N371" s="133"/>
      <c r="O371" s="133"/>
    </row>
    <row r="372" spans="1:17" x14ac:dyDescent="0.15">
      <c r="D372" s="133" t="s">
        <v>998</v>
      </c>
      <c r="E372" s="133">
        <v>10</v>
      </c>
    </row>
    <row r="373" spans="1:17" x14ac:dyDescent="0.15">
      <c r="D373" s="136" t="s">
        <v>882</v>
      </c>
      <c r="E373" s="136">
        <f>motifcount(E370,E371,E372)</f>
        <v>7</v>
      </c>
      <c r="F373" s="84"/>
      <c r="G373" s="84"/>
      <c r="H373" s="84"/>
      <c r="I373" s="84"/>
      <c r="J373" s="84"/>
      <c r="K373" s="84"/>
      <c r="L373" s="84"/>
      <c r="M373" s="84"/>
      <c r="N373" s="84"/>
      <c r="O373" s="84"/>
    </row>
    <row r="374" spans="1:17" x14ac:dyDescent="0.15">
      <c r="D374" s="138" t="s">
        <v>1000</v>
      </c>
      <c r="E374" s="133" t="s">
        <v>917</v>
      </c>
      <c r="F374" s="133"/>
      <c r="G374" s="133"/>
      <c r="H374" s="133"/>
      <c r="I374" s="133"/>
      <c r="J374" s="133"/>
      <c r="K374" s="133"/>
      <c r="L374" s="133"/>
      <c r="M374" s="133"/>
      <c r="N374" s="133"/>
      <c r="O374" s="133"/>
    </row>
    <row r="375" spans="1:17" x14ac:dyDescent="0.15">
      <c r="D375" s="138" t="s">
        <v>995</v>
      </c>
      <c r="E375" s="133" t="s">
        <v>1003</v>
      </c>
      <c r="F375" s="133"/>
      <c r="G375" s="133"/>
      <c r="H375" s="133"/>
      <c r="I375" s="133"/>
      <c r="J375" s="133"/>
      <c r="K375" s="133"/>
      <c r="L375" s="133"/>
      <c r="M375" s="133"/>
      <c r="N375" s="133"/>
      <c r="O375" s="133"/>
    </row>
    <row r="376" spans="1:17" x14ac:dyDescent="0.15">
      <c r="D376" s="133" t="s">
        <v>998</v>
      </c>
      <c r="E376" s="133">
        <v>1</v>
      </c>
    </row>
    <row r="377" spans="1:17" x14ac:dyDescent="0.15">
      <c r="D377" s="136" t="s">
        <v>882</v>
      </c>
      <c r="E377" s="136">
        <f>motifcount(E374,E375,E376)</f>
        <v>2</v>
      </c>
      <c r="F377" s="84"/>
      <c r="G377" s="84"/>
      <c r="H377" s="84"/>
      <c r="I377" s="84"/>
      <c r="J377" s="84"/>
      <c r="K377" s="84"/>
      <c r="L377" s="84"/>
      <c r="M377" s="84"/>
      <c r="N377" s="84"/>
      <c r="O377" s="84"/>
    </row>
    <row r="378" spans="1:17" x14ac:dyDescent="0.15">
      <c r="D378" s="138" t="s">
        <v>1000</v>
      </c>
      <c r="E378" s="133" t="s">
        <v>917</v>
      </c>
      <c r="F378" s="133"/>
      <c r="G378" s="133"/>
      <c r="H378" s="133"/>
      <c r="I378" s="133"/>
      <c r="J378" s="133"/>
      <c r="K378" s="133"/>
      <c r="L378" s="133"/>
      <c r="M378" s="133"/>
      <c r="N378" s="133"/>
      <c r="O378" s="133"/>
    </row>
    <row r="379" spans="1:17" x14ac:dyDescent="0.15">
      <c r="D379" s="138" t="s">
        <v>995</v>
      </c>
      <c r="E379" s="133" t="s">
        <v>1003</v>
      </c>
      <c r="F379" s="133"/>
      <c r="G379" s="133"/>
      <c r="H379" s="133"/>
      <c r="I379" s="133"/>
      <c r="J379" s="133"/>
      <c r="K379" s="133"/>
      <c r="L379" s="133"/>
      <c r="M379" s="133"/>
      <c r="N379" s="133"/>
      <c r="O379" s="133"/>
    </row>
    <row r="380" spans="1:17" x14ac:dyDescent="0.15">
      <c r="D380" s="133" t="s">
        <v>998</v>
      </c>
      <c r="E380" s="133">
        <v>15</v>
      </c>
    </row>
    <row r="381" spans="1:17" x14ac:dyDescent="0.15">
      <c r="D381" s="136" t="s">
        <v>882</v>
      </c>
      <c r="E381" s="136">
        <f>motifcount(E378,E379,E380)</f>
        <v>1</v>
      </c>
      <c r="F381" s="84"/>
      <c r="G381" s="84"/>
      <c r="H381" s="84"/>
      <c r="I381" s="84"/>
      <c r="J381" s="84"/>
      <c r="K381" s="84"/>
      <c r="L381" s="84"/>
      <c r="M381" s="139"/>
      <c r="N381" s="84"/>
      <c r="O381" s="84"/>
    </row>
    <row r="384" spans="1:17" x14ac:dyDescent="0.15">
      <c r="A384" s="66" t="s">
        <v>994</v>
      </c>
      <c r="B384" s="67" t="s">
        <v>1128</v>
      </c>
      <c r="C384" s="67"/>
      <c r="D384" s="67"/>
      <c r="E384" s="67"/>
      <c r="F384" s="68"/>
      <c r="G384" s="67"/>
      <c r="H384" s="67"/>
      <c r="I384" s="68"/>
      <c r="J384" s="67"/>
      <c r="K384" s="68"/>
      <c r="L384" s="67"/>
      <c r="M384" s="68"/>
      <c r="N384" s="67"/>
      <c r="O384" s="67"/>
      <c r="P384" s="67"/>
      <c r="Q384" s="67"/>
    </row>
    <row r="385" spans="3:15" x14ac:dyDescent="0.15">
      <c r="C385" s="14" t="s">
        <v>1129</v>
      </c>
    </row>
    <row r="386" spans="3:15" x14ac:dyDescent="0.15">
      <c r="C386" s="14" t="s">
        <v>1021</v>
      </c>
    </row>
    <row r="388" spans="3:15" x14ac:dyDescent="0.15">
      <c r="D388" s="69" t="s">
        <v>879</v>
      </c>
      <c r="E388" s="70" t="s">
        <v>1425</v>
      </c>
      <c r="F388" s="58"/>
      <c r="G388" s="58"/>
      <c r="H388" s="58"/>
      <c r="I388" s="58"/>
      <c r="J388" s="58"/>
      <c r="K388" s="58"/>
      <c r="L388" s="58"/>
      <c r="M388" s="71"/>
    </row>
    <row r="389" spans="3:15" x14ac:dyDescent="0.15">
      <c r="D389" s="72" t="s">
        <v>886</v>
      </c>
      <c r="E389" s="32" t="s">
        <v>1426</v>
      </c>
      <c r="F389" s="32"/>
      <c r="G389" s="32"/>
      <c r="H389" s="32"/>
      <c r="I389" s="32"/>
      <c r="J389" s="32"/>
      <c r="K389" s="32"/>
      <c r="L389" s="32"/>
      <c r="M389" s="73"/>
    </row>
    <row r="390" spans="3:15" x14ac:dyDescent="0.15">
      <c r="D390" s="72"/>
      <c r="E390" s="32" t="s">
        <v>1423</v>
      </c>
      <c r="F390" s="32"/>
      <c r="G390" s="32"/>
      <c r="H390" s="32"/>
      <c r="I390" s="32"/>
      <c r="J390" s="32"/>
      <c r="K390" s="32"/>
      <c r="L390" s="32"/>
      <c r="M390" s="73"/>
    </row>
    <row r="391" spans="3:15" x14ac:dyDescent="0.15">
      <c r="D391" s="72"/>
      <c r="E391" s="32" t="s">
        <v>1427</v>
      </c>
      <c r="F391" s="32"/>
      <c r="G391" s="32"/>
      <c r="H391" s="32"/>
      <c r="I391" s="32"/>
      <c r="J391" s="32"/>
      <c r="K391" s="32"/>
      <c r="L391" s="32"/>
      <c r="M391" s="73"/>
    </row>
    <row r="392" spans="3:15" x14ac:dyDescent="0.15">
      <c r="D392" s="74" t="s">
        <v>887</v>
      </c>
      <c r="E392" s="62" t="s">
        <v>1130</v>
      </c>
      <c r="F392" s="62"/>
      <c r="G392" s="62"/>
      <c r="H392" s="62"/>
      <c r="I392" s="62"/>
      <c r="J392" s="62"/>
      <c r="K392" s="62"/>
      <c r="L392" s="62"/>
      <c r="M392" s="75"/>
    </row>
    <row r="394" spans="3:15" x14ac:dyDescent="0.15">
      <c r="D394" s="84"/>
      <c r="E394" s="115"/>
      <c r="F394" s="137" t="s">
        <v>1007</v>
      </c>
    </row>
    <row r="395" spans="3:15" x14ac:dyDescent="0.15">
      <c r="D395" s="138" t="s">
        <v>1000</v>
      </c>
      <c r="E395" s="133" t="s">
        <v>999</v>
      </c>
      <c r="F395" s="133"/>
      <c r="G395" s="133"/>
      <c r="H395" s="133"/>
      <c r="I395" s="133"/>
      <c r="J395" s="133"/>
      <c r="K395" s="133"/>
      <c r="L395" s="133"/>
      <c r="M395" s="133"/>
      <c r="N395" s="133"/>
      <c r="O395" s="133"/>
    </row>
    <row r="396" spans="3:15" x14ac:dyDescent="0.15">
      <c r="D396" s="138" t="s">
        <v>995</v>
      </c>
      <c r="E396" s="133" t="s">
        <v>1001</v>
      </c>
      <c r="F396" s="133"/>
      <c r="G396" s="133"/>
      <c r="H396" s="133"/>
      <c r="I396" s="133"/>
      <c r="J396" s="133"/>
      <c r="K396" s="133"/>
      <c r="L396" s="133"/>
      <c r="M396" s="133"/>
      <c r="N396" s="133"/>
      <c r="O396" s="133"/>
    </row>
    <row r="397" spans="3:15" x14ac:dyDescent="0.15">
      <c r="D397" s="133" t="s">
        <v>998</v>
      </c>
      <c r="E397" s="133">
        <v>1</v>
      </c>
    </row>
    <row r="398" spans="3:15" x14ac:dyDescent="0.15">
      <c r="D398" s="136" t="s">
        <v>882</v>
      </c>
      <c r="E398" s="136">
        <f>firstmotif(E395,E396,E397)</f>
        <v>18</v>
      </c>
      <c r="F398" s="84"/>
      <c r="G398" s="84"/>
      <c r="H398" s="84"/>
      <c r="I398" s="84"/>
      <c r="J398" s="84"/>
      <c r="K398" s="84"/>
      <c r="L398" s="84"/>
      <c r="M398" s="84"/>
      <c r="N398" s="84"/>
      <c r="O398" s="84"/>
    </row>
    <row r="399" spans="3:15" x14ac:dyDescent="0.15">
      <c r="D399" s="138" t="s">
        <v>1000</v>
      </c>
      <c r="E399" s="133" t="s">
        <v>999</v>
      </c>
      <c r="F399" s="133"/>
      <c r="G399" s="133"/>
      <c r="H399" s="133"/>
      <c r="I399" s="133"/>
      <c r="J399" s="133"/>
      <c r="K399" s="133"/>
      <c r="L399" s="133"/>
      <c r="M399" s="133"/>
      <c r="N399" s="133"/>
      <c r="O399" s="133"/>
    </row>
    <row r="400" spans="3:15" x14ac:dyDescent="0.15">
      <c r="D400" s="138" t="s">
        <v>995</v>
      </c>
      <c r="E400" s="133" t="s">
        <v>1002</v>
      </c>
      <c r="F400" s="133"/>
      <c r="G400" s="133"/>
      <c r="H400" s="133"/>
      <c r="I400" s="133"/>
      <c r="J400" s="133"/>
      <c r="K400" s="133"/>
      <c r="L400" s="133"/>
      <c r="M400" s="133"/>
      <c r="N400" s="133"/>
      <c r="O400" s="133"/>
    </row>
    <row r="401" spans="1:17" x14ac:dyDescent="0.15">
      <c r="D401" s="133" t="s">
        <v>998</v>
      </c>
      <c r="E401" s="133">
        <v>10</v>
      </c>
    </row>
    <row r="402" spans="1:17" x14ac:dyDescent="0.15">
      <c r="D402" s="136" t="s">
        <v>882</v>
      </c>
      <c r="E402" s="136">
        <f>firstmotif(E399,E400,E401)</f>
        <v>12</v>
      </c>
      <c r="F402" s="84"/>
      <c r="G402" s="84"/>
      <c r="H402" s="84"/>
      <c r="I402" s="84"/>
      <c r="J402" s="84"/>
      <c r="K402" s="84"/>
      <c r="L402" s="84"/>
      <c r="M402" s="84"/>
      <c r="N402" s="84"/>
      <c r="O402" s="84"/>
    </row>
    <row r="403" spans="1:17" x14ac:dyDescent="0.15">
      <c r="D403" s="138" t="s">
        <v>1000</v>
      </c>
      <c r="E403" s="133" t="s">
        <v>1004</v>
      </c>
      <c r="F403" s="133"/>
      <c r="G403" s="133"/>
      <c r="H403" s="133"/>
      <c r="I403" s="133"/>
      <c r="J403" s="133"/>
      <c r="K403" s="133"/>
      <c r="L403" s="133"/>
      <c r="M403" s="133"/>
      <c r="N403" s="133"/>
      <c r="O403" s="133"/>
    </row>
    <row r="404" spans="1:17" x14ac:dyDescent="0.15">
      <c r="D404" s="138" t="s">
        <v>995</v>
      </c>
      <c r="E404" s="133" t="s">
        <v>467</v>
      </c>
      <c r="F404" s="133"/>
      <c r="G404" s="133"/>
      <c r="H404" s="133"/>
      <c r="I404" s="133"/>
      <c r="J404" s="133"/>
      <c r="K404" s="133"/>
      <c r="L404" s="133"/>
      <c r="M404" s="133"/>
      <c r="N404" s="133"/>
      <c r="O404" s="133"/>
    </row>
    <row r="405" spans="1:17" x14ac:dyDescent="0.15">
      <c r="D405" s="133" t="s">
        <v>998</v>
      </c>
      <c r="E405" s="133">
        <v>20</v>
      </c>
    </row>
    <row r="406" spans="1:17" x14ac:dyDescent="0.15">
      <c r="D406" s="136" t="s">
        <v>882</v>
      </c>
      <c r="E406" s="136">
        <f>firstmotif(E403,E404,E405)</f>
        <v>28</v>
      </c>
      <c r="F406" s="84"/>
      <c r="G406" s="84"/>
      <c r="H406" s="84"/>
      <c r="I406" s="84"/>
      <c r="J406" s="84"/>
      <c r="K406" s="84"/>
      <c r="L406" s="84"/>
      <c r="M406" s="84"/>
      <c r="N406" s="84"/>
      <c r="O406" s="84"/>
    </row>
    <row r="407" spans="1:17" x14ac:dyDescent="0.15">
      <c r="D407" s="138" t="s">
        <v>1000</v>
      </c>
      <c r="E407" s="133" t="s">
        <v>917</v>
      </c>
      <c r="F407" s="133"/>
      <c r="G407" s="133"/>
      <c r="H407" s="133"/>
      <c r="I407" s="133"/>
      <c r="J407" s="133"/>
      <c r="K407" s="133"/>
      <c r="L407" s="133"/>
      <c r="M407" s="133"/>
      <c r="N407" s="133"/>
      <c r="O407" s="133"/>
    </row>
    <row r="408" spans="1:17" x14ac:dyDescent="0.15">
      <c r="D408" s="138" t="s">
        <v>995</v>
      </c>
      <c r="E408" s="133" t="s">
        <v>1003</v>
      </c>
      <c r="F408" s="133"/>
      <c r="G408" s="133"/>
      <c r="H408" s="133"/>
      <c r="I408" s="133"/>
      <c r="J408" s="133"/>
      <c r="K408" s="133"/>
      <c r="L408" s="133"/>
      <c r="M408" s="133"/>
      <c r="N408" s="133"/>
      <c r="O408" s="133"/>
    </row>
    <row r="409" spans="1:17" x14ac:dyDescent="0.15">
      <c r="D409" s="133" t="s">
        <v>998</v>
      </c>
      <c r="E409" s="133">
        <v>15</v>
      </c>
    </row>
    <row r="410" spans="1:17" x14ac:dyDescent="0.15">
      <c r="D410" s="136" t="s">
        <v>882</v>
      </c>
      <c r="E410" s="136">
        <f>firstmotif(E407,E408,E409)</f>
        <v>27</v>
      </c>
      <c r="F410" s="84"/>
      <c r="G410" s="84"/>
      <c r="H410" s="84"/>
      <c r="I410" s="84"/>
      <c r="J410" s="84"/>
      <c r="K410" s="84"/>
      <c r="L410" s="84"/>
      <c r="M410" s="139"/>
      <c r="N410" s="84"/>
      <c r="O410" s="84"/>
    </row>
    <row r="413" spans="1:17" x14ac:dyDescent="0.15">
      <c r="A413" s="66" t="s">
        <v>1008</v>
      </c>
      <c r="B413" s="67" t="s">
        <v>1132</v>
      </c>
      <c r="C413" s="67"/>
      <c r="D413" s="67"/>
      <c r="E413" s="67"/>
      <c r="F413" s="68"/>
      <c r="G413" s="67"/>
      <c r="H413" s="67"/>
      <c r="I413" s="68"/>
      <c r="J413" s="67"/>
      <c r="K413" s="68"/>
      <c r="L413" s="67"/>
      <c r="M413" s="68"/>
      <c r="N413" s="67"/>
      <c r="O413" s="67"/>
      <c r="P413" s="67"/>
      <c r="Q413" s="67"/>
    </row>
    <row r="414" spans="1:17" x14ac:dyDescent="0.15">
      <c r="C414" s="14" t="s">
        <v>1131</v>
      </c>
    </row>
    <row r="415" spans="1:17" x14ac:dyDescent="0.15">
      <c r="C415" s="14" t="s">
        <v>1021</v>
      </c>
    </row>
    <row r="417" spans="4:15" x14ac:dyDescent="0.15">
      <c r="D417" s="69" t="s">
        <v>879</v>
      </c>
      <c r="E417" s="70" t="s">
        <v>1428</v>
      </c>
      <c r="F417" s="58"/>
      <c r="G417" s="58"/>
      <c r="H417" s="58"/>
      <c r="I417" s="58"/>
      <c r="J417" s="58"/>
      <c r="K417" s="58"/>
      <c r="L417" s="71"/>
    </row>
    <row r="418" spans="4:15" x14ac:dyDescent="0.15">
      <c r="D418" s="72" t="s">
        <v>886</v>
      </c>
      <c r="E418" s="32" t="s">
        <v>1426</v>
      </c>
      <c r="F418" s="32"/>
      <c r="G418" s="32"/>
      <c r="H418" s="32"/>
      <c r="I418" s="32"/>
      <c r="J418" s="32"/>
      <c r="K418" s="32"/>
      <c r="L418" s="73"/>
    </row>
    <row r="419" spans="4:15" x14ac:dyDescent="0.15">
      <c r="D419" s="72"/>
      <c r="E419" s="32" t="s">
        <v>1423</v>
      </c>
      <c r="F419" s="32"/>
      <c r="G419" s="32"/>
      <c r="H419" s="32"/>
      <c r="I419" s="32"/>
      <c r="J419" s="32"/>
      <c r="K419" s="32"/>
      <c r="L419" s="73"/>
    </row>
    <row r="420" spans="4:15" x14ac:dyDescent="0.15">
      <c r="D420" s="74" t="s">
        <v>887</v>
      </c>
      <c r="E420" s="62" t="s">
        <v>1132</v>
      </c>
      <c r="F420" s="62"/>
      <c r="G420" s="62"/>
      <c r="H420" s="62"/>
      <c r="I420" s="62"/>
      <c r="J420" s="62"/>
      <c r="K420" s="62"/>
      <c r="L420" s="75"/>
    </row>
    <row r="422" spans="4:15" x14ac:dyDescent="0.15">
      <c r="D422" s="84"/>
      <c r="E422" s="115"/>
      <c r="F422" s="137" t="s">
        <v>1009</v>
      </c>
    </row>
    <row r="423" spans="4:15" x14ac:dyDescent="0.15">
      <c r="D423" s="138" t="s">
        <v>1000</v>
      </c>
      <c r="E423" s="133" t="s">
        <v>999</v>
      </c>
      <c r="F423" s="133"/>
      <c r="G423" s="133"/>
      <c r="H423" s="133"/>
      <c r="I423" s="133"/>
      <c r="J423" s="133"/>
      <c r="K423" s="133"/>
      <c r="L423" s="133"/>
      <c r="M423" s="133"/>
      <c r="N423" s="133"/>
      <c r="O423" s="133"/>
    </row>
    <row r="424" spans="4:15" x14ac:dyDescent="0.15">
      <c r="D424" s="138" t="s">
        <v>995</v>
      </c>
      <c r="E424" s="133" t="s">
        <v>1001</v>
      </c>
      <c r="F424" s="133"/>
      <c r="G424" s="133"/>
      <c r="H424" s="133"/>
      <c r="I424" s="133"/>
      <c r="J424" s="133"/>
      <c r="K424" s="133"/>
      <c r="L424" s="133"/>
      <c r="M424" s="133"/>
      <c r="N424" s="133"/>
      <c r="O424" s="133"/>
    </row>
    <row r="425" spans="4:15" x14ac:dyDescent="0.15">
      <c r="D425" s="136" t="s">
        <v>882</v>
      </c>
      <c r="E425" s="136" t="str">
        <f>findmotif(E423,E424)</f>
        <v>18</v>
      </c>
      <c r="F425" s="84"/>
      <c r="G425" s="84"/>
      <c r="H425" s="84"/>
      <c r="I425" s="84"/>
      <c r="J425" s="84"/>
      <c r="K425" s="84"/>
      <c r="L425" s="84"/>
      <c r="M425" s="84"/>
      <c r="N425" s="84"/>
      <c r="O425" s="84"/>
    </row>
    <row r="426" spans="4:15" x14ac:dyDescent="0.15">
      <c r="D426" s="138" t="s">
        <v>1000</v>
      </c>
      <c r="E426" s="133" t="s">
        <v>999</v>
      </c>
      <c r="F426" s="133"/>
      <c r="G426" s="133"/>
      <c r="H426" s="133"/>
      <c r="I426" s="133"/>
      <c r="J426" s="133"/>
      <c r="K426" s="133"/>
      <c r="L426" s="133"/>
      <c r="M426" s="133"/>
      <c r="N426" s="133"/>
      <c r="O426" s="133"/>
    </row>
    <row r="427" spans="4:15" x14ac:dyDescent="0.15">
      <c r="D427" s="138" t="s">
        <v>995</v>
      </c>
      <c r="E427" s="133" t="s">
        <v>1002</v>
      </c>
      <c r="F427" s="133"/>
      <c r="G427" s="133"/>
      <c r="H427" s="133"/>
      <c r="I427" s="133"/>
      <c r="J427" s="133"/>
      <c r="K427" s="133"/>
      <c r="L427" s="133"/>
      <c r="M427" s="133"/>
      <c r="N427" s="133"/>
      <c r="O427" s="133"/>
    </row>
    <row r="428" spans="4:15" x14ac:dyDescent="0.15">
      <c r="D428" s="136" t="s">
        <v>882</v>
      </c>
      <c r="E428" s="136" t="str">
        <f>findmotif(E426,E427)</f>
        <v>12, 20, 25, 27, 30, 44, 54</v>
      </c>
      <c r="F428" s="84"/>
      <c r="G428" s="84"/>
      <c r="H428" s="84"/>
      <c r="I428" s="84"/>
      <c r="J428" s="84"/>
      <c r="K428" s="84"/>
      <c r="L428" s="84"/>
      <c r="M428" s="84"/>
      <c r="N428" s="84"/>
      <c r="O428" s="84"/>
    </row>
    <row r="429" spans="4:15" x14ac:dyDescent="0.15">
      <c r="D429" s="138" t="s">
        <v>1000</v>
      </c>
      <c r="E429" s="133" t="s">
        <v>1004</v>
      </c>
      <c r="F429" s="133"/>
      <c r="G429" s="133"/>
      <c r="H429" s="133"/>
      <c r="I429" s="133"/>
      <c r="J429" s="133"/>
      <c r="K429" s="133"/>
      <c r="L429" s="133"/>
      <c r="M429" s="133"/>
      <c r="N429" s="133"/>
      <c r="O429" s="133"/>
    </row>
    <row r="430" spans="4:15" x14ac:dyDescent="0.15">
      <c r="D430" s="138" t="s">
        <v>995</v>
      </c>
      <c r="E430" s="133" t="s">
        <v>467</v>
      </c>
      <c r="F430" s="133"/>
      <c r="G430" s="133"/>
      <c r="H430" s="133"/>
      <c r="I430" s="133"/>
      <c r="J430" s="133"/>
      <c r="K430" s="133"/>
      <c r="L430" s="133"/>
      <c r="M430" s="133"/>
      <c r="N430" s="133"/>
      <c r="O430" s="133"/>
    </row>
    <row r="431" spans="4:15" x14ac:dyDescent="0.15">
      <c r="D431" s="136" t="s">
        <v>882</v>
      </c>
      <c r="E431" s="136" t="str">
        <f>findmotif(E429,E430)</f>
        <v>15, 28, 59</v>
      </c>
      <c r="F431" s="84"/>
      <c r="G431" s="84"/>
      <c r="H431" s="84"/>
      <c r="I431" s="84"/>
      <c r="J431" s="84"/>
      <c r="K431" s="84"/>
      <c r="L431" s="84"/>
      <c r="M431" s="84"/>
      <c r="N431" s="84"/>
      <c r="O431" s="84"/>
    </row>
    <row r="432" spans="4:15" x14ac:dyDescent="0.15">
      <c r="D432" s="138" t="s">
        <v>1000</v>
      </c>
      <c r="E432" s="133" t="s">
        <v>917</v>
      </c>
      <c r="F432" s="133"/>
      <c r="G432" s="133"/>
      <c r="H432" s="133"/>
      <c r="I432" s="133"/>
      <c r="J432" s="133"/>
      <c r="K432" s="133"/>
      <c r="L432" s="133"/>
      <c r="M432" s="133"/>
      <c r="N432" s="133"/>
      <c r="O432" s="133"/>
    </row>
    <row r="433" spans="1:17" x14ac:dyDescent="0.15">
      <c r="D433" s="138" t="s">
        <v>995</v>
      </c>
      <c r="E433" s="133" t="s">
        <v>1003</v>
      </c>
      <c r="F433" s="133"/>
      <c r="G433" s="133"/>
      <c r="H433" s="133"/>
      <c r="I433" s="133"/>
      <c r="J433" s="133"/>
      <c r="K433" s="133"/>
      <c r="L433" s="133"/>
      <c r="M433" s="133"/>
      <c r="N433" s="133"/>
      <c r="O433" s="133"/>
    </row>
    <row r="434" spans="1:17" x14ac:dyDescent="0.15">
      <c r="D434" s="136" t="s">
        <v>882</v>
      </c>
      <c r="E434" s="136" t="str">
        <f>findmotif(E432,E433)</f>
        <v>14, 27</v>
      </c>
      <c r="F434" s="84"/>
      <c r="G434" s="84"/>
      <c r="H434" s="84"/>
      <c r="I434" s="84"/>
      <c r="J434" s="84"/>
      <c r="K434" s="84"/>
      <c r="L434" s="84"/>
      <c r="M434" s="139"/>
      <c r="N434" s="84"/>
      <c r="O434" s="84"/>
    </row>
    <row r="437" spans="1:17" x14ac:dyDescent="0.15">
      <c r="A437" s="66" t="s">
        <v>1011</v>
      </c>
      <c r="B437" s="67" t="s">
        <v>1022</v>
      </c>
      <c r="C437" s="67"/>
      <c r="D437" s="67"/>
      <c r="E437" s="67"/>
      <c r="F437" s="68"/>
      <c r="G437" s="67"/>
      <c r="H437" s="67"/>
      <c r="I437" s="68"/>
      <c r="J437" s="67"/>
      <c r="K437" s="68"/>
      <c r="L437" s="67"/>
      <c r="M437" s="68"/>
      <c r="N437" s="67"/>
      <c r="O437" s="67"/>
      <c r="P437" s="67"/>
      <c r="Q437" s="67"/>
    </row>
    <row r="438" spans="1:17" x14ac:dyDescent="0.15">
      <c r="C438" s="14" t="s">
        <v>1134</v>
      </c>
    </row>
    <row r="439" spans="1:17" x14ac:dyDescent="0.15">
      <c r="C439" s="14" t="s">
        <v>1021</v>
      </c>
    </row>
    <row r="441" spans="1:17" x14ac:dyDescent="0.15">
      <c r="D441" s="69" t="s">
        <v>879</v>
      </c>
      <c r="E441" s="70" t="s">
        <v>1429</v>
      </c>
      <c r="F441" s="58"/>
      <c r="G441" s="58"/>
      <c r="H441" s="58"/>
      <c r="I441" s="58"/>
      <c r="J441" s="58"/>
      <c r="K441" s="58"/>
      <c r="L441" s="71"/>
    </row>
    <row r="442" spans="1:17" x14ac:dyDescent="0.15">
      <c r="D442" s="72" t="s">
        <v>886</v>
      </c>
      <c r="E442" s="32" t="s">
        <v>1430</v>
      </c>
      <c r="F442" s="32"/>
      <c r="G442" s="32"/>
      <c r="H442" s="32"/>
      <c r="I442" s="32"/>
      <c r="J442" s="32"/>
      <c r="K442" s="32"/>
      <c r="L442" s="73"/>
    </row>
    <row r="443" spans="1:17" x14ac:dyDescent="0.15">
      <c r="D443" s="72"/>
      <c r="E443" s="32" t="s">
        <v>1431</v>
      </c>
      <c r="F443" s="32"/>
      <c r="G443" s="32"/>
      <c r="H443" s="32"/>
      <c r="I443" s="32"/>
      <c r="J443" s="32"/>
      <c r="K443" s="32"/>
      <c r="L443" s="73"/>
    </row>
    <row r="444" spans="1:17" x14ac:dyDescent="0.15">
      <c r="D444" s="74" t="s">
        <v>887</v>
      </c>
      <c r="E444" s="62" t="s">
        <v>1133</v>
      </c>
      <c r="F444" s="62"/>
      <c r="G444" s="62"/>
      <c r="H444" s="62"/>
      <c r="I444" s="62"/>
      <c r="J444" s="62"/>
      <c r="K444" s="62"/>
      <c r="L444" s="75"/>
    </row>
    <row r="446" spans="1:17" x14ac:dyDescent="0.15">
      <c r="D446" s="84"/>
      <c r="E446" s="115"/>
      <c r="F446" s="137" t="s">
        <v>1012</v>
      </c>
    </row>
    <row r="447" spans="1:17" x14ac:dyDescent="0.15">
      <c r="D447" s="138" t="s">
        <v>1000</v>
      </c>
      <c r="E447" s="133" t="s">
        <v>999</v>
      </c>
      <c r="F447" s="133"/>
      <c r="G447" s="133"/>
      <c r="H447" s="133"/>
      <c r="I447" s="133"/>
      <c r="J447" s="133"/>
      <c r="K447" s="133"/>
      <c r="L447" s="133"/>
      <c r="M447" s="133"/>
      <c r="N447" s="133"/>
      <c r="O447" s="133"/>
    </row>
    <row r="448" spans="1:17" x14ac:dyDescent="0.15">
      <c r="D448" s="138" t="s">
        <v>995</v>
      </c>
      <c r="E448" s="133" t="s">
        <v>1091</v>
      </c>
      <c r="F448" s="133"/>
      <c r="G448" s="133"/>
      <c r="H448" s="133"/>
      <c r="I448" s="133"/>
      <c r="J448" s="133"/>
      <c r="K448" s="133"/>
      <c r="L448" s="133"/>
      <c r="M448" s="133"/>
      <c r="N448" s="133"/>
      <c r="O448" s="133"/>
    </row>
    <row r="449" spans="1:17" x14ac:dyDescent="0.15">
      <c r="D449" s="136" t="s">
        <v>882</v>
      </c>
      <c r="E449" s="136" t="str">
        <f>markmotif(E447,E448)</f>
        <v>TACCGTCCAAGATTCCC[GAATTC]CATATTATGGCCTAACACACATTGGCGAAGATTTCC</v>
      </c>
      <c r="F449" s="84"/>
      <c r="G449" s="84"/>
      <c r="H449" s="84"/>
      <c r="I449" s="84"/>
      <c r="J449" s="84"/>
      <c r="K449" s="84"/>
      <c r="L449" s="84"/>
      <c r="M449" s="84"/>
      <c r="N449" s="84"/>
      <c r="O449" s="84"/>
    </row>
    <row r="450" spans="1:17" x14ac:dyDescent="0.15">
      <c r="D450" s="138" t="s">
        <v>1000</v>
      </c>
      <c r="E450" s="133" t="s">
        <v>999</v>
      </c>
      <c r="F450" s="133"/>
      <c r="G450" s="133"/>
      <c r="H450" s="133"/>
      <c r="I450" s="133"/>
      <c r="J450" s="133"/>
      <c r="K450" s="133"/>
      <c r="L450" s="133"/>
      <c r="M450" s="133"/>
      <c r="N450" s="133"/>
      <c r="O450" s="133"/>
    </row>
    <row r="451" spans="1:17" x14ac:dyDescent="0.15">
      <c r="D451" s="138" t="s">
        <v>995</v>
      </c>
      <c r="E451" s="133" t="s">
        <v>1089</v>
      </c>
      <c r="F451" s="133"/>
      <c r="G451" s="133"/>
      <c r="H451" s="133"/>
      <c r="I451" s="133"/>
      <c r="J451" s="133"/>
      <c r="K451" s="133"/>
      <c r="L451" s="133"/>
      <c r="M451" s="133"/>
      <c r="N451" s="133"/>
      <c r="O451" s="133"/>
    </row>
    <row r="452" spans="1:17" x14ac:dyDescent="0.15">
      <c r="D452" s="136" t="s">
        <v>882</v>
      </c>
      <c r="E452" s="136" t="str">
        <f>markmotif(E450,E451)</f>
        <v>T[AC]CGTCCAAGATTCCCGAATTCCATATTATGGCCTA[AC][AC][AC]ATTGGCGAAGATTTCC</v>
      </c>
      <c r="F452" s="84"/>
      <c r="G452" s="84"/>
      <c r="H452" s="84"/>
      <c r="I452" s="84"/>
      <c r="J452" s="84"/>
      <c r="K452" s="84"/>
      <c r="L452" s="84"/>
      <c r="M452" s="84"/>
      <c r="N452" s="84"/>
      <c r="O452" s="84"/>
    </row>
    <row r="453" spans="1:17" x14ac:dyDescent="0.15">
      <c r="D453" s="138" t="s">
        <v>1000</v>
      </c>
      <c r="E453" s="133" t="s">
        <v>1004</v>
      </c>
      <c r="F453" s="133"/>
      <c r="G453" s="133"/>
      <c r="H453" s="133"/>
      <c r="I453" s="133"/>
      <c r="J453" s="133"/>
      <c r="K453" s="133"/>
      <c r="L453" s="133"/>
      <c r="M453" s="133"/>
      <c r="N453" s="133"/>
      <c r="O453" s="133"/>
    </row>
    <row r="454" spans="1:17" x14ac:dyDescent="0.15">
      <c r="D454" s="138" t="s">
        <v>995</v>
      </c>
      <c r="E454" s="133" t="s">
        <v>1090</v>
      </c>
      <c r="F454" s="133"/>
      <c r="G454" s="133"/>
      <c r="H454" s="133"/>
      <c r="I454" s="133"/>
      <c r="J454" s="133"/>
      <c r="K454" s="133"/>
      <c r="L454" s="133"/>
      <c r="M454" s="133"/>
      <c r="N454" s="133"/>
      <c r="O454" s="133"/>
    </row>
    <row r="455" spans="1:17" x14ac:dyDescent="0.15">
      <c r="D455" s="136" t="s">
        <v>882</v>
      </c>
      <c r="E455" s="136" t="str">
        <f>markmotif(E453,E454)</f>
        <v>CAAGCTACAGTGTA[ATT]TACGAGCCCA[ATT]TTGCTACTGGTCACCCTCTGACTCAACAAT</v>
      </c>
      <c r="F455" s="84"/>
      <c r="G455" s="84"/>
      <c r="H455" s="84"/>
      <c r="I455" s="84"/>
      <c r="J455" s="84"/>
      <c r="K455" s="84"/>
      <c r="L455" s="84"/>
      <c r="M455" s="84"/>
      <c r="N455" s="84"/>
      <c r="O455" s="84"/>
    </row>
    <row r="456" spans="1:17" x14ac:dyDescent="0.15">
      <c r="D456" s="138" t="s">
        <v>1000</v>
      </c>
      <c r="E456" s="133" t="s">
        <v>917</v>
      </c>
      <c r="F456" s="133"/>
      <c r="G456" s="133"/>
      <c r="H456" s="133"/>
      <c r="I456" s="133"/>
      <c r="J456" s="133"/>
      <c r="K456" s="133"/>
      <c r="L456" s="133"/>
      <c r="M456" s="133"/>
      <c r="N456" s="133"/>
      <c r="O456" s="133"/>
    </row>
    <row r="457" spans="1:17" x14ac:dyDescent="0.15">
      <c r="D457" s="138" t="s">
        <v>995</v>
      </c>
      <c r="E457" s="133" t="s">
        <v>1003</v>
      </c>
      <c r="F457" s="133"/>
      <c r="G457" s="133"/>
      <c r="H457" s="133"/>
      <c r="I457" s="133"/>
      <c r="J457" s="133"/>
      <c r="K457" s="133"/>
      <c r="L457" s="133"/>
      <c r="M457" s="133"/>
      <c r="N457" s="133"/>
      <c r="O457" s="133"/>
    </row>
    <row r="458" spans="1:17" x14ac:dyDescent="0.15">
      <c r="D458" s="136" t="s">
        <v>882</v>
      </c>
      <c r="E458" s="136" t="str">
        <f>markmotif(E456,E457)</f>
        <v>CAAGCTACAGTGT[AATT]TACGAGCCC[AATT]TTGCTACTGGTCACCCTCTGACTCAACAAT</v>
      </c>
      <c r="F458" s="84"/>
      <c r="G458" s="84"/>
      <c r="H458" s="84"/>
      <c r="I458" s="84"/>
      <c r="J458" s="84"/>
      <c r="K458" s="84"/>
      <c r="L458" s="84"/>
      <c r="M458" s="139"/>
      <c r="N458" s="84"/>
      <c r="O458" s="84"/>
    </row>
    <row r="461" spans="1:17" x14ac:dyDescent="0.15">
      <c r="A461" s="66" t="s">
        <v>1253</v>
      </c>
      <c r="B461" s="67" t="s">
        <v>1599</v>
      </c>
      <c r="C461" s="67"/>
      <c r="D461" s="67"/>
      <c r="E461" s="67"/>
      <c r="F461" s="68"/>
      <c r="G461" s="67"/>
      <c r="H461" s="67"/>
      <c r="I461" s="68"/>
      <c r="J461" s="67"/>
      <c r="K461" s="68"/>
      <c r="L461" s="67"/>
      <c r="M461" s="68"/>
      <c r="N461" s="67"/>
      <c r="O461" s="67"/>
      <c r="P461" s="67"/>
      <c r="Q461" s="67"/>
    </row>
    <row r="462" spans="1:17" x14ac:dyDescent="0.15">
      <c r="C462" s="14" t="s">
        <v>1224</v>
      </c>
    </row>
    <row r="463" spans="1:17" x14ac:dyDescent="0.15">
      <c r="C463" s="14" t="s">
        <v>1021</v>
      </c>
    </row>
    <row r="464" spans="1:17" x14ac:dyDescent="0.15">
      <c r="C464" s="141" t="s">
        <v>950</v>
      </c>
      <c r="D464" s="14" t="s">
        <v>1010</v>
      </c>
    </row>
    <row r="466" spans="4:15" x14ac:dyDescent="0.15">
      <c r="D466" s="69" t="s">
        <v>879</v>
      </c>
      <c r="E466" s="70" t="s">
        <v>1432</v>
      </c>
      <c r="F466" s="58"/>
      <c r="G466" s="58"/>
      <c r="H466" s="58"/>
      <c r="I466" s="58"/>
      <c r="J466" s="58"/>
      <c r="K466" s="58"/>
      <c r="L466" s="71"/>
    </row>
    <row r="467" spans="4:15" x14ac:dyDescent="0.15">
      <c r="D467" s="72" t="s">
        <v>886</v>
      </c>
      <c r="E467" s="32" t="s">
        <v>1433</v>
      </c>
      <c r="F467" s="32"/>
      <c r="G467" s="32"/>
      <c r="H467" s="32"/>
      <c r="I467" s="32"/>
      <c r="J467" s="32"/>
      <c r="K467" s="32"/>
      <c r="L467" s="73"/>
    </row>
    <row r="468" spans="4:15" x14ac:dyDescent="0.15">
      <c r="D468" s="72"/>
      <c r="E468" s="32" t="s">
        <v>1434</v>
      </c>
      <c r="F468" s="32"/>
      <c r="G468" s="32"/>
      <c r="H468" s="32"/>
      <c r="I468" s="32"/>
      <c r="J468" s="32"/>
      <c r="K468" s="32"/>
      <c r="L468" s="73"/>
    </row>
    <row r="469" spans="4:15" x14ac:dyDescent="0.15">
      <c r="D469" s="74" t="s">
        <v>887</v>
      </c>
      <c r="E469" s="62" t="s">
        <v>1230</v>
      </c>
      <c r="F469" s="62"/>
      <c r="G469" s="62"/>
      <c r="H469" s="62"/>
      <c r="I469" s="62"/>
      <c r="J469" s="62"/>
      <c r="K469" s="62"/>
      <c r="L469" s="75"/>
    </row>
    <row r="471" spans="4:15" x14ac:dyDescent="0.15">
      <c r="D471" s="84"/>
      <c r="E471" s="115"/>
      <c r="F471" s="137" t="s">
        <v>1225</v>
      </c>
    </row>
    <row r="472" spans="4:15" x14ac:dyDescent="0.15">
      <c r="D472" s="138" t="s">
        <v>1226</v>
      </c>
      <c r="E472" s="133" t="s">
        <v>999</v>
      </c>
      <c r="F472" s="133"/>
      <c r="G472" s="133"/>
      <c r="H472" s="133"/>
      <c r="I472" s="133"/>
      <c r="J472" s="133"/>
      <c r="K472" s="133"/>
      <c r="L472" s="133"/>
      <c r="M472" s="133"/>
      <c r="N472" s="133"/>
      <c r="O472" s="133"/>
    </row>
    <row r="473" spans="4:15" x14ac:dyDescent="0.15">
      <c r="D473" s="138" t="s">
        <v>1223</v>
      </c>
      <c r="E473" s="133" t="s">
        <v>1600</v>
      </c>
      <c r="F473" s="133"/>
      <c r="G473" s="133"/>
      <c r="H473" s="133"/>
      <c r="I473" s="133"/>
      <c r="J473" s="133"/>
      <c r="K473" s="133"/>
      <c r="L473" s="133"/>
      <c r="M473" s="133"/>
      <c r="N473" s="133"/>
      <c r="O473" s="133"/>
    </row>
    <row r="474" spans="4:15" ht="33" customHeight="1" x14ac:dyDescent="0.15">
      <c r="D474" s="136" t="s">
        <v>882</v>
      </c>
      <c r="E474" s="283" t="str">
        <f>matchseq(E472,E473)</f>
        <v>R:TACCGTCCAAGATTCCCGAATTCCATATTATGGCCTAACACACATTGGCGAAGATTTCC_x000D_
Q:TACCGTCCAA</v>
      </c>
      <c r="F474" s="283"/>
      <c r="G474" s="283"/>
      <c r="H474" s="283"/>
      <c r="I474" s="283"/>
      <c r="J474" s="283"/>
      <c r="K474" s="283"/>
      <c r="L474" s="283"/>
      <c r="M474" s="283"/>
      <c r="N474" s="283"/>
      <c r="O474" s="283"/>
    </row>
    <row r="475" spans="4:15" x14ac:dyDescent="0.15">
      <c r="D475" s="138" t="s">
        <v>1226</v>
      </c>
      <c r="E475" s="133" t="s">
        <v>999</v>
      </c>
      <c r="F475" s="133"/>
      <c r="G475" s="133"/>
      <c r="H475" s="133"/>
      <c r="I475" s="133"/>
      <c r="J475" s="133"/>
      <c r="K475" s="133"/>
      <c r="L475" s="133"/>
      <c r="M475" s="133"/>
      <c r="N475" s="133"/>
      <c r="O475" s="133"/>
    </row>
    <row r="476" spans="4:15" x14ac:dyDescent="0.15">
      <c r="D476" s="138" t="s">
        <v>1223</v>
      </c>
      <c r="E476" s="133" t="s">
        <v>1601</v>
      </c>
      <c r="F476" s="133"/>
      <c r="G476" s="133"/>
      <c r="H476" s="133"/>
      <c r="I476" s="133"/>
      <c r="J476" s="133"/>
      <c r="K476" s="133"/>
      <c r="L476" s="133"/>
      <c r="M476" s="133"/>
      <c r="N476" s="133"/>
      <c r="O476" s="133"/>
    </row>
    <row r="477" spans="4:15" ht="33" customHeight="1" x14ac:dyDescent="0.15">
      <c r="D477" s="136" t="s">
        <v>1246</v>
      </c>
      <c r="E477" s="283" t="str">
        <f>matchseq(E475,E476)</f>
        <v>R:TACCGTCCAAGATTCCCGAATTCCATATTATGGCCTAACACACATTGGCGAAGATTTCC_x000D_
Q:TACCGTCCAAGATT........CCATA..ATGGCCTAACACACATTGGCGAAGATTTCC</v>
      </c>
      <c r="F477" s="283"/>
      <c r="G477" s="283"/>
      <c r="H477" s="283"/>
      <c r="I477" s="283"/>
      <c r="J477" s="283"/>
      <c r="K477" s="283"/>
      <c r="L477" s="283"/>
      <c r="M477" s="283"/>
      <c r="N477" s="283"/>
      <c r="O477" s="283"/>
    </row>
    <row r="478" spans="4:15" x14ac:dyDescent="0.15">
      <c r="D478" s="138" t="s">
        <v>1226</v>
      </c>
      <c r="E478" s="133" t="s">
        <v>999</v>
      </c>
      <c r="F478" s="133"/>
      <c r="G478" s="133"/>
      <c r="H478" s="133"/>
      <c r="I478" s="133"/>
      <c r="J478" s="133"/>
      <c r="K478" s="133"/>
      <c r="L478" s="133"/>
      <c r="M478" s="133"/>
      <c r="N478" s="133"/>
      <c r="O478" s="133"/>
    </row>
    <row r="479" spans="4:15" x14ac:dyDescent="0.15">
      <c r="D479" s="138" t="s">
        <v>1223</v>
      </c>
      <c r="E479" s="133" t="s">
        <v>1228</v>
      </c>
      <c r="F479" s="133"/>
      <c r="G479" s="133"/>
      <c r="H479" s="133"/>
      <c r="I479" s="133"/>
      <c r="J479" s="133"/>
      <c r="K479" s="133"/>
      <c r="L479" s="133"/>
      <c r="M479" s="133"/>
      <c r="N479" s="133"/>
      <c r="O479" s="133"/>
    </row>
    <row r="480" spans="4:15" ht="33" customHeight="1" x14ac:dyDescent="0.15">
      <c r="D480" s="136" t="s">
        <v>882</v>
      </c>
      <c r="E480" s="283" t="str">
        <f>matchseq(E478,E479)</f>
        <v>R:TACCGTCCAAGATTCCCGAATTCCATATTATGGCCTAACACACATTGGCGAAGATTTCC_x000D_
Q:TACCGTCCAAGATTCCCGAATTCCATATTATGGCCTAA......TTGGCGAAGATTTCC</v>
      </c>
      <c r="F480" s="283"/>
      <c r="G480" s="283"/>
      <c r="H480" s="283"/>
      <c r="I480" s="283"/>
      <c r="J480" s="283"/>
      <c r="K480" s="283"/>
      <c r="L480" s="283"/>
      <c r="M480" s="283"/>
      <c r="N480" s="283"/>
      <c r="O480" s="283"/>
    </row>
    <row r="481" spans="1:17" x14ac:dyDescent="0.15">
      <c r="D481" s="138" t="s">
        <v>1226</v>
      </c>
      <c r="E481" s="133" t="s">
        <v>999</v>
      </c>
      <c r="F481" s="133"/>
      <c r="G481" s="133"/>
      <c r="H481" s="133"/>
      <c r="I481" s="133"/>
      <c r="J481" s="133"/>
      <c r="K481" s="133"/>
      <c r="L481" s="133"/>
      <c r="M481" s="133"/>
      <c r="N481" s="133"/>
      <c r="O481" s="133"/>
    </row>
    <row r="482" spans="1:17" x14ac:dyDescent="0.15">
      <c r="D482" s="138" t="s">
        <v>1223</v>
      </c>
      <c r="E482" s="133" t="s">
        <v>1229</v>
      </c>
      <c r="F482" s="133"/>
      <c r="G482" s="133"/>
      <c r="H482" s="133"/>
      <c r="I482" s="133"/>
      <c r="J482" s="133"/>
      <c r="K482" s="133"/>
      <c r="L482" s="133"/>
      <c r="M482" s="133"/>
      <c r="N482" s="133"/>
      <c r="O482" s="133"/>
    </row>
    <row r="483" spans="1:17" ht="30" customHeight="1" x14ac:dyDescent="0.15">
      <c r="D483" s="136" t="s">
        <v>882</v>
      </c>
      <c r="E483" s="283" t="str">
        <f>matchseq(E481,E482)</f>
        <v>R:TACCGTCCAAGATTCCCGAATTCCATATTATGGCCTAACACACATTGGCGAAGATTTCC_x000D_
Q:TACCGTCCAAGATTCCCGAATTCCATATTATGGCCTAA....C...G......</v>
      </c>
      <c r="F483" s="283"/>
      <c r="G483" s="283"/>
      <c r="H483" s="283"/>
      <c r="I483" s="283"/>
      <c r="J483" s="283"/>
      <c r="K483" s="283"/>
      <c r="L483" s="283"/>
      <c r="M483" s="283"/>
      <c r="N483" s="283"/>
      <c r="O483" s="283"/>
    </row>
    <row r="485" spans="1:17" x14ac:dyDescent="0.15">
      <c r="C485" s="16" t="s">
        <v>433</v>
      </c>
      <c r="D485" s="14" t="s">
        <v>1435</v>
      </c>
    </row>
    <row r="487" spans="1:17" x14ac:dyDescent="0.15">
      <c r="A487" s="66" t="s">
        <v>1251</v>
      </c>
      <c r="B487" s="67" t="s">
        <v>1252</v>
      </c>
      <c r="C487" s="67"/>
      <c r="D487" s="67"/>
      <c r="E487" s="67"/>
      <c r="F487" s="68"/>
      <c r="G487" s="67"/>
      <c r="H487" s="67"/>
      <c r="I487" s="68"/>
      <c r="J487" s="67"/>
      <c r="K487" s="68"/>
      <c r="L487" s="67"/>
      <c r="M487" s="68"/>
      <c r="N487" s="67"/>
      <c r="O487" s="67"/>
      <c r="P487" s="67"/>
      <c r="Q487" s="67"/>
    </row>
    <row r="488" spans="1:17" x14ac:dyDescent="0.15">
      <c r="C488" s="14" t="s">
        <v>1250</v>
      </c>
    </row>
    <row r="489" spans="1:17" x14ac:dyDescent="0.15">
      <c r="C489" s="14" t="s">
        <v>1021</v>
      </c>
    </row>
    <row r="491" spans="1:17" x14ac:dyDescent="0.15">
      <c r="D491" s="69" t="s">
        <v>879</v>
      </c>
      <c r="E491" s="70" t="s">
        <v>1436</v>
      </c>
      <c r="F491" s="58"/>
      <c r="G491" s="58"/>
      <c r="H491" s="58"/>
      <c r="I491" s="58"/>
      <c r="J491" s="58"/>
      <c r="K491" s="58"/>
      <c r="L491" s="71"/>
    </row>
    <row r="492" spans="1:17" x14ac:dyDescent="0.15">
      <c r="D492" s="72" t="s">
        <v>886</v>
      </c>
      <c r="E492" s="32" t="s">
        <v>1437</v>
      </c>
      <c r="F492" s="32"/>
      <c r="G492" s="32"/>
      <c r="H492" s="32"/>
      <c r="I492" s="32"/>
      <c r="J492" s="32"/>
      <c r="K492" s="32"/>
      <c r="L492" s="73"/>
    </row>
    <row r="493" spans="1:17" x14ac:dyDescent="0.15">
      <c r="D493" s="72"/>
      <c r="E493" s="32" t="s">
        <v>1438</v>
      </c>
      <c r="F493" s="32"/>
      <c r="G493" s="32"/>
      <c r="H493" s="32"/>
      <c r="I493" s="32"/>
      <c r="J493" s="32"/>
      <c r="K493" s="32"/>
      <c r="L493" s="73"/>
    </row>
    <row r="494" spans="1:17" x14ac:dyDescent="0.15">
      <c r="D494" s="74" t="s">
        <v>887</v>
      </c>
      <c r="E494" s="62" t="s">
        <v>1249</v>
      </c>
      <c r="F494" s="62"/>
      <c r="G494" s="62"/>
      <c r="H494" s="62"/>
      <c r="I494" s="62"/>
      <c r="J494" s="62"/>
      <c r="K494" s="62"/>
      <c r="L494" s="75"/>
    </row>
    <row r="496" spans="1:17" x14ac:dyDescent="0.15">
      <c r="D496" s="84"/>
      <c r="E496" s="115"/>
      <c r="F496" s="137" t="s">
        <v>1225</v>
      </c>
    </row>
    <row r="497" spans="1:17" x14ac:dyDescent="0.15">
      <c r="D497" s="138" t="s">
        <v>1226</v>
      </c>
      <c r="E497" s="133" t="s">
        <v>999</v>
      </c>
      <c r="F497" s="133"/>
      <c r="G497" s="133"/>
      <c r="H497" s="133"/>
      <c r="I497" s="133"/>
      <c r="J497" s="133"/>
      <c r="K497" s="133"/>
      <c r="L497" s="133"/>
      <c r="M497" s="133"/>
      <c r="N497" s="133"/>
      <c r="O497" s="133"/>
    </row>
    <row r="498" spans="1:17" x14ac:dyDescent="0.15">
      <c r="D498" s="138" t="s">
        <v>1223</v>
      </c>
      <c r="E498" s="133" t="s">
        <v>1247</v>
      </c>
      <c r="F498" s="133"/>
      <c r="G498" s="133"/>
      <c r="H498" s="133"/>
      <c r="I498" s="133"/>
      <c r="J498" s="133"/>
      <c r="K498" s="133"/>
      <c r="L498" s="133"/>
      <c r="M498" s="133"/>
      <c r="N498" s="133"/>
      <c r="O498" s="133"/>
    </row>
    <row r="499" spans="1:17" x14ac:dyDescent="0.15">
      <c r="D499" s="136" t="s">
        <v>882</v>
      </c>
      <c r="E499" s="287">
        <f>matchscore(E497,E498)</f>
        <v>1</v>
      </c>
      <c r="F499" s="287"/>
      <c r="G499" s="287"/>
      <c r="H499" s="287"/>
      <c r="I499" s="287"/>
      <c r="J499" s="287"/>
      <c r="K499" s="287"/>
      <c r="L499" s="287"/>
      <c r="M499" s="287"/>
      <c r="N499" s="287"/>
      <c r="O499" s="287"/>
    </row>
    <row r="500" spans="1:17" x14ac:dyDescent="0.15">
      <c r="D500" s="138" t="s">
        <v>1226</v>
      </c>
      <c r="E500" s="133" t="s">
        <v>999</v>
      </c>
      <c r="F500" s="133"/>
      <c r="G500" s="133"/>
      <c r="H500" s="133"/>
      <c r="I500" s="133"/>
      <c r="J500" s="133"/>
      <c r="K500" s="133"/>
      <c r="L500" s="133"/>
      <c r="M500" s="133"/>
      <c r="N500" s="133"/>
      <c r="O500" s="133"/>
    </row>
    <row r="501" spans="1:17" x14ac:dyDescent="0.15">
      <c r="D501" s="138" t="s">
        <v>1223</v>
      </c>
      <c r="E501" s="133" t="s">
        <v>1227</v>
      </c>
      <c r="F501" s="133"/>
      <c r="G501" s="133"/>
      <c r="H501" s="133"/>
      <c r="I501" s="133"/>
      <c r="J501" s="133"/>
      <c r="K501" s="133"/>
      <c r="L501" s="133"/>
      <c r="M501" s="133"/>
      <c r="N501" s="133"/>
      <c r="O501" s="133"/>
    </row>
    <row r="502" spans="1:17" ht="16.5" customHeight="1" x14ac:dyDescent="0.15">
      <c r="D502" s="136" t="s">
        <v>1246</v>
      </c>
      <c r="E502" s="283">
        <f>matchscore(E500,E501)</f>
        <v>0.96610169491525422</v>
      </c>
      <c r="F502" s="283"/>
      <c r="G502" s="283"/>
      <c r="H502" s="283"/>
      <c r="I502" s="283"/>
      <c r="J502" s="283"/>
      <c r="K502" s="283"/>
      <c r="L502" s="283"/>
      <c r="M502" s="283"/>
      <c r="N502" s="283"/>
      <c r="O502" s="283"/>
    </row>
    <row r="503" spans="1:17" x14ac:dyDescent="0.15">
      <c r="D503" s="138" t="s">
        <v>1226</v>
      </c>
      <c r="E503" s="133" t="s">
        <v>999</v>
      </c>
      <c r="F503" s="133"/>
      <c r="G503" s="133"/>
      <c r="H503" s="133"/>
      <c r="I503" s="133"/>
      <c r="J503" s="133"/>
      <c r="K503" s="133"/>
      <c r="L503" s="133"/>
      <c r="M503" s="133"/>
      <c r="N503" s="133"/>
      <c r="O503" s="133"/>
    </row>
    <row r="504" spans="1:17" x14ac:dyDescent="0.15">
      <c r="D504" s="138" t="s">
        <v>1223</v>
      </c>
      <c r="E504" s="133" t="s">
        <v>1228</v>
      </c>
      <c r="F504" s="133"/>
      <c r="G504" s="133"/>
      <c r="H504" s="133"/>
      <c r="I504" s="133"/>
      <c r="J504" s="133"/>
      <c r="K504" s="133"/>
      <c r="L504" s="133"/>
      <c r="M504" s="133"/>
      <c r="N504" s="133"/>
      <c r="O504" s="133"/>
    </row>
    <row r="505" spans="1:17" ht="16.5" customHeight="1" x14ac:dyDescent="0.15">
      <c r="D505" s="136" t="s">
        <v>882</v>
      </c>
      <c r="E505" s="283">
        <f>matchscore(E503,E504)</f>
        <v>0.89830508474576276</v>
      </c>
      <c r="F505" s="283"/>
      <c r="G505" s="283"/>
      <c r="H505" s="283"/>
      <c r="I505" s="283"/>
      <c r="J505" s="283"/>
      <c r="K505" s="283"/>
      <c r="L505" s="283"/>
      <c r="M505" s="283"/>
      <c r="N505" s="283"/>
      <c r="O505" s="283"/>
    </row>
    <row r="506" spans="1:17" x14ac:dyDescent="0.15">
      <c r="D506" s="138" t="s">
        <v>1226</v>
      </c>
      <c r="E506" s="133" t="s">
        <v>999</v>
      </c>
      <c r="F506" s="133"/>
      <c r="G506" s="133"/>
      <c r="H506" s="133"/>
      <c r="I506" s="133"/>
      <c r="J506" s="133"/>
      <c r="K506" s="133"/>
      <c r="L506" s="133"/>
      <c r="M506" s="133"/>
      <c r="N506" s="133"/>
      <c r="O506" s="133"/>
    </row>
    <row r="507" spans="1:17" x14ac:dyDescent="0.15">
      <c r="D507" s="138" t="s">
        <v>1223</v>
      </c>
      <c r="E507" s="133" t="s">
        <v>1229</v>
      </c>
      <c r="F507" s="133"/>
      <c r="G507" s="133"/>
      <c r="H507" s="133"/>
      <c r="I507" s="133"/>
      <c r="J507" s="133"/>
      <c r="K507" s="133"/>
      <c r="L507" s="133"/>
      <c r="M507" s="133"/>
      <c r="N507" s="133"/>
      <c r="O507" s="133"/>
    </row>
    <row r="508" spans="1:17" ht="16.5" customHeight="1" x14ac:dyDescent="0.15">
      <c r="D508" s="136" t="s">
        <v>882</v>
      </c>
      <c r="E508" s="283">
        <f>matchscore(E506,E507)</f>
        <v>0.67796610169491522</v>
      </c>
      <c r="F508" s="283"/>
      <c r="G508" s="283"/>
      <c r="H508" s="283"/>
      <c r="I508" s="283"/>
      <c r="J508" s="283"/>
      <c r="K508" s="283"/>
      <c r="L508" s="283"/>
      <c r="M508" s="283"/>
      <c r="N508" s="283"/>
      <c r="O508" s="283"/>
    </row>
    <row r="510" spans="1:17" x14ac:dyDescent="0.15">
      <c r="C510" s="16" t="s">
        <v>433</v>
      </c>
      <c r="D510" s="14" t="s">
        <v>1439</v>
      </c>
    </row>
    <row r="512" spans="1:17" x14ac:dyDescent="0.15">
      <c r="A512" s="66" t="s">
        <v>1254</v>
      </c>
      <c r="B512" s="67" t="s">
        <v>1239</v>
      </c>
      <c r="C512" s="67"/>
      <c r="D512" s="67"/>
      <c r="E512" s="67"/>
      <c r="F512" s="68"/>
      <c r="G512" s="67"/>
      <c r="H512" s="67"/>
      <c r="I512" s="68"/>
      <c r="J512" s="67"/>
      <c r="K512" s="68"/>
      <c r="L512" s="67"/>
      <c r="M512" s="68"/>
      <c r="N512" s="67"/>
      <c r="O512" s="67"/>
      <c r="P512" s="67"/>
      <c r="Q512" s="67"/>
    </row>
    <row r="513" spans="3:14" x14ac:dyDescent="0.15">
      <c r="C513" s="14" t="s">
        <v>1606</v>
      </c>
    </row>
    <row r="514" spans="3:14" x14ac:dyDescent="0.15">
      <c r="C514" s="14" t="s">
        <v>1240</v>
      </c>
    </row>
    <row r="515" spans="3:14" x14ac:dyDescent="0.15">
      <c r="C515" s="14" t="s">
        <v>1021</v>
      </c>
    </row>
    <row r="517" spans="3:14" x14ac:dyDescent="0.15">
      <c r="D517" s="69" t="s">
        <v>879</v>
      </c>
      <c r="E517" s="70" t="s">
        <v>1612</v>
      </c>
      <c r="F517" s="58"/>
      <c r="G517" s="58"/>
      <c r="H517" s="58"/>
      <c r="I517" s="58"/>
      <c r="J517" s="58"/>
      <c r="K517" s="58"/>
      <c r="L517" s="71"/>
    </row>
    <row r="518" spans="3:14" x14ac:dyDescent="0.15">
      <c r="D518" s="72" t="s">
        <v>886</v>
      </c>
      <c r="E518" s="32" t="s">
        <v>1440</v>
      </c>
      <c r="F518" s="32"/>
      <c r="G518" s="32"/>
      <c r="H518" s="32"/>
      <c r="I518" s="32"/>
      <c r="J518" s="32"/>
      <c r="K518" s="32"/>
      <c r="L518" s="73"/>
    </row>
    <row r="519" spans="3:14" x14ac:dyDescent="0.15">
      <c r="D519" s="72"/>
      <c r="E519" s="32" t="s">
        <v>1613</v>
      </c>
      <c r="F519" s="32"/>
      <c r="G519" s="32"/>
      <c r="H519" s="32"/>
      <c r="I519" s="32"/>
      <c r="J519" s="32"/>
      <c r="K519" s="32"/>
      <c r="L519" s="73"/>
    </row>
    <row r="520" spans="3:14" x14ac:dyDescent="0.15">
      <c r="D520" s="74" t="s">
        <v>887</v>
      </c>
      <c r="E520" s="62" t="s">
        <v>1243</v>
      </c>
      <c r="F520" s="62"/>
      <c r="G520" s="62"/>
      <c r="H520" s="62"/>
      <c r="I520" s="62"/>
      <c r="J520" s="62"/>
      <c r="K520" s="62"/>
      <c r="L520" s="75"/>
    </row>
    <row r="523" spans="3:14" x14ac:dyDescent="0.15">
      <c r="D523" s="138" t="s">
        <v>1231</v>
      </c>
      <c r="E523" s="133" t="s">
        <v>1608</v>
      </c>
      <c r="F523" s="133"/>
      <c r="G523" s="133"/>
      <c r="H523" s="133"/>
      <c r="I523" s="133"/>
      <c r="J523" s="133"/>
      <c r="K523" s="133"/>
      <c r="L523" s="133"/>
      <c r="M523" s="133"/>
      <c r="N523" s="133"/>
    </row>
    <row r="524" spans="3:14" x14ac:dyDescent="0.15">
      <c r="D524" s="133" t="s">
        <v>1232</v>
      </c>
      <c r="E524" s="133">
        <v>1</v>
      </c>
      <c r="F524" s="133"/>
      <c r="G524" s="133"/>
      <c r="H524" s="133"/>
      <c r="I524" s="133"/>
      <c r="J524" s="133"/>
      <c r="K524" s="133"/>
      <c r="L524" s="133"/>
      <c r="M524" s="133"/>
      <c r="N524" s="133"/>
    </row>
    <row r="525" spans="3:14" x14ac:dyDescent="0.15">
      <c r="D525" s="136" t="s">
        <v>882</v>
      </c>
      <c r="E525" s="136" t="str">
        <f>prune(E523,E524)</f>
        <v>A/C</v>
      </c>
      <c r="F525" s="136"/>
      <c r="G525" s="136"/>
      <c r="H525" s="136"/>
      <c r="I525" s="136"/>
      <c r="J525" s="136"/>
      <c r="K525" s="136"/>
      <c r="L525" s="136"/>
      <c r="M525" s="136"/>
      <c r="N525" s="136"/>
    </row>
    <row r="526" spans="3:14" x14ac:dyDescent="0.15">
      <c r="D526" s="138" t="s">
        <v>1231</v>
      </c>
      <c r="E526" s="133" t="s">
        <v>1233</v>
      </c>
      <c r="F526" s="133"/>
      <c r="G526" s="133"/>
      <c r="H526" s="133"/>
      <c r="I526" s="133"/>
      <c r="J526" s="133"/>
      <c r="K526" s="133"/>
      <c r="L526" s="133"/>
      <c r="M526" s="133"/>
      <c r="N526" s="133"/>
    </row>
    <row r="527" spans="3:14" x14ac:dyDescent="0.15">
      <c r="D527" s="133" t="s">
        <v>1232</v>
      </c>
      <c r="E527" s="133"/>
      <c r="F527" s="133" t="s">
        <v>1241</v>
      </c>
      <c r="G527" s="133"/>
      <c r="H527" s="133"/>
      <c r="I527" s="133"/>
      <c r="J527" s="133"/>
      <c r="K527" s="133"/>
      <c r="L527" s="133"/>
      <c r="M527" s="133"/>
      <c r="N527" s="133"/>
    </row>
    <row r="528" spans="3:14" x14ac:dyDescent="0.15">
      <c r="D528" s="136" t="s">
        <v>882</v>
      </c>
      <c r="E528" s="136" t="str">
        <f>prune(E526)</f>
        <v>A/C</v>
      </c>
      <c r="F528" s="136"/>
      <c r="G528" s="136"/>
      <c r="H528" s="136"/>
      <c r="I528" s="136"/>
      <c r="J528" s="136"/>
      <c r="K528" s="136"/>
      <c r="L528" s="136"/>
      <c r="M528" s="136"/>
      <c r="N528" s="136"/>
    </row>
    <row r="529" spans="3:14" x14ac:dyDescent="0.15">
      <c r="D529" s="138" t="s">
        <v>1231</v>
      </c>
      <c r="E529" s="133" t="s">
        <v>1234</v>
      </c>
      <c r="F529" s="133"/>
      <c r="G529" s="133"/>
      <c r="H529" s="133"/>
      <c r="I529" s="133"/>
      <c r="J529" s="133"/>
      <c r="K529" s="133"/>
      <c r="L529" s="133"/>
      <c r="M529" s="133"/>
      <c r="N529" s="133"/>
    </row>
    <row r="530" spans="3:14" x14ac:dyDescent="0.15">
      <c r="D530" s="133" t="s">
        <v>1232</v>
      </c>
      <c r="E530" s="133"/>
      <c r="F530" s="133" t="s">
        <v>1241</v>
      </c>
      <c r="G530" s="133"/>
      <c r="H530" s="133"/>
      <c r="I530" s="133"/>
      <c r="J530" s="133"/>
      <c r="K530" s="133"/>
      <c r="L530" s="133"/>
      <c r="M530" s="133"/>
      <c r="N530" s="133"/>
    </row>
    <row r="531" spans="3:14" x14ac:dyDescent="0.15">
      <c r="D531" s="136" t="s">
        <v>882</v>
      </c>
      <c r="E531" s="136" t="str">
        <f>prune(E529)</f>
        <v>T</v>
      </c>
      <c r="F531" s="136" t="s">
        <v>1236</v>
      </c>
      <c r="G531" s="136"/>
      <c r="H531" s="136"/>
      <c r="I531" s="136"/>
      <c r="J531" s="136"/>
      <c r="K531" s="136"/>
      <c r="L531" s="136"/>
      <c r="M531" s="136"/>
      <c r="N531" s="136"/>
    </row>
    <row r="532" spans="3:14" x14ac:dyDescent="0.15">
      <c r="D532" s="138" t="s">
        <v>1231</v>
      </c>
      <c r="E532" s="133" t="s">
        <v>1235</v>
      </c>
      <c r="F532" s="133"/>
      <c r="G532" s="133"/>
      <c r="H532" s="133"/>
      <c r="I532" s="133"/>
      <c r="J532" s="133"/>
      <c r="K532" s="133"/>
      <c r="L532" s="133"/>
      <c r="M532" s="133"/>
      <c r="N532" s="133"/>
    </row>
    <row r="533" spans="3:14" x14ac:dyDescent="0.15">
      <c r="D533" s="133" t="s">
        <v>1232</v>
      </c>
      <c r="E533" s="133">
        <v>2</v>
      </c>
      <c r="F533" s="133"/>
      <c r="G533" s="133"/>
      <c r="H533" s="133"/>
      <c r="I533" s="133"/>
      <c r="J533" s="133"/>
      <c r="K533" s="133"/>
      <c r="L533" s="133"/>
      <c r="M533" s="133"/>
      <c r="N533" s="133"/>
    </row>
    <row r="534" spans="3:14" x14ac:dyDescent="0.15">
      <c r="D534" s="136" t="s">
        <v>882</v>
      </c>
      <c r="E534" s="136" t="str">
        <f>prune(E532,E533)</f>
        <v>G/A</v>
      </c>
      <c r="F534" s="136"/>
      <c r="G534" s="136"/>
      <c r="H534" s="136"/>
      <c r="I534" s="136"/>
      <c r="J534" s="136"/>
      <c r="K534" s="136"/>
      <c r="L534" s="136"/>
      <c r="M534" s="136"/>
      <c r="N534" s="136"/>
    </row>
    <row r="535" spans="3:14" x14ac:dyDescent="0.15">
      <c r="D535" s="138" t="s">
        <v>1231</v>
      </c>
      <c r="E535" s="133" t="s">
        <v>1237</v>
      </c>
      <c r="F535" s="133"/>
      <c r="G535" s="133"/>
      <c r="H535" s="133"/>
      <c r="I535" s="133"/>
      <c r="J535" s="133"/>
      <c r="K535" s="133"/>
      <c r="L535" s="133"/>
      <c r="M535" s="133"/>
      <c r="N535" s="133"/>
    </row>
    <row r="536" spans="3:14" x14ac:dyDescent="0.15">
      <c r="D536" s="133" t="s">
        <v>1232</v>
      </c>
      <c r="E536" s="133">
        <v>1</v>
      </c>
      <c r="F536" s="133"/>
      <c r="G536" s="133"/>
      <c r="H536" s="133"/>
      <c r="I536" s="133"/>
      <c r="J536" s="133"/>
      <c r="K536" s="133"/>
      <c r="L536" s="133"/>
      <c r="M536" s="133"/>
      <c r="N536" s="133"/>
    </row>
    <row r="537" spans="3:14" x14ac:dyDescent="0.15">
      <c r="D537" s="136" t="s">
        <v>882</v>
      </c>
      <c r="E537" s="136" t="str">
        <f>prune(E535,E536)</f>
        <v/>
      </c>
      <c r="F537" s="136" t="s">
        <v>1242</v>
      </c>
      <c r="G537" s="136"/>
      <c r="H537" s="136"/>
      <c r="I537" s="136"/>
      <c r="J537" s="136"/>
      <c r="K537" s="136"/>
      <c r="L537" s="136"/>
      <c r="M537" s="136"/>
      <c r="N537" s="136"/>
    </row>
    <row r="538" spans="3:14" x14ac:dyDescent="0.15">
      <c r="D538" s="138" t="s">
        <v>1231</v>
      </c>
      <c r="E538" s="133" t="s">
        <v>1248</v>
      </c>
      <c r="F538" s="133"/>
      <c r="G538" s="133"/>
      <c r="H538" s="133"/>
      <c r="I538" s="133"/>
      <c r="J538" s="133"/>
      <c r="K538" s="133"/>
      <c r="L538" s="133"/>
      <c r="M538" s="133"/>
      <c r="N538" s="133"/>
    </row>
    <row r="539" spans="3:14" x14ac:dyDescent="0.15">
      <c r="C539" s="16"/>
      <c r="D539" s="133" t="s">
        <v>1232</v>
      </c>
      <c r="E539" s="133">
        <v>-3</v>
      </c>
      <c r="F539" s="133"/>
      <c r="G539" s="133"/>
      <c r="H539" s="133"/>
      <c r="I539" s="133"/>
      <c r="J539" s="133"/>
      <c r="K539" s="133"/>
      <c r="L539" s="133"/>
      <c r="M539" s="133"/>
      <c r="N539" s="133"/>
    </row>
    <row r="540" spans="3:14" x14ac:dyDescent="0.15">
      <c r="D540" s="136" t="s">
        <v>882</v>
      </c>
      <c r="E540" s="136" t="str">
        <f>prune(E538,E539)</f>
        <v>TTTACGA</v>
      </c>
      <c r="F540" s="136" t="s">
        <v>1238</v>
      </c>
      <c r="G540" s="136"/>
      <c r="H540" s="136"/>
      <c r="I540" s="136"/>
      <c r="J540" s="136"/>
      <c r="K540" s="136"/>
      <c r="L540" s="136"/>
      <c r="M540" s="136"/>
      <c r="N540" s="136"/>
    </row>
  </sheetData>
  <mergeCells count="12">
    <mergeCell ref="B5:J5"/>
    <mergeCell ref="E142:F142"/>
    <mergeCell ref="E240:H240"/>
    <mergeCell ref="E243:H243"/>
    <mergeCell ref="E499:O499"/>
    <mergeCell ref="E502:O502"/>
    <mergeCell ref="E505:O505"/>
    <mergeCell ref="E508:O508"/>
    <mergeCell ref="E474:O474"/>
    <mergeCell ref="E477:O477"/>
    <mergeCell ref="E480:O480"/>
    <mergeCell ref="E483:O483"/>
  </mergeCells>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vt:i4>
      </vt:variant>
    </vt:vector>
  </HeadingPairs>
  <TitlesOfParts>
    <vt:vector size="12" baseType="lpstr">
      <vt:lpstr>Summary</vt:lpstr>
      <vt:lpstr>Function summary</vt:lpstr>
      <vt:lpstr>Data conversion</vt:lpstr>
      <vt:lpstr>Basic analysis</vt:lpstr>
      <vt:lpstr>Linkage analysis</vt:lpstr>
      <vt:lpstr>Data set analysis</vt:lpstr>
      <vt:lpstr>Freq analysis</vt:lpstr>
      <vt:lpstr>Genetic data analysis</vt:lpstr>
      <vt:lpstr>Sequence manipulation</vt:lpstr>
      <vt:lpstr>'Basic analysis'!Print_Area</vt:lpstr>
      <vt:lpstr>'Function summary'!Print_Area</vt:lpstr>
      <vt:lpstr>Summary!Print_Area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tshimizu</dc:creator>
  <cp:lastModifiedBy>tshimizu</cp:lastModifiedBy>
  <cp:lastPrinted>2017-02-03T08:41:54Z</cp:lastPrinted>
  <dcterms:created xsi:type="dcterms:W3CDTF">2015-10-25T12:51:35Z</dcterms:created>
  <dcterms:modified xsi:type="dcterms:W3CDTF">2017-10-24T02:00:23Z</dcterms:modified>
</cp:coreProperties>
</file>